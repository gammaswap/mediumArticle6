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niel\Documents\Danner\vegaswap\MediumArticles\Article6\repo\"/>
    </mc:Choice>
  </mc:AlternateContent>
  <bookViews>
    <workbookView xWindow="0" yWindow="0" windowWidth="28800" windowHeight="12435" activeTab="5"/>
  </bookViews>
  <sheets>
    <sheet name="USDCETH_0.3%" sheetId="1" r:id="rId1"/>
    <sheet name="USDCETH_0.3% Charts" sheetId="2" r:id="rId2"/>
    <sheet name="USTETH" sheetId="3" r:id="rId3"/>
    <sheet name="USTETH_Charts" sheetId="4" r:id="rId4"/>
    <sheet name="ETHLUNA" sheetId="5" r:id="rId5"/>
    <sheet name="ETHLUNA_Charts" sheetId="6" r:id="rId6"/>
  </sheets>
  <externalReferences>
    <externalReference r:id="rId7"/>
    <externalReference r:id="rId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2" i="6"/>
  <c r="P2" i="6" s="1"/>
  <c r="AA21" i="6"/>
  <c r="AC17" i="6"/>
  <c r="Q126" i="6"/>
  <c r="N126" i="6"/>
  <c r="L126" i="6"/>
  <c r="M126" i="6" s="1"/>
  <c r="P126" i="6" s="1"/>
  <c r="R126" i="6" s="1"/>
  <c r="K126" i="6"/>
  <c r="Q125" i="6"/>
  <c r="N125" i="6"/>
  <c r="L125" i="6"/>
  <c r="M125" i="6" s="1"/>
  <c r="P125" i="6" s="1"/>
  <c r="R125" i="6" s="1"/>
  <c r="K125" i="6"/>
  <c r="Q124" i="6"/>
  <c r="N124" i="6"/>
  <c r="L124" i="6"/>
  <c r="M124" i="6" s="1"/>
  <c r="P124" i="6" s="1"/>
  <c r="R124" i="6" s="1"/>
  <c r="K124" i="6"/>
  <c r="Q123" i="6"/>
  <c r="N123" i="6"/>
  <c r="L123" i="6"/>
  <c r="M123" i="6" s="1"/>
  <c r="P123" i="6" s="1"/>
  <c r="R123" i="6" s="1"/>
  <c r="K123" i="6"/>
  <c r="Q122" i="6"/>
  <c r="N122" i="6"/>
  <c r="L122" i="6"/>
  <c r="M122" i="6" s="1"/>
  <c r="P122" i="6" s="1"/>
  <c r="R122" i="6" s="1"/>
  <c r="K122" i="6"/>
  <c r="Q121" i="6"/>
  <c r="N121" i="6"/>
  <c r="M121" i="6"/>
  <c r="L121" i="6"/>
  <c r="K121" i="6"/>
  <c r="Q120" i="6"/>
  <c r="N120" i="6"/>
  <c r="M120" i="6"/>
  <c r="L120" i="6"/>
  <c r="K120" i="6"/>
  <c r="Q119" i="6"/>
  <c r="N119" i="6"/>
  <c r="L119" i="6"/>
  <c r="M119" i="6" s="1"/>
  <c r="P119" i="6" s="1"/>
  <c r="R119" i="6" s="1"/>
  <c r="K119" i="6"/>
  <c r="Q118" i="6"/>
  <c r="N118" i="6"/>
  <c r="L118" i="6"/>
  <c r="M118" i="6" s="1"/>
  <c r="P118" i="6" s="1"/>
  <c r="R118" i="6" s="1"/>
  <c r="K118" i="6"/>
  <c r="Q117" i="6"/>
  <c r="N117" i="6"/>
  <c r="L117" i="6"/>
  <c r="M117" i="6" s="1"/>
  <c r="P117" i="6" s="1"/>
  <c r="R117" i="6" s="1"/>
  <c r="K117" i="6"/>
  <c r="Q116" i="6"/>
  <c r="N116" i="6"/>
  <c r="M116" i="6"/>
  <c r="P116" i="6" s="1"/>
  <c r="R116" i="6" s="1"/>
  <c r="L116" i="6"/>
  <c r="K116" i="6"/>
  <c r="Q115" i="6"/>
  <c r="N115" i="6"/>
  <c r="L115" i="6"/>
  <c r="M115" i="6" s="1"/>
  <c r="P115" i="6" s="1"/>
  <c r="R115" i="6" s="1"/>
  <c r="K115" i="6"/>
  <c r="Q114" i="6"/>
  <c r="N114" i="6"/>
  <c r="L114" i="6"/>
  <c r="M114" i="6" s="1"/>
  <c r="P114" i="6" s="1"/>
  <c r="R114" i="6" s="1"/>
  <c r="K114" i="6"/>
  <c r="Q113" i="6"/>
  <c r="N113" i="6"/>
  <c r="M113" i="6"/>
  <c r="L113" i="6"/>
  <c r="K113" i="6"/>
  <c r="Q112" i="6"/>
  <c r="N112" i="6"/>
  <c r="L112" i="6"/>
  <c r="M112" i="6" s="1"/>
  <c r="P112" i="6" s="1"/>
  <c r="R112" i="6" s="1"/>
  <c r="K112" i="6"/>
  <c r="Q111" i="6"/>
  <c r="N111" i="6"/>
  <c r="L111" i="6"/>
  <c r="M111" i="6" s="1"/>
  <c r="P111" i="6" s="1"/>
  <c r="R111" i="6" s="1"/>
  <c r="K111" i="6"/>
  <c r="Q110" i="6"/>
  <c r="N110" i="6"/>
  <c r="L110" i="6"/>
  <c r="M110" i="6" s="1"/>
  <c r="P110" i="6" s="1"/>
  <c r="R110" i="6" s="1"/>
  <c r="K110" i="6"/>
  <c r="Q109" i="6"/>
  <c r="N109" i="6"/>
  <c r="L109" i="6"/>
  <c r="M109" i="6" s="1"/>
  <c r="P109" i="6" s="1"/>
  <c r="R109" i="6" s="1"/>
  <c r="K109" i="6"/>
  <c r="Q108" i="6"/>
  <c r="N108" i="6"/>
  <c r="L108" i="6"/>
  <c r="M108" i="6" s="1"/>
  <c r="P108" i="6" s="1"/>
  <c r="R108" i="6" s="1"/>
  <c r="K108" i="6"/>
  <c r="Q107" i="6"/>
  <c r="N107" i="6"/>
  <c r="L107" i="6"/>
  <c r="M107" i="6" s="1"/>
  <c r="P107" i="6" s="1"/>
  <c r="R107" i="6" s="1"/>
  <c r="K107" i="6"/>
  <c r="Q106" i="6"/>
  <c r="N106" i="6"/>
  <c r="L106" i="6"/>
  <c r="M106" i="6" s="1"/>
  <c r="P106" i="6" s="1"/>
  <c r="R106" i="6" s="1"/>
  <c r="K106" i="6"/>
  <c r="Q105" i="6"/>
  <c r="N105" i="6"/>
  <c r="M105" i="6"/>
  <c r="L105" i="6"/>
  <c r="K105" i="6"/>
  <c r="Q104" i="6"/>
  <c r="N104" i="6"/>
  <c r="L104" i="6"/>
  <c r="M104" i="6" s="1"/>
  <c r="P104" i="6" s="1"/>
  <c r="R104" i="6" s="1"/>
  <c r="K104" i="6"/>
  <c r="Q103" i="6"/>
  <c r="N103" i="6"/>
  <c r="L103" i="6"/>
  <c r="M103" i="6" s="1"/>
  <c r="P103" i="6" s="1"/>
  <c r="R103" i="6" s="1"/>
  <c r="K103" i="6"/>
  <c r="Q102" i="6"/>
  <c r="N102" i="6"/>
  <c r="L102" i="6"/>
  <c r="M102" i="6" s="1"/>
  <c r="P102" i="6" s="1"/>
  <c r="R102" i="6" s="1"/>
  <c r="K102" i="6"/>
  <c r="Q101" i="6"/>
  <c r="N101" i="6"/>
  <c r="L101" i="6"/>
  <c r="M101" i="6" s="1"/>
  <c r="P101" i="6" s="1"/>
  <c r="R101" i="6" s="1"/>
  <c r="K101" i="6"/>
  <c r="Q100" i="6"/>
  <c r="N100" i="6"/>
  <c r="L100" i="6"/>
  <c r="M100" i="6" s="1"/>
  <c r="P100" i="6" s="1"/>
  <c r="R100" i="6" s="1"/>
  <c r="K100" i="6"/>
  <c r="Q99" i="6"/>
  <c r="N99" i="6"/>
  <c r="L99" i="6"/>
  <c r="M99" i="6" s="1"/>
  <c r="P99" i="6" s="1"/>
  <c r="R99" i="6" s="1"/>
  <c r="K99" i="6"/>
  <c r="Q98" i="6"/>
  <c r="N98" i="6"/>
  <c r="M98" i="6"/>
  <c r="P98" i="6" s="1"/>
  <c r="R98" i="6" s="1"/>
  <c r="L98" i="6"/>
  <c r="K98" i="6"/>
  <c r="Q97" i="6"/>
  <c r="N97" i="6"/>
  <c r="M97" i="6"/>
  <c r="L97" i="6"/>
  <c r="K97" i="6"/>
  <c r="Q96" i="6"/>
  <c r="N96" i="6"/>
  <c r="L96" i="6"/>
  <c r="M96" i="6" s="1"/>
  <c r="K96" i="6"/>
  <c r="Q95" i="6"/>
  <c r="N95" i="6"/>
  <c r="L95" i="6"/>
  <c r="M95" i="6" s="1"/>
  <c r="P95" i="6" s="1"/>
  <c r="R95" i="6" s="1"/>
  <c r="K95" i="6"/>
  <c r="Q94" i="6"/>
  <c r="N94" i="6"/>
  <c r="L94" i="6"/>
  <c r="M94" i="6" s="1"/>
  <c r="P94" i="6" s="1"/>
  <c r="R94" i="6" s="1"/>
  <c r="K94" i="6"/>
  <c r="Q93" i="6"/>
  <c r="N93" i="6"/>
  <c r="L93" i="6"/>
  <c r="M93" i="6" s="1"/>
  <c r="P93" i="6" s="1"/>
  <c r="R93" i="6" s="1"/>
  <c r="K93" i="6"/>
  <c r="Q92" i="6"/>
  <c r="N92" i="6"/>
  <c r="L92" i="6"/>
  <c r="M92" i="6" s="1"/>
  <c r="P92" i="6" s="1"/>
  <c r="R92" i="6" s="1"/>
  <c r="K92" i="6"/>
  <c r="Q91" i="6"/>
  <c r="P91" i="6"/>
  <c r="R91" i="6" s="1"/>
  <c r="N91" i="6"/>
  <c r="L91" i="6"/>
  <c r="M91" i="6" s="1"/>
  <c r="K91" i="6"/>
  <c r="Q90" i="6"/>
  <c r="N90" i="6"/>
  <c r="L90" i="6"/>
  <c r="M90" i="6" s="1"/>
  <c r="P90" i="6" s="1"/>
  <c r="R90" i="6" s="1"/>
  <c r="K90" i="6"/>
  <c r="Q89" i="6"/>
  <c r="N89" i="6"/>
  <c r="L89" i="6"/>
  <c r="M89" i="6" s="1"/>
  <c r="K89" i="6"/>
  <c r="Q88" i="6"/>
  <c r="N88" i="6"/>
  <c r="M88" i="6"/>
  <c r="L88" i="6"/>
  <c r="K88" i="6"/>
  <c r="Q87" i="6"/>
  <c r="N87" i="6"/>
  <c r="L87" i="6"/>
  <c r="M87" i="6" s="1"/>
  <c r="P87" i="6" s="1"/>
  <c r="R87" i="6" s="1"/>
  <c r="K87" i="6"/>
  <c r="Q86" i="6"/>
  <c r="P86" i="6"/>
  <c r="R86" i="6" s="1"/>
  <c r="N86" i="6"/>
  <c r="L86" i="6"/>
  <c r="M86" i="6" s="1"/>
  <c r="K86" i="6"/>
  <c r="Q85" i="6"/>
  <c r="N85" i="6"/>
  <c r="L85" i="6"/>
  <c r="M85" i="6" s="1"/>
  <c r="P85" i="6" s="1"/>
  <c r="R85" i="6" s="1"/>
  <c r="K85" i="6"/>
  <c r="Q84" i="6"/>
  <c r="N84" i="6"/>
  <c r="M84" i="6"/>
  <c r="P84" i="6" s="1"/>
  <c r="R84" i="6" s="1"/>
  <c r="L84" i="6"/>
  <c r="K84" i="6"/>
  <c r="Q83" i="6"/>
  <c r="N83" i="6"/>
  <c r="L83" i="6"/>
  <c r="M83" i="6" s="1"/>
  <c r="P83" i="6" s="1"/>
  <c r="R83" i="6" s="1"/>
  <c r="K83" i="6"/>
  <c r="Q82" i="6"/>
  <c r="N82" i="6"/>
  <c r="L82" i="6"/>
  <c r="M82" i="6" s="1"/>
  <c r="P82" i="6" s="1"/>
  <c r="R82" i="6" s="1"/>
  <c r="K82" i="6"/>
  <c r="Q81" i="6"/>
  <c r="N81" i="6"/>
  <c r="L81" i="6"/>
  <c r="M81" i="6" s="1"/>
  <c r="K81" i="6"/>
  <c r="Q80" i="6"/>
  <c r="N80" i="6"/>
  <c r="L80" i="6"/>
  <c r="M80" i="6" s="1"/>
  <c r="K80" i="6"/>
  <c r="Q79" i="6"/>
  <c r="N79" i="6"/>
  <c r="L79" i="6"/>
  <c r="M79" i="6" s="1"/>
  <c r="P79" i="6" s="1"/>
  <c r="R79" i="6" s="1"/>
  <c r="K79" i="6"/>
  <c r="Q78" i="6"/>
  <c r="N78" i="6"/>
  <c r="L78" i="6"/>
  <c r="M78" i="6" s="1"/>
  <c r="P78" i="6" s="1"/>
  <c r="R78" i="6" s="1"/>
  <c r="K78" i="6"/>
  <c r="R77" i="6"/>
  <c r="Q77" i="6"/>
  <c r="N77" i="6"/>
  <c r="L77" i="6"/>
  <c r="M77" i="6" s="1"/>
  <c r="P77" i="6" s="1"/>
  <c r="K77" i="6"/>
  <c r="Q76" i="6"/>
  <c r="N76" i="6"/>
  <c r="L76" i="6"/>
  <c r="M76" i="6" s="1"/>
  <c r="P76" i="6" s="1"/>
  <c r="R76" i="6" s="1"/>
  <c r="K76" i="6"/>
  <c r="Q75" i="6"/>
  <c r="N75" i="6"/>
  <c r="L75" i="6"/>
  <c r="M75" i="6" s="1"/>
  <c r="P75" i="6" s="1"/>
  <c r="R75" i="6" s="1"/>
  <c r="K75" i="6"/>
  <c r="Q74" i="6"/>
  <c r="N74" i="6"/>
  <c r="M74" i="6"/>
  <c r="P74" i="6" s="1"/>
  <c r="R74" i="6" s="1"/>
  <c r="L74" i="6"/>
  <c r="K74" i="6"/>
  <c r="Q73" i="6"/>
  <c r="N73" i="6"/>
  <c r="M73" i="6"/>
  <c r="L73" i="6"/>
  <c r="K73" i="6"/>
  <c r="Q72" i="6"/>
  <c r="N72" i="6"/>
  <c r="L72" i="6"/>
  <c r="M72" i="6" s="1"/>
  <c r="K72" i="6"/>
  <c r="Q71" i="6"/>
  <c r="N71" i="6"/>
  <c r="L71" i="6"/>
  <c r="M71" i="6" s="1"/>
  <c r="P71" i="6" s="1"/>
  <c r="R71" i="6" s="1"/>
  <c r="K71" i="6"/>
  <c r="Q70" i="6"/>
  <c r="N70" i="6"/>
  <c r="L70" i="6"/>
  <c r="M70" i="6" s="1"/>
  <c r="P70" i="6" s="1"/>
  <c r="R70" i="6" s="1"/>
  <c r="K70" i="6"/>
  <c r="Q69" i="6"/>
  <c r="N69" i="6"/>
  <c r="L69" i="6"/>
  <c r="M69" i="6" s="1"/>
  <c r="P69" i="6" s="1"/>
  <c r="R69" i="6" s="1"/>
  <c r="K69" i="6"/>
  <c r="Q68" i="6"/>
  <c r="N68" i="6"/>
  <c r="L68" i="6"/>
  <c r="M68" i="6" s="1"/>
  <c r="P68" i="6" s="1"/>
  <c r="R68" i="6" s="1"/>
  <c r="K68" i="6"/>
  <c r="Q67" i="6"/>
  <c r="P67" i="6"/>
  <c r="R67" i="6" s="1"/>
  <c r="N67" i="6"/>
  <c r="L67" i="6"/>
  <c r="M67" i="6" s="1"/>
  <c r="K67" i="6"/>
  <c r="Q66" i="6"/>
  <c r="N66" i="6"/>
  <c r="M66" i="6"/>
  <c r="P66" i="6" s="1"/>
  <c r="R66" i="6" s="1"/>
  <c r="L66" i="6"/>
  <c r="K66" i="6"/>
  <c r="Q65" i="6"/>
  <c r="N65" i="6"/>
  <c r="L65" i="6"/>
  <c r="M65" i="6" s="1"/>
  <c r="K65" i="6"/>
  <c r="Q64" i="6"/>
  <c r="N64" i="6"/>
  <c r="L64" i="6"/>
  <c r="M64" i="6" s="1"/>
  <c r="K64" i="6"/>
  <c r="Q63" i="6"/>
  <c r="N63" i="6"/>
  <c r="L63" i="6"/>
  <c r="M63" i="6" s="1"/>
  <c r="P63" i="6" s="1"/>
  <c r="R63" i="6" s="1"/>
  <c r="K63" i="6"/>
  <c r="Q62" i="6"/>
  <c r="N62" i="6"/>
  <c r="L62" i="6"/>
  <c r="M62" i="6" s="1"/>
  <c r="P62" i="6" s="1"/>
  <c r="R62" i="6" s="1"/>
  <c r="K62" i="6"/>
  <c r="Q61" i="6"/>
  <c r="N61" i="6"/>
  <c r="L61" i="6"/>
  <c r="M61" i="6" s="1"/>
  <c r="P61" i="6" s="1"/>
  <c r="R61" i="6" s="1"/>
  <c r="K61" i="6"/>
  <c r="Q60" i="6"/>
  <c r="N60" i="6"/>
  <c r="L60" i="6"/>
  <c r="M60" i="6" s="1"/>
  <c r="P60" i="6" s="1"/>
  <c r="R60" i="6" s="1"/>
  <c r="K60" i="6"/>
  <c r="Q59" i="6"/>
  <c r="N59" i="6"/>
  <c r="L59" i="6"/>
  <c r="M59" i="6" s="1"/>
  <c r="P59" i="6" s="1"/>
  <c r="R59" i="6" s="1"/>
  <c r="K59" i="6"/>
  <c r="Q58" i="6"/>
  <c r="N58" i="6"/>
  <c r="M58" i="6"/>
  <c r="P58" i="6" s="1"/>
  <c r="R58" i="6" s="1"/>
  <c r="L58" i="6"/>
  <c r="K58" i="6"/>
  <c r="Q57" i="6"/>
  <c r="N57" i="6"/>
  <c r="L57" i="6"/>
  <c r="M57" i="6" s="1"/>
  <c r="P57" i="6" s="1"/>
  <c r="R57" i="6" s="1"/>
  <c r="K57" i="6"/>
  <c r="Q56" i="6"/>
  <c r="N56" i="6"/>
  <c r="L56" i="6"/>
  <c r="M56" i="6" s="1"/>
  <c r="K56" i="6"/>
  <c r="Q55" i="6"/>
  <c r="N55" i="6"/>
  <c r="L55" i="6"/>
  <c r="M55" i="6" s="1"/>
  <c r="P55" i="6" s="1"/>
  <c r="R55" i="6" s="1"/>
  <c r="K55" i="6"/>
  <c r="Q54" i="6"/>
  <c r="N54" i="6"/>
  <c r="L54" i="6"/>
  <c r="M54" i="6" s="1"/>
  <c r="P54" i="6" s="1"/>
  <c r="R54" i="6" s="1"/>
  <c r="K54" i="6"/>
  <c r="R53" i="6"/>
  <c r="Q53" i="6"/>
  <c r="N53" i="6"/>
  <c r="L53" i="6"/>
  <c r="M53" i="6" s="1"/>
  <c r="P53" i="6" s="1"/>
  <c r="K53" i="6"/>
  <c r="Q52" i="6"/>
  <c r="N52" i="6"/>
  <c r="M52" i="6"/>
  <c r="P52" i="6" s="1"/>
  <c r="R52" i="6" s="1"/>
  <c r="L52" i="6"/>
  <c r="K52" i="6"/>
  <c r="Q51" i="6"/>
  <c r="N51" i="6"/>
  <c r="L51" i="6"/>
  <c r="M51" i="6" s="1"/>
  <c r="P51" i="6" s="1"/>
  <c r="R51" i="6" s="1"/>
  <c r="K51" i="6"/>
  <c r="Q50" i="6"/>
  <c r="N50" i="6"/>
  <c r="M50" i="6"/>
  <c r="P50" i="6" s="1"/>
  <c r="R50" i="6" s="1"/>
  <c r="L50" i="6"/>
  <c r="K50" i="6"/>
  <c r="Q49" i="6"/>
  <c r="N49" i="6"/>
  <c r="L49" i="6"/>
  <c r="M49" i="6" s="1"/>
  <c r="K49" i="6"/>
  <c r="Q48" i="6"/>
  <c r="N48" i="6"/>
  <c r="L48" i="6"/>
  <c r="M48" i="6" s="1"/>
  <c r="P48" i="6" s="1"/>
  <c r="R48" i="6" s="1"/>
  <c r="K48" i="6"/>
  <c r="Q47" i="6"/>
  <c r="N47" i="6"/>
  <c r="L47" i="6"/>
  <c r="M47" i="6" s="1"/>
  <c r="P47" i="6" s="1"/>
  <c r="R47" i="6" s="1"/>
  <c r="K47" i="6"/>
  <c r="Q46" i="6"/>
  <c r="N46" i="6"/>
  <c r="L46" i="6"/>
  <c r="M46" i="6" s="1"/>
  <c r="P46" i="6" s="1"/>
  <c r="R46" i="6" s="1"/>
  <c r="K46" i="6"/>
  <c r="Q45" i="6"/>
  <c r="N45" i="6"/>
  <c r="L45" i="6"/>
  <c r="M45" i="6" s="1"/>
  <c r="P45" i="6" s="1"/>
  <c r="R45" i="6" s="1"/>
  <c r="K45" i="6"/>
  <c r="Q44" i="6"/>
  <c r="N44" i="6"/>
  <c r="M44" i="6"/>
  <c r="P44" i="6" s="1"/>
  <c r="R44" i="6" s="1"/>
  <c r="L44" i="6"/>
  <c r="K44" i="6"/>
  <c r="Q43" i="6"/>
  <c r="N43" i="6"/>
  <c r="L43" i="6"/>
  <c r="M43" i="6" s="1"/>
  <c r="P43" i="6" s="1"/>
  <c r="R43" i="6" s="1"/>
  <c r="K43" i="6"/>
  <c r="Q42" i="6"/>
  <c r="N42" i="6"/>
  <c r="L42" i="6"/>
  <c r="M42" i="6" s="1"/>
  <c r="P42" i="6" s="1"/>
  <c r="R42" i="6" s="1"/>
  <c r="K42" i="6"/>
  <c r="Q41" i="6"/>
  <c r="N41" i="6"/>
  <c r="M41" i="6"/>
  <c r="L41" i="6"/>
  <c r="K41" i="6"/>
  <c r="Q40" i="6"/>
  <c r="N40" i="6"/>
  <c r="L40" i="6"/>
  <c r="M40" i="6" s="1"/>
  <c r="K40" i="6"/>
  <c r="Q39" i="6"/>
  <c r="N39" i="6"/>
  <c r="L39" i="6"/>
  <c r="M39" i="6" s="1"/>
  <c r="P39" i="6" s="1"/>
  <c r="R39" i="6" s="1"/>
  <c r="K39" i="6"/>
  <c r="Q38" i="6"/>
  <c r="N38" i="6"/>
  <c r="L38" i="6"/>
  <c r="M38" i="6" s="1"/>
  <c r="P38" i="6" s="1"/>
  <c r="R38" i="6" s="1"/>
  <c r="K38" i="6"/>
  <c r="Q37" i="6"/>
  <c r="N37" i="6"/>
  <c r="L37" i="6"/>
  <c r="M37" i="6" s="1"/>
  <c r="P37" i="6" s="1"/>
  <c r="R37" i="6" s="1"/>
  <c r="K37" i="6"/>
  <c r="Q36" i="6"/>
  <c r="N36" i="6"/>
  <c r="L36" i="6"/>
  <c r="M36" i="6" s="1"/>
  <c r="P36" i="6" s="1"/>
  <c r="R36" i="6" s="1"/>
  <c r="K36" i="6"/>
  <c r="Q35" i="6"/>
  <c r="N35" i="6"/>
  <c r="L35" i="6"/>
  <c r="M35" i="6" s="1"/>
  <c r="P35" i="6" s="1"/>
  <c r="R35" i="6" s="1"/>
  <c r="K35" i="6"/>
  <c r="Q34" i="6"/>
  <c r="N34" i="6"/>
  <c r="M34" i="6"/>
  <c r="P34" i="6" s="1"/>
  <c r="R34" i="6" s="1"/>
  <c r="L34" i="6"/>
  <c r="K34" i="6"/>
  <c r="Q33" i="6"/>
  <c r="N33" i="6"/>
  <c r="M33" i="6"/>
  <c r="L33" i="6"/>
  <c r="K33" i="6"/>
  <c r="Q32" i="6"/>
  <c r="N32" i="6"/>
  <c r="L32" i="6"/>
  <c r="M32" i="6" s="1"/>
  <c r="K32" i="6"/>
  <c r="Q31" i="6"/>
  <c r="N31" i="6"/>
  <c r="L31" i="6"/>
  <c r="M31" i="6" s="1"/>
  <c r="P31" i="6" s="1"/>
  <c r="R31" i="6" s="1"/>
  <c r="K31" i="6"/>
  <c r="Q30" i="6"/>
  <c r="N30" i="6"/>
  <c r="L30" i="6"/>
  <c r="M30" i="6" s="1"/>
  <c r="P30" i="6" s="1"/>
  <c r="R30" i="6" s="1"/>
  <c r="K30" i="6"/>
  <c r="Q29" i="6"/>
  <c r="N29" i="6"/>
  <c r="L29" i="6"/>
  <c r="M29" i="6" s="1"/>
  <c r="P29" i="6" s="1"/>
  <c r="R29" i="6" s="1"/>
  <c r="K29" i="6"/>
  <c r="Q28" i="6"/>
  <c r="N28" i="6"/>
  <c r="M28" i="6"/>
  <c r="P28" i="6" s="1"/>
  <c r="R28" i="6" s="1"/>
  <c r="L28" i="6"/>
  <c r="K28" i="6"/>
  <c r="Q27" i="6"/>
  <c r="N27" i="6"/>
  <c r="L27" i="6"/>
  <c r="M27" i="6" s="1"/>
  <c r="P27" i="6" s="1"/>
  <c r="R27" i="6" s="1"/>
  <c r="K27" i="6"/>
  <c r="Q26" i="6"/>
  <c r="P26" i="6"/>
  <c r="R26" i="6" s="1"/>
  <c r="N26" i="6"/>
  <c r="M26" i="6"/>
  <c r="L26" i="6"/>
  <c r="K26" i="6"/>
  <c r="Q25" i="6"/>
  <c r="N25" i="6"/>
  <c r="L25" i="6"/>
  <c r="M25" i="6" s="1"/>
  <c r="K25" i="6"/>
  <c r="Q24" i="6"/>
  <c r="N24" i="6"/>
  <c r="L24" i="6"/>
  <c r="M24" i="6" s="1"/>
  <c r="K24" i="6"/>
  <c r="Q23" i="6"/>
  <c r="N23" i="6"/>
  <c r="L23" i="6"/>
  <c r="M23" i="6" s="1"/>
  <c r="P23" i="6" s="1"/>
  <c r="R23" i="6" s="1"/>
  <c r="K23" i="6"/>
  <c r="Q22" i="6"/>
  <c r="N22" i="6"/>
  <c r="L22" i="6"/>
  <c r="M22" i="6" s="1"/>
  <c r="P22" i="6" s="1"/>
  <c r="R22" i="6" s="1"/>
  <c r="K22" i="6"/>
  <c r="Q21" i="6"/>
  <c r="N21" i="6"/>
  <c r="M21" i="6"/>
  <c r="P21" i="6" s="1"/>
  <c r="R21" i="6" s="1"/>
  <c r="L21" i="6"/>
  <c r="K21" i="6"/>
  <c r="Q20" i="6"/>
  <c r="N20" i="6"/>
  <c r="L20" i="6"/>
  <c r="M20" i="6" s="1"/>
  <c r="P20" i="6" s="1"/>
  <c r="R20" i="6" s="1"/>
  <c r="K20" i="6"/>
  <c r="Q19" i="6"/>
  <c r="N19" i="6"/>
  <c r="L19" i="6"/>
  <c r="M19" i="6" s="1"/>
  <c r="P19" i="6" s="1"/>
  <c r="R19" i="6" s="1"/>
  <c r="K19" i="6"/>
  <c r="Q18" i="6"/>
  <c r="N18" i="6"/>
  <c r="L18" i="6"/>
  <c r="M18" i="6" s="1"/>
  <c r="P18" i="6" s="1"/>
  <c r="R18" i="6" s="1"/>
  <c r="K18" i="6"/>
  <c r="Q17" i="6"/>
  <c r="N17" i="6"/>
  <c r="M17" i="6"/>
  <c r="L17" i="6"/>
  <c r="K17" i="6"/>
  <c r="Q16" i="6"/>
  <c r="N16" i="6"/>
  <c r="L16" i="6"/>
  <c r="M16" i="6" s="1"/>
  <c r="P16" i="6" s="1"/>
  <c r="R16" i="6" s="1"/>
  <c r="K16" i="6"/>
  <c r="Q15" i="6"/>
  <c r="N15" i="6"/>
  <c r="L15" i="6"/>
  <c r="M15" i="6" s="1"/>
  <c r="P15" i="6" s="1"/>
  <c r="R15" i="6" s="1"/>
  <c r="K15" i="6"/>
  <c r="Q14" i="6"/>
  <c r="N14" i="6"/>
  <c r="L14" i="6"/>
  <c r="M14" i="6" s="1"/>
  <c r="P14" i="6" s="1"/>
  <c r="R14" i="6" s="1"/>
  <c r="K14" i="6"/>
  <c r="Q13" i="6"/>
  <c r="N13" i="6"/>
  <c r="L13" i="6"/>
  <c r="M13" i="6" s="1"/>
  <c r="P13" i="6" s="1"/>
  <c r="R13" i="6" s="1"/>
  <c r="K13" i="6"/>
  <c r="Q12" i="6"/>
  <c r="N12" i="6"/>
  <c r="M12" i="6"/>
  <c r="P12" i="6" s="1"/>
  <c r="R12" i="6" s="1"/>
  <c r="L12" i="6"/>
  <c r="K12" i="6"/>
  <c r="Q11" i="6"/>
  <c r="N11" i="6"/>
  <c r="L11" i="6"/>
  <c r="M11" i="6" s="1"/>
  <c r="P11" i="6" s="1"/>
  <c r="R11" i="6" s="1"/>
  <c r="K11" i="6"/>
  <c r="Q10" i="6"/>
  <c r="N10" i="6"/>
  <c r="M10" i="6"/>
  <c r="P10" i="6" s="1"/>
  <c r="R10" i="6" s="1"/>
  <c r="L10" i="6"/>
  <c r="K10" i="6"/>
  <c r="Q9" i="6"/>
  <c r="N9" i="6"/>
  <c r="M9" i="6"/>
  <c r="L9" i="6"/>
  <c r="K9" i="6"/>
  <c r="Q8" i="6"/>
  <c r="N8" i="6"/>
  <c r="L8" i="6"/>
  <c r="M8" i="6" s="1"/>
  <c r="K8" i="6"/>
  <c r="Q7" i="6"/>
  <c r="N7" i="6"/>
  <c r="L7" i="6"/>
  <c r="M7" i="6" s="1"/>
  <c r="P7" i="6" s="1"/>
  <c r="R7" i="6" s="1"/>
  <c r="K7" i="6"/>
  <c r="Q6" i="6"/>
  <c r="N6" i="6"/>
  <c r="L6" i="6"/>
  <c r="M6" i="6" s="1"/>
  <c r="P6" i="6" s="1"/>
  <c r="R6" i="6" s="1"/>
  <c r="K6" i="6"/>
  <c r="Q5" i="6"/>
  <c r="N5" i="6"/>
  <c r="M5" i="6"/>
  <c r="P5" i="6" s="1"/>
  <c r="R5" i="6" s="1"/>
  <c r="L5" i="6"/>
  <c r="K5" i="6"/>
  <c r="Q4" i="6"/>
  <c r="N4" i="6"/>
  <c r="M4" i="6"/>
  <c r="P4" i="6" s="1"/>
  <c r="R4" i="6" s="1"/>
  <c r="L4" i="6"/>
  <c r="K4" i="6"/>
  <c r="Q3" i="6"/>
  <c r="N3" i="6"/>
  <c r="L3" i="6"/>
  <c r="M3" i="6" s="1"/>
  <c r="P3" i="6" s="1"/>
  <c r="R3" i="6" s="1"/>
  <c r="K3" i="6"/>
  <c r="Q2" i="6"/>
  <c r="N2" i="6"/>
  <c r="L2" i="6"/>
  <c r="M2" i="6" s="1"/>
  <c r="K2" i="6"/>
  <c r="K17" i="5"/>
  <c r="L17" i="5"/>
  <c r="M17" i="5" s="1"/>
  <c r="O17" i="5" s="1"/>
  <c r="P17" i="5" s="1"/>
  <c r="N17" i="5"/>
  <c r="K18" i="5"/>
  <c r="L18" i="5"/>
  <c r="M18" i="5" s="1"/>
  <c r="O18" i="5" s="1"/>
  <c r="P18" i="5" s="1"/>
  <c r="N18" i="5"/>
  <c r="K19" i="5"/>
  <c r="L19" i="5"/>
  <c r="M19" i="5" s="1"/>
  <c r="O19" i="5" s="1"/>
  <c r="P19" i="5" s="1"/>
  <c r="N19" i="5"/>
  <c r="K20" i="5"/>
  <c r="L20" i="5"/>
  <c r="M20" i="5" s="1"/>
  <c r="O20" i="5" s="1"/>
  <c r="P20" i="5" s="1"/>
  <c r="N20" i="5"/>
  <c r="K21" i="5"/>
  <c r="L21" i="5"/>
  <c r="M21" i="5" s="1"/>
  <c r="O21" i="5" s="1"/>
  <c r="P21" i="5" s="1"/>
  <c r="N21" i="5"/>
  <c r="K22" i="5"/>
  <c r="L22" i="5"/>
  <c r="M22" i="5" s="1"/>
  <c r="O22" i="5" s="1"/>
  <c r="P22" i="5" s="1"/>
  <c r="N22" i="5"/>
  <c r="K23" i="5"/>
  <c r="L23" i="5"/>
  <c r="M23" i="5" s="1"/>
  <c r="O23" i="5" s="1"/>
  <c r="P23" i="5" s="1"/>
  <c r="N23" i="5"/>
  <c r="K24" i="5"/>
  <c r="L24" i="5"/>
  <c r="M24" i="5" s="1"/>
  <c r="O24" i="5" s="1"/>
  <c r="P24" i="5" s="1"/>
  <c r="N24" i="5"/>
  <c r="K25" i="5"/>
  <c r="L25" i="5"/>
  <c r="M25" i="5" s="1"/>
  <c r="O25" i="5" s="1"/>
  <c r="P25" i="5" s="1"/>
  <c r="N25" i="5"/>
  <c r="K26" i="5"/>
  <c r="L26" i="5"/>
  <c r="M26" i="5" s="1"/>
  <c r="O26" i="5" s="1"/>
  <c r="P26" i="5" s="1"/>
  <c r="N26" i="5"/>
  <c r="K27" i="5"/>
  <c r="L27" i="5"/>
  <c r="M27" i="5" s="1"/>
  <c r="O27" i="5" s="1"/>
  <c r="P27" i="5" s="1"/>
  <c r="N27" i="5"/>
  <c r="K28" i="5"/>
  <c r="L28" i="5"/>
  <c r="M28" i="5" s="1"/>
  <c r="O28" i="5" s="1"/>
  <c r="P28" i="5" s="1"/>
  <c r="N28" i="5"/>
  <c r="K29" i="5"/>
  <c r="L29" i="5"/>
  <c r="M29" i="5" s="1"/>
  <c r="O29" i="5" s="1"/>
  <c r="P29" i="5" s="1"/>
  <c r="N29" i="5"/>
  <c r="K30" i="5"/>
  <c r="L30" i="5"/>
  <c r="M30" i="5" s="1"/>
  <c r="O30" i="5" s="1"/>
  <c r="P30" i="5" s="1"/>
  <c r="N30" i="5"/>
  <c r="K31" i="5"/>
  <c r="L31" i="5"/>
  <c r="M31" i="5" s="1"/>
  <c r="O31" i="5" s="1"/>
  <c r="P31" i="5" s="1"/>
  <c r="N31" i="5"/>
  <c r="K32" i="5"/>
  <c r="L32" i="5"/>
  <c r="M32" i="5" s="1"/>
  <c r="O32" i="5" s="1"/>
  <c r="P32" i="5" s="1"/>
  <c r="N32" i="5"/>
  <c r="K33" i="5"/>
  <c r="L33" i="5"/>
  <c r="M33" i="5" s="1"/>
  <c r="O33" i="5" s="1"/>
  <c r="P33" i="5" s="1"/>
  <c r="N33" i="5"/>
  <c r="K34" i="5"/>
  <c r="L34" i="5"/>
  <c r="M34" i="5" s="1"/>
  <c r="O34" i="5" s="1"/>
  <c r="P34" i="5" s="1"/>
  <c r="N34" i="5"/>
  <c r="K35" i="5"/>
  <c r="L35" i="5"/>
  <c r="M35" i="5" s="1"/>
  <c r="O35" i="5" s="1"/>
  <c r="P35" i="5" s="1"/>
  <c r="N35" i="5"/>
  <c r="K36" i="5"/>
  <c r="L36" i="5"/>
  <c r="M36" i="5"/>
  <c r="O36" i="5" s="1"/>
  <c r="P36" i="5" s="1"/>
  <c r="N36" i="5"/>
  <c r="K37" i="5"/>
  <c r="L37" i="5"/>
  <c r="M37" i="5" s="1"/>
  <c r="O37" i="5" s="1"/>
  <c r="P37" i="5" s="1"/>
  <c r="N37" i="5"/>
  <c r="K38" i="5"/>
  <c r="L38" i="5"/>
  <c r="M38" i="5" s="1"/>
  <c r="O38" i="5" s="1"/>
  <c r="P38" i="5" s="1"/>
  <c r="N38" i="5"/>
  <c r="K39" i="5"/>
  <c r="L39" i="5"/>
  <c r="M39" i="5" s="1"/>
  <c r="O39" i="5" s="1"/>
  <c r="P39" i="5" s="1"/>
  <c r="N39" i="5"/>
  <c r="K40" i="5"/>
  <c r="L40" i="5"/>
  <c r="M40" i="5"/>
  <c r="O40" i="5" s="1"/>
  <c r="P40" i="5" s="1"/>
  <c r="N40" i="5"/>
  <c r="K41" i="5"/>
  <c r="L41" i="5"/>
  <c r="M41" i="5" s="1"/>
  <c r="O41" i="5" s="1"/>
  <c r="P41" i="5" s="1"/>
  <c r="N41" i="5"/>
  <c r="K42" i="5"/>
  <c r="L42" i="5"/>
  <c r="M42" i="5" s="1"/>
  <c r="O42" i="5" s="1"/>
  <c r="P42" i="5" s="1"/>
  <c r="N42" i="5"/>
  <c r="K43" i="5"/>
  <c r="L43" i="5"/>
  <c r="M43" i="5" s="1"/>
  <c r="O43" i="5" s="1"/>
  <c r="P43" i="5" s="1"/>
  <c r="N43" i="5"/>
  <c r="K44" i="5"/>
  <c r="L44" i="5"/>
  <c r="M44" i="5"/>
  <c r="O44" i="5" s="1"/>
  <c r="P44" i="5" s="1"/>
  <c r="N44" i="5"/>
  <c r="K45" i="5"/>
  <c r="L45" i="5"/>
  <c r="M45" i="5" s="1"/>
  <c r="O45" i="5" s="1"/>
  <c r="P45" i="5" s="1"/>
  <c r="N45" i="5"/>
  <c r="K46" i="5"/>
  <c r="L46" i="5"/>
  <c r="M46" i="5" s="1"/>
  <c r="O46" i="5" s="1"/>
  <c r="P46" i="5" s="1"/>
  <c r="N46" i="5"/>
  <c r="K47" i="5"/>
  <c r="L47" i="5"/>
  <c r="M47" i="5" s="1"/>
  <c r="O47" i="5" s="1"/>
  <c r="P47" i="5" s="1"/>
  <c r="N47" i="5"/>
  <c r="K48" i="5"/>
  <c r="L48" i="5"/>
  <c r="M48" i="5"/>
  <c r="O48" i="5" s="1"/>
  <c r="P48" i="5" s="1"/>
  <c r="N48" i="5"/>
  <c r="K49" i="5"/>
  <c r="L49" i="5"/>
  <c r="M49" i="5" s="1"/>
  <c r="O49" i="5" s="1"/>
  <c r="P49" i="5" s="1"/>
  <c r="N49" i="5"/>
  <c r="K50" i="5"/>
  <c r="L50" i="5"/>
  <c r="M50" i="5" s="1"/>
  <c r="O50" i="5" s="1"/>
  <c r="P50" i="5" s="1"/>
  <c r="N50" i="5"/>
  <c r="K51" i="5"/>
  <c r="L51" i="5"/>
  <c r="M51" i="5" s="1"/>
  <c r="O51" i="5" s="1"/>
  <c r="P51" i="5" s="1"/>
  <c r="N51" i="5"/>
  <c r="K52" i="5"/>
  <c r="L52" i="5"/>
  <c r="M52" i="5"/>
  <c r="O52" i="5" s="1"/>
  <c r="P52" i="5" s="1"/>
  <c r="N52" i="5"/>
  <c r="K53" i="5"/>
  <c r="L53" i="5"/>
  <c r="M53" i="5" s="1"/>
  <c r="O53" i="5" s="1"/>
  <c r="P53" i="5" s="1"/>
  <c r="N53" i="5"/>
  <c r="K54" i="5"/>
  <c r="L54" i="5"/>
  <c r="M54" i="5" s="1"/>
  <c r="O54" i="5" s="1"/>
  <c r="P54" i="5" s="1"/>
  <c r="N54" i="5"/>
  <c r="K55" i="5"/>
  <c r="L55" i="5"/>
  <c r="M55" i="5" s="1"/>
  <c r="O55" i="5" s="1"/>
  <c r="P55" i="5" s="1"/>
  <c r="N55" i="5"/>
  <c r="K56" i="5"/>
  <c r="L56" i="5"/>
  <c r="M56" i="5"/>
  <c r="O56" i="5" s="1"/>
  <c r="P56" i="5" s="1"/>
  <c r="N56" i="5"/>
  <c r="K57" i="5"/>
  <c r="L57" i="5"/>
  <c r="M57" i="5" s="1"/>
  <c r="O57" i="5" s="1"/>
  <c r="P57" i="5" s="1"/>
  <c r="N57" i="5"/>
  <c r="K58" i="5"/>
  <c r="L58" i="5"/>
  <c r="M58" i="5" s="1"/>
  <c r="O58" i="5" s="1"/>
  <c r="P58" i="5" s="1"/>
  <c r="N58" i="5"/>
  <c r="K59" i="5"/>
  <c r="L59" i="5"/>
  <c r="M59" i="5" s="1"/>
  <c r="O59" i="5" s="1"/>
  <c r="P59" i="5" s="1"/>
  <c r="N59" i="5"/>
  <c r="K60" i="5"/>
  <c r="L60" i="5"/>
  <c r="M60" i="5"/>
  <c r="O60" i="5" s="1"/>
  <c r="P60" i="5" s="1"/>
  <c r="N60" i="5"/>
  <c r="K61" i="5"/>
  <c r="L61" i="5"/>
  <c r="M61" i="5" s="1"/>
  <c r="O61" i="5" s="1"/>
  <c r="P61" i="5" s="1"/>
  <c r="N61" i="5"/>
  <c r="K62" i="5"/>
  <c r="L62" i="5"/>
  <c r="M62" i="5" s="1"/>
  <c r="O62" i="5" s="1"/>
  <c r="P62" i="5" s="1"/>
  <c r="N62" i="5"/>
  <c r="K63" i="5"/>
  <c r="L63" i="5"/>
  <c r="M63" i="5" s="1"/>
  <c r="O63" i="5" s="1"/>
  <c r="P63" i="5" s="1"/>
  <c r="N63" i="5"/>
  <c r="K64" i="5"/>
  <c r="L64" i="5"/>
  <c r="M64" i="5"/>
  <c r="O64" i="5" s="1"/>
  <c r="P64" i="5" s="1"/>
  <c r="N64" i="5"/>
  <c r="K65" i="5"/>
  <c r="L65" i="5"/>
  <c r="M65" i="5" s="1"/>
  <c r="O65" i="5" s="1"/>
  <c r="P65" i="5" s="1"/>
  <c r="N65" i="5"/>
  <c r="K66" i="5"/>
  <c r="L66" i="5"/>
  <c r="M66" i="5" s="1"/>
  <c r="O66" i="5" s="1"/>
  <c r="P66" i="5" s="1"/>
  <c r="N66" i="5"/>
  <c r="K67" i="5"/>
  <c r="L67" i="5"/>
  <c r="M67" i="5" s="1"/>
  <c r="O67" i="5" s="1"/>
  <c r="P67" i="5" s="1"/>
  <c r="N67" i="5"/>
  <c r="K68" i="5"/>
  <c r="L68" i="5"/>
  <c r="M68" i="5"/>
  <c r="O68" i="5" s="1"/>
  <c r="P68" i="5" s="1"/>
  <c r="N68" i="5"/>
  <c r="K69" i="5"/>
  <c r="L69" i="5"/>
  <c r="M69" i="5" s="1"/>
  <c r="O69" i="5" s="1"/>
  <c r="P69" i="5" s="1"/>
  <c r="N69" i="5"/>
  <c r="K70" i="5"/>
  <c r="L70" i="5"/>
  <c r="M70" i="5" s="1"/>
  <c r="O70" i="5" s="1"/>
  <c r="P70" i="5" s="1"/>
  <c r="N70" i="5"/>
  <c r="K71" i="5"/>
  <c r="L71" i="5"/>
  <c r="M71" i="5" s="1"/>
  <c r="O71" i="5" s="1"/>
  <c r="P71" i="5" s="1"/>
  <c r="N71" i="5"/>
  <c r="K72" i="5"/>
  <c r="L72" i="5"/>
  <c r="M72" i="5" s="1"/>
  <c r="O72" i="5" s="1"/>
  <c r="P72" i="5" s="1"/>
  <c r="N72" i="5"/>
  <c r="K73" i="5"/>
  <c r="L73" i="5"/>
  <c r="M73" i="5" s="1"/>
  <c r="O73" i="5" s="1"/>
  <c r="P73" i="5" s="1"/>
  <c r="N73" i="5"/>
  <c r="K74" i="5"/>
  <c r="L74" i="5"/>
  <c r="M74" i="5" s="1"/>
  <c r="O74" i="5" s="1"/>
  <c r="P74" i="5" s="1"/>
  <c r="N74" i="5"/>
  <c r="K75" i="5"/>
  <c r="L75" i="5"/>
  <c r="M75" i="5" s="1"/>
  <c r="O75" i="5" s="1"/>
  <c r="P75" i="5" s="1"/>
  <c r="N75" i="5"/>
  <c r="K76" i="5"/>
  <c r="L76" i="5"/>
  <c r="M76" i="5"/>
  <c r="O76" i="5" s="1"/>
  <c r="P76" i="5" s="1"/>
  <c r="N76" i="5"/>
  <c r="K77" i="5"/>
  <c r="L77" i="5"/>
  <c r="M77" i="5" s="1"/>
  <c r="O77" i="5" s="1"/>
  <c r="P77" i="5" s="1"/>
  <c r="N77" i="5"/>
  <c r="K78" i="5"/>
  <c r="L78" i="5"/>
  <c r="M78" i="5" s="1"/>
  <c r="O78" i="5" s="1"/>
  <c r="P78" i="5" s="1"/>
  <c r="N78" i="5"/>
  <c r="K79" i="5"/>
  <c r="L79" i="5"/>
  <c r="M79" i="5" s="1"/>
  <c r="O79" i="5" s="1"/>
  <c r="P79" i="5" s="1"/>
  <c r="N79" i="5"/>
  <c r="K80" i="5"/>
  <c r="L80" i="5"/>
  <c r="M80" i="5"/>
  <c r="O80" i="5" s="1"/>
  <c r="P80" i="5" s="1"/>
  <c r="N80" i="5"/>
  <c r="K81" i="5"/>
  <c r="L81" i="5"/>
  <c r="M81" i="5" s="1"/>
  <c r="O81" i="5" s="1"/>
  <c r="P81" i="5" s="1"/>
  <c r="N81" i="5"/>
  <c r="K82" i="5"/>
  <c r="L82" i="5"/>
  <c r="M82" i="5" s="1"/>
  <c r="O82" i="5" s="1"/>
  <c r="P82" i="5" s="1"/>
  <c r="N82" i="5"/>
  <c r="K83" i="5"/>
  <c r="L83" i="5"/>
  <c r="M83" i="5" s="1"/>
  <c r="O83" i="5" s="1"/>
  <c r="P83" i="5" s="1"/>
  <c r="N83" i="5"/>
  <c r="K84" i="5"/>
  <c r="L84" i="5"/>
  <c r="M84" i="5"/>
  <c r="O84" i="5" s="1"/>
  <c r="P84" i="5" s="1"/>
  <c r="N84" i="5"/>
  <c r="K85" i="5"/>
  <c r="L85" i="5"/>
  <c r="M85" i="5" s="1"/>
  <c r="O85" i="5" s="1"/>
  <c r="P85" i="5" s="1"/>
  <c r="N85" i="5"/>
  <c r="K86" i="5"/>
  <c r="L86" i="5"/>
  <c r="M86" i="5" s="1"/>
  <c r="O86" i="5" s="1"/>
  <c r="P86" i="5" s="1"/>
  <c r="N86" i="5"/>
  <c r="K87" i="5"/>
  <c r="L87" i="5"/>
  <c r="M87" i="5" s="1"/>
  <c r="O87" i="5" s="1"/>
  <c r="P87" i="5" s="1"/>
  <c r="N87" i="5"/>
  <c r="K88" i="5"/>
  <c r="L88" i="5"/>
  <c r="M88" i="5"/>
  <c r="O88" i="5" s="1"/>
  <c r="P88" i="5" s="1"/>
  <c r="N88" i="5"/>
  <c r="K89" i="5"/>
  <c r="L89" i="5"/>
  <c r="M89" i="5" s="1"/>
  <c r="O89" i="5" s="1"/>
  <c r="P89" i="5" s="1"/>
  <c r="N89" i="5"/>
  <c r="K90" i="5"/>
  <c r="L90" i="5"/>
  <c r="M90" i="5" s="1"/>
  <c r="O90" i="5" s="1"/>
  <c r="P90" i="5" s="1"/>
  <c r="N90" i="5"/>
  <c r="K91" i="5"/>
  <c r="L91" i="5"/>
  <c r="M91" i="5" s="1"/>
  <c r="O91" i="5" s="1"/>
  <c r="P91" i="5" s="1"/>
  <c r="N91" i="5"/>
  <c r="K92" i="5"/>
  <c r="L92" i="5"/>
  <c r="M92" i="5"/>
  <c r="O92" i="5" s="1"/>
  <c r="P92" i="5" s="1"/>
  <c r="N92" i="5"/>
  <c r="K93" i="5"/>
  <c r="L93" i="5"/>
  <c r="M93" i="5" s="1"/>
  <c r="O93" i="5" s="1"/>
  <c r="P93" i="5" s="1"/>
  <c r="N93" i="5"/>
  <c r="K94" i="5"/>
  <c r="L94" i="5"/>
  <c r="M94" i="5" s="1"/>
  <c r="O94" i="5" s="1"/>
  <c r="P94" i="5" s="1"/>
  <c r="N94" i="5"/>
  <c r="K95" i="5"/>
  <c r="L95" i="5"/>
  <c r="M95" i="5" s="1"/>
  <c r="O95" i="5" s="1"/>
  <c r="P95" i="5" s="1"/>
  <c r="N95" i="5"/>
  <c r="K96" i="5"/>
  <c r="L96" i="5"/>
  <c r="M96" i="5"/>
  <c r="O96" i="5" s="1"/>
  <c r="P96" i="5" s="1"/>
  <c r="N96" i="5"/>
  <c r="K97" i="5"/>
  <c r="L97" i="5"/>
  <c r="M97" i="5" s="1"/>
  <c r="O97" i="5" s="1"/>
  <c r="P97" i="5" s="1"/>
  <c r="N97" i="5"/>
  <c r="K98" i="5"/>
  <c r="L98" i="5"/>
  <c r="M98" i="5" s="1"/>
  <c r="O98" i="5" s="1"/>
  <c r="P98" i="5" s="1"/>
  <c r="N98" i="5"/>
  <c r="K99" i="5"/>
  <c r="L99" i="5"/>
  <c r="M99" i="5" s="1"/>
  <c r="O99" i="5" s="1"/>
  <c r="P99" i="5" s="1"/>
  <c r="N99" i="5"/>
  <c r="K100" i="5"/>
  <c r="L100" i="5"/>
  <c r="M100" i="5"/>
  <c r="O100" i="5" s="1"/>
  <c r="P100" i="5" s="1"/>
  <c r="N100" i="5"/>
  <c r="K101" i="5"/>
  <c r="L101" i="5"/>
  <c r="M101" i="5" s="1"/>
  <c r="O101" i="5" s="1"/>
  <c r="P101" i="5" s="1"/>
  <c r="N101" i="5"/>
  <c r="K102" i="5"/>
  <c r="L102" i="5"/>
  <c r="M102" i="5" s="1"/>
  <c r="O102" i="5" s="1"/>
  <c r="P102" i="5" s="1"/>
  <c r="N102" i="5"/>
  <c r="K103" i="5"/>
  <c r="L103" i="5"/>
  <c r="M103" i="5" s="1"/>
  <c r="O103" i="5" s="1"/>
  <c r="P103" i="5" s="1"/>
  <c r="N103" i="5"/>
  <c r="K104" i="5"/>
  <c r="L104" i="5"/>
  <c r="M104" i="5"/>
  <c r="O104" i="5" s="1"/>
  <c r="P104" i="5" s="1"/>
  <c r="N104" i="5"/>
  <c r="K105" i="5"/>
  <c r="L105" i="5"/>
  <c r="M105" i="5" s="1"/>
  <c r="O105" i="5" s="1"/>
  <c r="P105" i="5" s="1"/>
  <c r="N105" i="5"/>
  <c r="K106" i="5"/>
  <c r="L106" i="5"/>
  <c r="M106" i="5" s="1"/>
  <c r="O106" i="5" s="1"/>
  <c r="P106" i="5" s="1"/>
  <c r="N106" i="5"/>
  <c r="K107" i="5"/>
  <c r="L107" i="5"/>
  <c r="M107" i="5" s="1"/>
  <c r="O107" i="5" s="1"/>
  <c r="P107" i="5" s="1"/>
  <c r="N107" i="5"/>
  <c r="K108" i="5"/>
  <c r="L108" i="5"/>
  <c r="M108" i="5"/>
  <c r="O108" i="5" s="1"/>
  <c r="P108" i="5" s="1"/>
  <c r="N108" i="5"/>
  <c r="K109" i="5"/>
  <c r="L109" i="5"/>
  <c r="M109" i="5" s="1"/>
  <c r="O109" i="5" s="1"/>
  <c r="P109" i="5" s="1"/>
  <c r="N109" i="5"/>
  <c r="K110" i="5"/>
  <c r="L110" i="5"/>
  <c r="M110" i="5" s="1"/>
  <c r="O110" i="5" s="1"/>
  <c r="P110" i="5" s="1"/>
  <c r="N110" i="5"/>
  <c r="K111" i="5"/>
  <c r="L111" i="5"/>
  <c r="M111" i="5" s="1"/>
  <c r="O111" i="5" s="1"/>
  <c r="P111" i="5" s="1"/>
  <c r="N111" i="5"/>
  <c r="K112" i="5"/>
  <c r="L112" i="5"/>
  <c r="M112" i="5"/>
  <c r="O112" i="5" s="1"/>
  <c r="P112" i="5" s="1"/>
  <c r="N112" i="5"/>
  <c r="K113" i="5"/>
  <c r="L113" i="5"/>
  <c r="M113" i="5" s="1"/>
  <c r="O113" i="5" s="1"/>
  <c r="P113" i="5" s="1"/>
  <c r="N113" i="5"/>
  <c r="K114" i="5"/>
  <c r="L114" i="5"/>
  <c r="M114" i="5" s="1"/>
  <c r="O114" i="5" s="1"/>
  <c r="P114" i="5" s="1"/>
  <c r="N114" i="5"/>
  <c r="K115" i="5"/>
  <c r="L115" i="5"/>
  <c r="M115" i="5" s="1"/>
  <c r="O115" i="5" s="1"/>
  <c r="P115" i="5" s="1"/>
  <c r="N115" i="5"/>
  <c r="K116" i="5"/>
  <c r="L116" i="5"/>
  <c r="M116" i="5"/>
  <c r="O116" i="5" s="1"/>
  <c r="P116" i="5" s="1"/>
  <c r="N116" i="5"/>
  <c r="K117" i="5"/>
  <c r="L117" i="5"/>
  <c r="M117" i="5" s="1"/>
  <c r="O117" i="5" s="1"/>
  <c r="P117" i="5" s="1"/>
  <c r="N117" i="5"/>
  <c r="K118" i="5"/>
  <c r="L118" i="5"/>
  <c r="M118" i="5" s="1"/>
  <c r="O118" i="5" s="1"/>
  <c r="P118" i="5" s="1"/>
  <c r="N118" i="5"/>
  <c r="K119" i="5"/>
  <c r="L119" i="5"/>
  <c r="M119" i="5" s="1"/>
  <c r="O119" i="5" s="1"/>
  <c r="P119" i="5" s="1"/>
  <c r="N119" i="5"/>
  <c r="K120" i="5"/>
  <c r="L120" i="5"/>
  <c r="M120" i="5"/>
  <c r="O120" i="5" s="1"/>
  <c r="P120" i="5" s="1"/>
  <c r="N120" i="5"/>
  <c r="K121" i="5"/>
  <c r="L121" i="5"/>
  <c r="M121" i="5" s="1"/>
  <c r="O121" i="5" s="1"/>
  <c r="P121" i="5" s="1"/>
  <c r="N121" i="5"/>
  <c r="K122" i="5"/>
  <c r="L122" i="5"/>
  <c r="M122" i="5" s="1"/>
  <c r="O122" i="5" s="1"/>
  <c r="P122" i="5" s="1"/>
  <c r="N122" i="5"/>
  <c r="K123" i="5"/>
  <c r="L123" i="5"/>
  <c r="M123" i="5" s="1"/>
  <c r="O123" i="5" s="1"/>
  <c r="P123" i="5" s="1"/>
  <c r="N123" i="5"/>
  <c r="K124" i="5"/>
  <c r="L124" i="5"/>
  <c r="M124" i="5"/>
  <c r="O124" i="5" s="1"/>
  <c r="P124" i="5" s="1"/>
  <c r="N124" i="5"/>
  <c r="K125" i="5"/>
  <c r="L125" i="5"/>
  <c r="M125" i="5" s="1"/>
  <c r="O125" i="5" s="1"/>
  <c r="P125" i="5" s="1"/>
  <c r="N125" i="5"/>
  <c r="K126" i="5"/>
  <c r="L126" i="5"/>
  <c r="M126" i="5" s="1"/>
  <c r="O126" i="5" s="1"/>
  <c r="P126" i="5" s="1"/>
  <c r="N126" i="5"/>
  <c r="K127" i="5"/>
  <c r="L127" i="5"/>
  <c r="M127" i="5" s="1"/>
  <c r="O127" i="5" s="1"/>
  <c r="P127" i="5" s="1"/>
  <c r="N127" i="5"/>
  <c r="K128" i="5"/>
  <c r="L128" i="5"/>
  <c r="M128" i="5"/>
  <c r="O128" i="5" s="1"/>
  <c r="P128" i="5" s="1"/>
  <c r="N128" i="5"/>
  <c r="O2" i="5"/>
  <c r="M2" i="5"/>
  <c r="U21" i="5"/>
  <c r="W17" i="5"/>
  <c r="N16" i="5"/>
  <c r="L16" i="5"/>
  <c r="M16" i="5" s="1"/>
  <c r="O16" i="5" s="1"/>
  <c r="K16" i="5"/>
  <c r="N15" i="5"/>
  <c r="L15" i="5"/>
  <c r="M15" i="5" s="1"/>
  <c r="O15" i="5" s="1"/>
  <c r="K15" i="5"/>
  <c r="N14" i="5"/>
  <c r="L14" i="5"/>
  <c r="M14" i="5" s="1"/>
  <c r="O14" i="5" s="1"/>
  <c r="K14" i="5"/>
  <c r="N13" i="5"/>
  <c r="L13" i="5"/>
  <c r="M13" i="5" s="1"/>
  <c r="O13" i="5" s="1"/>
  <c r="K13" i="5"/>
  <c r="N12" i="5"/>
  <c r="M12" i="5"/>
  <c r="L12" i="5"/>
  <c r="K12" i="5"/>
  <c r="N11" i="5"/>
  <c r="L11" i="5"/>
  <c r="M11" i="5" s="1"/>
  <c r="K11" i="5"/>
  <c r="N10" i="5"/>
  <c r="L10" i="5"/>
  <c r="M10" i="5" s="1"/>
  <c r="O10" i="5" s="1"/>
  <c r="K10" i="5"/>
  <c r="N9" i="5"/>
  <c r="L9" i="5"/>
  <c r="M9" i="5" s="1"/>
  <c r="O9" i="5" s="1"/>
  <c r="K9" i="5"/>
  <c r="N8" i="5"/>
  <c r="L8" i="5"/>
  <c r="M8" i="5" s="1"/>
  <c r="O8" i="5" s="1"/>
  <c r="K8" i="5"/>
  <c r="N7" i="5"/>
  <c r="M7" i="5"/>
  <c r="O7" i="5" s="1"/>
  <c r="L7" i="5"/>
  <c r="K7" i="5"/>
  <c r="N6" i="5"/>
  <c r="L6" i="5"/>
  <c r="M6" i="5" s="1"/>
  <c r="O6" i="5" s="1"/>
  <c r="K6" i="5"/>
  <c r="N5" i="5"/>
  <c r="L5" i="5"/>
  <c r="M5" i="5" s="1"/>
  <c r="K5" i="5"/>
  <c r="N4" i="5"/>
  <c r="L4" i="5"/>
  <c r="M4" i="5" s="1"/>
  <c r="K4" i="5"/>
  <c r="N3" i="5"/>
  <c r="L3" i="5"/>
  <c r="M3" i="5" s="1"/>
  <c r="O3" i="5" s="1"/>
  <c r="K3" i="5"/>
  <c r="N2" i="5"/>
  <c r="L2" i="5"/>
  <c r="K2" i="5"/>
  <c r="AE32" i="2"/>
  <c r="AE33" i="2"/>
  <c r="AE34" i="2"/>
  <c r="AE35" i="2"/>
  <c r="AE36" i="2"/>
  <c r="AE37" i="2"/>
  <c r="AE38" i="2"/>
  <c r="AE39" i="2"/>
  <c r="AF39" i="2" s="1"/>
  <c r="AE40" i="2"/>
  <c r="AE41" i="2"/>
  <c r="AE42" i="2"/>
  <c r="AE43" i="2"/>
  <c r="AE44" i="2"/>
  <c r="AE45" i="2"/>
  <c r="AE46" i="2"/>
  <c r="AE47" i="2"/>
  <c r="AF47" i="2" s="1"/>
  <c r="AE48" i="2"/>
  <c r="AE49" i="2"/>
  <c r="AE50" i="2"/>
  <c r="AE51" i="2"/>
  <c r="AE52" i="2"/>
  <c r="AE53" i="2"/>
  <c r="AE54" i="2"/>
  <c r="AE55" i="2"/>
  <c r="AF55" i="2" s="1"/>
  <c r="AE56" i="2"/>
  <c r="AE57" i="2"/>
  <c r="AE58" i="2"/>
  <c r="AE59" i="2"/>
  <c r="AE60" i="2"/>
  <c r="AE61" i="2"/>
  <c r="AE62" i="2"/>
  <c r="AE63" i="2"/>
  <c r="AF63" i="2" s="1"/>
  <c r="AE64" i="2"/>
  <c r="AE65" i="2"/>
  <c r="AE66" i="2"/>
  <c r="AE67" i="2"/>
  <c r="AE68" i="2"/>
  <c r="AE69" i="2"/>
  <c r="AE70" i="2"/>
  <c r="AE71" i="2"/>
  <c r="AF71" i="2" s="1"/>
  <c r="AE72" i="2"/>
  <c r="AE73" i="2"/>
  <c r="AE74" i="2"/>
  <c r="AE75" i="2"/>
  <c r="AE76" i="2"/>
  <c r="AE77" i="2"/>
  <c r="AE78" i="2"/>
  <c r="AE79" i="2"/>
  <c r="AF79" i="2" s="1"/>
  <c r="AE80" i="2"/>
  <c r="AE81" i="2"/>
  <c r="AE82" i="2"/>
  <c r="AE83" i="2"/>
  <c r="AE84" i="2"/>
  <c r="AE85" i="2"/>
  <c r="AE86" i="2"/>
  <c r="AE87" i="2"/>
  <c r="AF87" i="2" s="1"/>
  <c r="AE88" i="2"/>
  <c r="AE89" i="2"/>
  <c r="AE90" i="2"/>
  <c r="AE91" i="2"/>
  <c r="AE92" i="2"/>
  <c r="AE93" i="2"/>
  <c r="AE94" i="2"/>
  <c r="AE95" i="2"/>
  <c r="AF95" i="2" s="1"/>
  <c r="AE96" i="2"/>
  <c r="AE97" i="2"/>
  <c r="AE98" i="2"/>
  <c r="AE99" i="2"/>
  <c r="AE100" i="2"/>
  <c r="AE101" i="2"/>
  <c r="AE102" i="2"/>
  <c r="AE103" i="2"/>
  <c r="AF103" i="2" s="1"/>
  <c r="AE104" i="2"/>
  <c r="AE105" i="2"/>
  <c r="AE106" i="2"/>
  <c r="AE107" i="2"/>
  <c r="AE108" i="2"/>
  <c r="AE109" i="2"/>
  <c r="AE110" i="2"/>
  <c r="AE111" i="2"/>
  <c r="AF111" i="2" s="1"/>
  <c r="AE112" i="2"/>
  <c r="AE113" i="2"/>
  <c r="AE114" i="2"/>
  <c r="AE115" i="2"/>
  <c r="AE116" i="2"/>
  <c r="AE117" i="2"/>
  <c r="AE118" i="2"/>
  <c r="AE119" i="2"/>
  <c r="AF119" i="2" s="1"/>
  <c r="AE120" i="2"/>
  <c r="AE121" i="2"/>
  <c r="AE122" i="2"/>
  <c r="AE123" i="2"/>
  <c r="AE124" i="2"/>
  <c r="AE125" i="2"/>
  <c r="AE126" i="2"/>
  <c r="AE127" i="2"/>
  <c r="AF127" i="2" s="1"/>
  <c r="AE128" i="2"/>
  <c r="AE129" i="2"/>
  <c r="AE130" i="2"/>
  <c r="AE131" i="2"/>
  <c r="AE132" i="2"/>
  <c r="AE133" i="2"/>
  <c r="AE134" i="2"/>
  <c r="AE135" i="2"/>
  <c r="AF135" i="2" s="1"/>
  <c r="AE136" i="2"/>
  <c r="AE137" i="2"/>
  <c r="AE138" i="2"/>
  <c r="AE139" i="2"/>
  <c r="AE140" i="2"/>
  <c r="AE141" i="2"/>
  <c r="AE142" i="2"/>
  <c r="AE143" i="2"/>
  <c r="AF143" i="2" s="1"/>
  <c r="AE144" i="2"/>
  <c r="AE145" i="2"/>
  <c r="AE146" i="2"/>
  <c r="AE147" i="2"/>
  <c r="AE148" i="2"/>
  <c r="AE149" i="2"/>
  <c r="AE150" i="2"/>
  <c r="AE151" i="2"/>
  <c r="AF151" i="2" s="1"/>
  <c r="AE152" i="2"/>
  <c r="AE153" i="2"/>
  <c r="AE154" i="2"/>
  <c r="AE155" i="2"/>
  <c r="AE156" i="2"/>
  <c r="AE157" i="2"/>
  <c r="AE158" i="2"/>
  <c r="AE159" i="2"/>
  <c r="AF159" i="2" s="1"/>
  <c r="AE160" i="2"/>
  <c r="AE161" i="2"/>
  <c r="AE162" i="2"/>
  <c r="AE163" i="2"/>
  <c r="AE164" i="2"/>
  <c r="AE165" i="2"/>
  <c r="AE166" i="2"/>
  <c r="AE167" i="2"/>
  <c r="AF167" i="2" s="1"/>
  <c r="AE168" i="2"/>
  <c r="AE169" i="2"/>
  <c r="AE170" i="2"/>
  <c r="AE171" i="2"/>
  <c r="AE172" i="2"/>
  <c r="AE173" i="2"/>
  <c r="AE174" i="2"/>
  <c r="AE175" i="2"/>
  <c r="AF175" i="2" s="1"/>
  <c r="AE176" i="2"/>
  <c r="AE177" i="2"/>
  <c r="AE178" i="2"/>
  <c r="AE179" i="2"/>
  <c r="AE180" i="2"/>
  <c r="AE181" i="2"/>
  <c r="AE182" i="2"/>
  <c r="AE183" i="2"/>
  <c r="AF183" i="2" s="1"/>
  <c r="AE184" i="2"/>
  <c r="AE185" i="2"/>
  <c r="AE186" i="2"/>
  <c r="AE187" i="2"/>
  <c r="AE188" i="2"/>
  <c r="AE189" i="2"/>
  <c r="AE190" i="2"/>
  <c r="AE191" i="2"/>
  <c r="AF191" i="2" s="1"/>
  <c r="AE192" i="2"/>
  <c r="AE193" i="2"/>
  <c r="AE194" i="2"/>
  <c r="AE195" i="2"/>
  <c r="AE196" i="2"/>
  <c r="AE197" i="2"/>
  <c r="AE198" i="2"/>
  <c r="AE199" i="2"/>
  <c r="AF199" i="2" s="1"/>
  <c r="AE200" i="2"/>
  <c r="AE201" i="2"/>
  <c r="AE202" i="2"/>
  <c r="AE203" i="2"/>
  <c r="AE204" i="2"/>
  <c r="AE205" i="2"/>
  <c r="AE206" i="2"/>
  <c r="AE207" i="2"/>
  <c r="AF207" i="2" s="1"/>
  <c r="AE208" i="2"/>
  <c r="AE209" i="2"/>
  <c r="AE210" i="2"/>
  <c r="AE211" i="2"/>
  <c r="AE212" i="2"/>
  <c r="AE213" i="2"/>
  <c r="AE214" i="2"/>
  <c r="AE215" i="2"/>
  <c r="AF215" i="2" s="1"/>
  <c r="AE216" i="2"/>
  <c r="AE217" i="2"/>
  <c r="AE218" i="2"/>
  <c r="AE219" i="2"/>
  <c r="AE220" i="2"/>
  <c r="AE221" i="2"/>
  <c r="AE222" i="2"/>
  <c r="AE223" i="2"/>
  <c r="AF223" i="2" s="1"/>
  <c r="AE224" i="2"/>
  <c r="AE225" i="2"/>
  <c r="AE226" i="2"/>
  <c r="AE227" i="2"/>
  <c r="AE228" i="2"/>
  <c r="AE229" i="2"/>
  <c r="AE230" i="2"/>
  <c r="AE231" i="2"/>
  <c r="AF231" i="2" s="1"/>
  <c r="AE232" i="2"/>
  <c r="AE233" i="2"/>
  <c r="AE234" i="2"/>
  <c r="AE235" i="2"/>
  <c r="AE236" i="2"/>
  <c r="AE237" i="2"/>
  <c r="AE238" i="2"/>
  <c r="AE239" i="2"/>
  <c r="AF239" i="2" s="1"/>
  <c r="AE240" i="2"/>
  <c r="AE241" i="2"/>
  <c r="AE242" i="2"/>
  <c r="AE243" i="2"/>
  <c r="AE244" i="2"/>
  <c r="AE245" i="2"/>
  <c r="AE246" i="2"/>
  <c r="AE247" i="2"/>
  <c r="AF247" i="2" s="1"/>
  <c r="AE248" i="2"/>
  <c r="AE249" i="2"/>
  <c r="AE250" i="2"/>
  <c r="AE251" i="2"/>
  <c r="AE252" i="2"/>
  <c r="AE253" i="2"/>
  <c r="AE254" i="2"/>
  <c r="AE255" i="2"/>
  <c r="AF255" i="2" s="1"/>
  <c r="AE256" i="2"/>
  <c r="AE257" i="2"/>
  <c r="AE258" i="2"/>
  <c r="AE259" i="2"/>
  <c r="AE260" i="2"/>
  <c r="AE261" i="2"/>
  <c r="AE262" i="2"/>
  <c r="AE263" i="2"/>
  <c r="AF263" i="2" s="1"/>
  <c r="AE264" i="2"/>
  <c r="AE265" i="2"/>
  <c r="AE266" i="2"/>
  <c r="AE267" i="2"/>
  <c r="AE268" i="2"/>
  <c r="AE269" i="2"/>
  <c r="AE270" i="2"/>
  <c r="AE271" i="2"/>
  <c r="AF271" i="2" s="1"/>
  <c r="AE272" i="2"/>
  <c r="AE273" i="2"/>
  <c r="AE274" i="2"/>
  <c r="AE275" i="2"/>
  <c r="AE276" i="2"/>
  <c r="AE277" i="2"/>
  <c r="AE278" i="2"/>
  <c r="AE279" i="2"/>
  <c r="AF279" i="2" s="1"/>
  <c r="AE280" i="2"/>
  <c r="AE281" i="2"/>
  <c r="AE282" i="2"/>
  <c r="AE283" i="2"/>
  <c r="AE284" i="2"/>
  <c r="AE285" i="2"/>
  <c r="AE286" i="2"/>
  <c r="AE287" i="2"/>
  <c r="AF287" i="2" s="1"/>
  <c r="AE288" i="2"/>
  <c r="AE289" i="2"/>
  <c r="AE290" i="2"/>
  <c r="AE291" i="2"/>
  <c r="AE292" i="2"/>
  <c r="AE293" i="2"/>
  <c r="AE294" i="2"/>
  <c r="AE295" i="2"/>
  <c r="AF295" i="2" s="1"/>
  <c r="AE296" i="2"/>
  <c r="AE297" i="2"/>
  <c r="AE298" i="2"/>
  <c r="AE299" i="2"/>
  <c r="AE300" i="2"/>
  <c r="AE301" i="2"/>
  <c r="AE302" i="2"/>
  <c r="AE303" i="2"/>
  <c r="AF303" i="2" s="1"/>
  <c r="AE304" i="2"/>
  <c r="AE305" i="2"/>
  <c r="AE306" i="2"/>
  <c r="AE307" i="2"/>
  <c r="AE308" i="2"/>
  <c r="AE309" i="2"/>
  <c r="AE310" i="2"/>
  <c r="AE311" i="2"/>
  <c r="AF311" i="2" s="1"/>
  <c r="AE312" i="2"/>
  <c r="AE313" i="2"/>
  <c r="AE314" i="2"/>
  <c r="AE315" i="2"/>
  <c r="AE316" i="2"/>
  <c r="AE317" i="2"/>
  <c r="AE318" i="2"/>
  <c r="AE319" i="2"/>
  <c r="AF319" i="2" s="1"/>
  <c r="AE320" i="2"/>
  <c r="AE321" i="2"/>
  <c r="AE322" i="2"/>
  <c r="AE323" i="2"/>
  <c r="AE324" i="2"/>
  <c r="AE325" i="2"/>
  <c r="AE326" i="2"/>
  <c r="AE327" i="2"/>
  <c r="AF327" i="2" s="1"/>
  <c r="AE328" i="2"/>
  <c r="AE329" i="2"/>
  <c r="AE330" i="2"/>
  <c r="AE331" i="2"/>
  <c r="AE332" i="2"/>
  <c r="AE333" i="2"/>
  <c r="AE334" i="2"/>
  <c r="AE335" i="2"/>
  <c r="AF335" i="2" s="1"/>
  <c r="AE336" i="2"/>
  <c r="AE337" i="2"/>
  <c r="AE338" i="2"/>
  <c r="AE339" i="2"/>
  <c r="AE340" i="2"/>
  <c r="AE341" i="2"/>
  <c r="AE342" i="2"/>
  <c r="AE343" i="2"/>
  <c r="AF343" i="2" s="1"/>
  <c r="AE344" i="2"/>
  <c r="AE345" i="2"/>
  <c r="AE346" i="2"/>
  <c r="AE347" i="2"/>
  <c r="AE348" i="2"/>
  <c r="AE349" i="2"/>
  <c r="AE350" i="2"/>
  <c r="AE351" i="2"/>
  <c r="AF351" i="2" s="1"/>
  <c r="AE352" i="2"/>
  <c r="AE353" i="2"/>
  <c r="AE354" i="2"/>
  <c r="AE355" i="2"/>
  <c r="AE356" i="2"/>
  <c r="AE357" i="2"/>
  <c r="AE358" i="2"/>
  <c r="AE359" i="2"/>
  <c r="AF359" i="2" s="1"/>
  <c r="AE360" i="2"/>
  <c r="AE361" i="2"/>
  <c r="AE362" i="2"/>
  <c r="AE363" i="2"/>
  <c r="AE364" i="2"/>
  <c r="AE365" i="2"/>
  <c r="AE366" i="2"/>
  <c r="AE367" i="2"/>
  <c r="AF367" i="2" s="1"/>
  <c r="AE31" i="2"/>
  <c r="AF32" i="2"/>
  <c r="AF33" i="2"/>
  <c r="AF34" i="2"/>
  <c r="AF35" i="2"/>
  <c r="AF36" i="2"/>
  <c r="AF37" i="2"/>
  <c r="AF38" i="2"/>
  <c r="AF40" i="2"/>
  <c r="AF41" i="2"/>
  <c r="AF42" i="2"/>
  <c r="AF43" i="2"/>
  <c r="AF44" i="2"/>
  <c r="AF45" i="2"/>
  <c r="AF46" i="2"/>
  <c r="AF48" i="2"/>
  <c r="AF49" i="2"/>
  <c r="AF50" i="2"/>
  <c r="AF51" i="2"/>
  <c r="AF52" i="2"/>
  <c r="AF53" i="2"/>
  <c r="AF54" i="2"/>
  <c r="AF56" i="2"/>
  <c r="AF57" i="2"/>
  <c r="AF58" i="2"/>
  <c r="AF59" i="2"/>
  <c r="AF60" i="2"/>
  <c r="AF61" i="2"/>
  <c r="AF62" i="2"/>
  <c r="AF64" i="2"/>
  <c r="AF65" i="2"/>
  <c r="AF66" i="2"/>
  <c r="AF67" i="2"/>
  <c r="AF68" i="2"/>
  <c r="AF69" i="2"/>
  <c r="AF70" i="2"/>
  <c r="AF72" i="2"/>
  <c r="AF73" i="2"/>
  <c r="AF74" i="2"/>
  <c r="AF75" i="2"/>
  <c r="AF76" i="2"/>
  <c r="AF77" i="2"/>
  <c r="AF78" i="2"/>
  <c r="AF80" i="2"/>
  <c r="AF81" i="2"/>
  <c r="AF82" i="2"/>
  <c r="AF83" i="2"/>
  <c r="AF84" i="2"/>
  <c r="AF85" i="2"/>
  <c r="AF86" i="2"/>
  <c r="AF88" i="2"/>
  <c r="AF89" i="2"/>
  <c r="AF90" i="2"/>
  <c r="AF91" i="2"/>
  <c r="AF92" i="2"/>
  <c r="AF93" i="2"/>
  <c r="AF94" i="2"/>
  <c r="AF96" i="2"/>
  <c r="AF97" i="2"/>
  <c r="AF98" i="2"/>
  <c r="AF99" i="2"/>
  <c r="AF100" i="2"/>
  <c r="AF101" i="2"/>
  <c r="AF102" i="2"/>
  <c r="AF104" i="2"/>
  <c r="AF105" i="2"/>
  <c r="AF106" i="2"/>
  <c r="AF107" i="2"/>
  <c r="AF108" i="2"/>
  <c r="AF109" i="2"/>
  <c r="AF110" i="2"/>
  <c r="AF112" i="2"/>
  <c r="AF113" i="2"/>
  <c r="AF114" i="2"/>
  <c r="AF115" i="2"/>
  <c r="AF116" i="2"/>
  <c r="AF117" i="2"/>
  <c r="AF118" i="2"/>
  <c r="AF120" i="2"/>
  <c r="AF121" i="2"/>
  <c r="AF122" i="2"/>
  <c r="AF123" i="2"/>
  <c r="AF124" i="2"/>
  <c r="AF125" i="2"/>
  <c r="AF126" i="2"/>
  <c r="AF128" i="2"/>
  <c r="AF129" i="2"/>
  <c r="AF130" i="2"/>
  <c r="AF131" i="2"/>
  <c r="AF132" i="2"/>
  <c r="AF133" i="2"/>
  <c r="AF134" i="2"/>
  <c r="AF136" i="2"/>
  <c r="AF137" i="2"/>
  <c r="AF138" i="2"/>
  <c r="AF139" i="2"/>
  <c r="AF140" i="2"/>
  <c r="AF141" i="2"/>
  <c r="AF142" i="2"/>
  <c r="AF144" i="2"/>
  <c r="AF145" i="2"/>
  <c r="AF146" i="2"/>
  <c r="AF147" i="2"/>
  <c r="AF148" i="2"/>
  <c r="AF149" i="2"/>
  <c r="AF150" i="2"/>
  <c r="AF152" i="2"/>
  <c r="AF153" i="2"/>
  <c r="AF154" i="2"/>
  <c r="AF155" i="2"/>
  <c r="AF156" i="2"/>
  <c r="AF157" i="2"/>
  <c r="AF158" i="2"/>
  <c r="AF160" i="2"/>
  <c r="AF161" i="2"/>
  <c r="AF162" i="2"/>
  <c r="AF163" i="2"/>
  <c r="AF164" i="2"/>
  <c r="AF165" i="2"/>
  <c r="AF166" i="2"/>
  <c r="AF168" i="2"/>
  <c r="AF169" i="2"/>
  <c r="AF170" i="2"/>
  <c r="AF171" i="2"/>
  <c r="AF172" i="2"/>
  <c r="AF173" i="2"/>
  <c r="AF174" i="2"/>
  <c r="AF176" i="2"/>
  <c r="AF177" i="2"/>
  <c r="AF178" i="2"/>
  <c r="AF179" i="2"/>
  <c r="AF180" i="2"/>
  <c r="AF181" i="2"/>
  <c r="AF182" i="2"/>
  <c r="AF184" i="2"/>
  <c r="AF185" i="2"/>
  <c r="AF186" i="2"/>
  <c r="AF187" i="2"/>
  <c r="AF188" i="2"/>
  <c r="AF189" i="2"/>
  <c r="AF190" i="2"/>
  <c r="AF192" i="2"/>
  <c r="AF193" i="2"/>
  <c r="AF194" i="2"/>
  <c r="AF195" i="2"/>
  <c r="AF196" i="2"/>
  <c r="AF197" i="2"/>
  <c r="AF198" i="2"/>
  <c r="AF200" i="2"/>
  <c r="AF201" i="2"/>
  <c r="AF202" i="2"/>
  <c r="AF203" i="2"/>
  <c r="AF204" i="2"/>
  <c r="AF205" i="2"/>
  <c r="AF206" i="2"/>
  <c r="AF208" i="2"/>
  <c r="AF209" i="2"/>
  <c r="AF210" i="2"/>
  <c r="AF211" i="2"/>
  <c r="AF212" i="2"/>
  <c r="AF213" i="2"/>
  <c r="AF214" i="2"/>
  <c r="AF216" i="2"/>
  <c r="AF217" i="2"/>
  <c r="AF218" i="2"/>
  <c r="AF219" i="2"/>
  <c r="AF220" i="2"/>
  <c r="AF221" i="2"/>
  <c r="AF222" i="2"/>
  <c r="AF224" i="2"/>
  <c r="AF225" i="2"/>
  <c r="AF226" i="2"/>
  <c r="AF227" i="2"/>
  <c r="AF228" i="2"/>
  <c r="AF229" i="2"/>
  <c r="AF230" i="2"/>
  <c r="AF232" i="2"/>
  <c r="AF233" i="2"/>
  <c r="AF234" i="2"/>
  <c r="AF235" i="2"/>
  <c r="AF236" i="2"/>
  <c r="AF237" i="2"/>
  <c r="AF238" i="2"/>
  <c r="AF240" i="2"/>
  <c r="AF241" i="2"/>
  <c r="AF242" i="2"/>
  <c r="AF243" i="2"/>
  <c r="AF244" i="2"/>
  <c r="AF245" i="2"/>
  <c r="AF246" i="2"/>
  <c r="AF248" i="2"/>
  <c r="AF249" i="2"/>
  <c r="AF250" i="2"/>
  <c r="AF251" i="2"/>
  <c r="AF252" i="2"/>
  <c r="AF253" i="2"/>
  <c r="AF254" i="2"/>
  <c r="AF256" i="2"/>
  <c r="AF257" i="2"/>
  <c r="AF258" i="2"/>
  <c r="AF259" i="2"/>
  <c r="AF260" i="2"/>
  <c r="AF261" i="2"/>
  <c r="AF262" i="2"/>
  <c r="AF264" i="2"/>
  <c r="AF265" i="2"/>
  <c r="AF266" i="2"/>
  <c r="AF267" i="2"/>
  <c r="AF268" i="2"/>
  <c r="AF269" i="2"/>
  <c r="AF270" i="2"/>
  <c r="AF272" i="2"/>
  <c r="AF273" i="2"/>
  <c r="AF274" i="2"/>
  <c r="AF275" i="2"/>
  <c r="AF276" i="2"/>
  <c r="AF277" i="2"/>
  <c r="AF278" i="2"/>
  <c r="AF280" i="2"/>
  <c r="AF281" i="2"/>
  <c r="AF282" i="2"/>
  <c r="AF283" i="2"/>
  <c r="AF284" i="2"/>
  <c r="AF285" i="2"/>
  <c r="AF286" i="2"/>
  <c r="AF288" i="2"/>
  <c r="AF289" i="2"/>
  <c r="AF290" i="2"/>
  <c r="AF291" i="2"/>
  <c r="AF292" i="2"/>
  <c r="AF293" i="2"/>
  <c r="AF294" i="2"/>
  <c r="AF296" i="2"/>
  <c r="AF297" i="2"/>
  <c r="AF298" i="2"/>
  <c r="AF299" i="2"/>
  <c r="AF300" i="2"/>
  <c r="AF301" i="2"/>
  <c r="AF302" i="2"/>
  <c r="AF304" i="2"/>
  <c r="AF305" i="2"/>
  <c r="AF306" i="2"/>
  <c r="AF307" i="2"/>
  <c r="AF308" i="2"/>
  <c r="AF309" i="2"/>
  <c r="AF310" i="2"/>
  <c r="AF312" i="2"/>
  <c r="AF313" i="2"/>
  <c r="AF314" i="2"/>
  <c r="AF315" i="2"/>
  <c r="AF316" i="2"/>
  <c r="AF317" i="2"/>
  <c r="AF318" i="2"/>
  <c r="AF320" i="2"/>
  <c r="AF321" i="2"/>
  <c r="AF322" i="2"/>
  <c r="AF323" i="2"/>
  <c r="AF324" i="2"/>
  <c r="AF325" i="2"/>
  <c r="AF326" i="2"/>
  <c r="AF328" i="2"/>
  <c r="AF329" i="2"/>
  <c r="AF330" i="2"/>
  <c r="AF331" i="2"/>
  <c r="AF332" i="2"/>
  <c r="AF333" i="2"/>
  <c r="AF334" i="2"/>
  <c r="AF336" i="2"/>
  <c r="AF337" i="2"/>
  <c r="AF338" i="2"/>
  <c r="AF339" i="2"/>
  <c r="AF340" i="2"/>
  <c r="AF341" i="2"/>
  <c r="AF342" i="2"/>
  <c r="AF344" i="2"/>
  <c r="AF345" i="2"/>
  <c r="AF346" i="2"/>
  <c r="AF347" i="2"/>
  <c r="AF348" i="2"/>
  <c r="AF349" i="2"/>
  <c r="AF350" i="2"/>
  <c r="AF352" i="2"/>
  <c r="AF353" i="2"/>
  <c r="AF354" i="2"/>
  <c r="AF355" i="2"/>
  <c r="AF356" i="2"/>
  <c r="AF357" i="2"/>
  <c r="AF358" i="2"/>
  <c r="AF360" i="2"/>
  <c r="AF361" i="2"/>
  <c r="AF362" i="2"/>
  <c r="AF363" i="2"/>
  <c r="AF364" i="2"/>
  <c r="AF365" i="2"/>
  <c r="AF366" i="2"/>
  <c r="AF31" i="2"/>
  <c r="AD367" i="2"/>
  <c r="Z367" i="2"/>
  <c r="X367" i="2"/>
  <c r="R367" i="2"/>
  <c r="P367" i="2"/>
  <c r="J367" i="2"/>
  <c r="AD366" i="2"/>
  <c r="Z366" i="2"/>
  <c r="X366" i="2"/>
  <c r="R366" i="2"/>
  <c r="P366" i="2"/>
  <c r="J366" i="2"/>
  <c r="AD365" i="2"/>
  <c r="Z365" i="2"/>
  <c r="X365" i="2"/>
  <c r="R365" i="2"/>
  <c r="P365" i="2"/>
  <c r="J365" i="2"/>
  <c r="AD364" i="2"/>
  <c r="Z364" i="2"/>
  <c r="X364" i="2"/>
  <c r="R364" i="2"/>
  <c r="P364" i="2"/>
  <c r="J364" i="2"/>
  <c r="AD363" i="2"/>
  <c r="Z363" i="2"/>
  <c r="X363" i="2"/>
  <c r="R363" i="2"/>
  <c r="P363" i="2"/>
  <c r="J363" i="2"/>
  <c r="AD362" i="2"/>
  <c r="Z362" i="2"/>
  <c r="X362" i="2"/>
  <c r="R362" i="2"/>
  <c r="P362" i="2"/>
  <c r="J362" i="2"/>
  <c r="AD361" i="2"/>
  <c r="Z361" i="2"/>
  <c r="X361" i="2"/>
  <c r="R361" i="2"/>
  <c r="P361" i="2"/>
  <c r="J361" i="2"/>
  <c r="AD360" i="2"/>
  <c r="Z360" i="2"/>
  <c r="X360" i="2"/>
  <c r="R360" i="2"/>
  <c r="P360" i="2"/>
  <c r="J360" i="2"/>
  <c r="AD359" i="2"/>
  <c r="Z359" i="2"/>
  <c r="X359" i="2"/>
  <c r="R359" i="2"/>
  <c r="P359" i="2"/>
  <c r="J359" i="2"/>
  <c r="AD358" i="2"/>
  <c r="Z358" i="2"/>
  <c r="X358" i="2"/>
  <c r="R358" i="2"/>
  <c r="P358" i="2"/>
  <c r="J358" i="2"/>
  <c r="AD357" i="2"/>
  <c r="Z357" i="2"/>
  <c r="X357" i="2"/>
  <c r="R357" i="2"/>
  <c r="P357" i="2"/>
  <c r="J357" i="2"/>
  <c r="AD356" i="2"/>
  <c r="Z356" i="2"/>
  <c r="X356" i="2"/>
  <c r="R356" i="2"/>
  <c r="P356" i="2"/>
  <c r="J356" i="2"/>
  <c r="AD355" i="2"/>
  <c r="Z355" i="2"/>
  <c r="X355" i="2"/>
  <c r="R355" i="2"/>
  <c r="P355" i="2"/>
  <c r="J355" i="2"/>
  <c r="AD354" i="2"/>
  <c r="Z354" i="2"/>
  <c r="X354" i="2"/>
  <c r="R354" i="2"/>
  <c r="P354" i="2"/>
  <c r="J354" i="2"/>
  <c r="AD353" i="2"/>
  <c r="Z353" i="2"/>
  <c r="X353" i="2"/>
  <c r="R353" i="2"/>
  <c r="P353" i="2"/>
  <c r="K353" i="2"/>
  <c r="L353" i="2" s="1"/>
  <c r="J353" i="2"/>
  <c r="AD352" i="2"/>
  <c r="Z352" i="2"/>
  <c r="X352" i="2"/>
  <c r="R352" i="2"/>
  <c r="P352" i="2"/>
  <c r="J352" i="2"/>
  <c r="AD351" i="2"/>
  <c r="Z351" i="2"/>
  <c r="X351" i="2"/>
  <c r="R351" i="2"/>
  <c r="P351" i="2"/>
  <c r="J351" i="2"/>
  <c r="AD350" i="2"/>
  <c r="Z350" i="2"/>
  <c r="X350" i="2"/>
  <c r="R350" i="2"/>
  <c r="P350" i="2"/>
  <c r="J350" i="2"/>
  <c r="AD349" i="2"/>
  <c r="Z349" i="2"/>
  <c r="X349" i="2"/>
  <c r="R349" i="2"/>
  <c r="P349" i="2"/>
  <c r="J349" i="2"/>
  <c r="AD348" i="2"/>
  <c r="Z348" i="2"/>
  <c r="X348" i="2"/>
  <c r="R348" i="2"/>
  <c r="P348" i="2"/>
  <c r="J348" i="2"/>
  <c r="AD347" i="2"/>
  <c r="Z347" i="2"/>
  <c r="X347" i="2"/>
  <c r="R347" i="2"/>
  <c r="P347" i="2"/>
  <c r="J347" i="2"/>
  <c r="AD346" i="2"/>
  <c r="Z346" i="2"/>
  <c r="X346" i="2"/>
  <c r="Y361" i="2" s="1"/>
  <c r="R346" i="2"/>
  <c r="P346" i="2"/>
  <c r="J346" i="2"/>
  <c r="AD345" i="2"/>
  <c r="Z345" i="2"/>
  <c r="X345" i="2"/>
  <c r="R345" i="2"/>
  <c r="P345" i="2"/>
  <c r="J345" i="2"/>
  <c r="AD344" i="2"/>
  <c r="Z344" i="2"/>
  <c r="X344" i="2"/>
  <c r="R344" i="2"/>
  <c r="P344" i="2"/>
  <c r="J344" i="2"/>
  <c r="AD343" i="2"/>
  <c r="Z343" i="2"/>
  <c r="X343" i="2"/>
  <c r="R343" i="2"/>
  <c r="P343" i="2"/>
  <c r="J343" i="2"/>
  <c r="AD342" i="2"/>
  <c r="Z342" i="2"/>
  <c r="X342" i="2"/>
  <c r="R342" i="2"/>
  <c r="P342" i="2"/>
  <c r="Q365" i="2" s="1"/>
  <c r="J342" i="2"/>
  <c r="AD341" i="2"/>
  <c r="Z341" i="2"/>
  <c r="X341" i="2"/>
  <c r="R341" i="2"/>
  <c r="P341" i="2"/>
  <c r="J341" i="2"/>
  <c r="AD340" i="2"/>
  <c r="Z340" i="2"/>
  <c r="X340" i="2"/>
  <c r="R340" i="2"/>
  <c r="S363" i="2" s="1"/>
  <c r="P340" i="2"/>
  <c r="J340" i="2"/>
  <c r="AD339" i="2"/>
  <c r="Z339" i="2"/>
  <c r="X339" i="2"/>
  <c r="R339" i="2"/>
  <c r="P339" i="2"/>
  <c r="J339" i="2"/>
  <c r="AD338" i="2"/>
  <c r="Z338" i="2"/>
  <c r="AA367" i="2" s="1"/>
  <c r="X338" i="2"/>
  <c r="R338" i="2"/>
  <c r="P338" i="2"/>
  <c r="Q367" i="2" s="1"/>
  <c r="J338" i="2"/>
  <c r="AD337" i="2"/>
  <c r="Z337" i="2"/>
  <c r="Y337" i="2"/>
  <c r="X337" i="2"/>
  <c r="R337" i="2"/>
  <c r="P337" i="2"/>
  <c r="Q366" i="2" s="1"/>
  <c r="J337" i="2"/>
  <c r="AD336" i="2"/>
  <c r="Z336" i="2"/>
  <c r="X336" i="2"/>
  <c r="R336" i="2"/>
  <c r="P336" i="2"/>
  <c r="J336" i="2"/>
  <c r="AD335" i="2"/>
  <c r="AA335" i="2"/>
  <c r="Z335" i="2"/>
  <c r="X335" i="2"/>
  <c r="Y364" i="2" s="1"/>
  <c r="R335" i="2"/>
  <c r="P335" i="2"/>
  <c r="J335" i="2"/>
  <c r="AD334" i="2"/>
  <c r="Z334" i="2"/>
  <c r="X334" i="2"/>
  <c r="Y363" i="2" s="1"/>
  <c r="R334" i="2"/>
  <c r="P334" i="2"/>
  <c r="Q363" i="2" s="1"/>
  <c r="J334" i="2"/>
  <c r="AD333" i="2"/>
  <c r="Z333" i="2"/>
  <c r="X333" i="2"/>
  <c r="Y362" i="2" s="1"/>
  <c r="R333" i="2"/>
  <c r="P333" i="2"/>
  <c r="Q362" i="2" s="1"/>
  <c r="J333" i="2"/>
  <c r="AD332" i="2"/>
  <c r="Z332" i="2"/>
  <c r="X332" i="2"/>
  <c r="R332" i="2"/>
  <c r="S355" i="2" s="1"/>
  <c r="P332" i="2"/>
  <c r="Q361" i="2" s="1"/>
  <c r="J332" i="2"/>
  <c r="AD331" i="2"/>
  <c r="Z331" i="2"/>
  <c r="X331" i="2"/>
  <c r="Y360" i="2" s="1"/>
  <c r="R331" i="2"/>
  <c r="P331" i="2"/>
  <c r="Q360" i="2" s="1"/>
  <c r="J331" i="2"/>
  <c r="AD330" i="2"/>
  <c r="Z330" i="2"/>
  <c r="X330" i="2"/>
  <c r="Y359" i="2" s="1"/>
  <c r="R330" i="2"/>
  <c r="P330" i="2"/>
  <c r="Q359" i="2" s="1"/>
  <c r="J330" i="2"/>
  <c r="AD329" i="2"/>
  <c r="Z329" i="2"/>
  <c r="X329" i="2"/>
  <c r="Y358" i="2" s="1"/>
  <c r="R329" i="2"/>
  <c r="P329" i="2"/>
  <c r="Q358" i="2" s="1"/>
  <c r="J329" i="2"/>
  <c r="AD328" i="2"/>
  <c r="Z328" i="2"/>
  <c r="X328" i="2"/>
  <c r="Y357" i="2" s="1"/>
  <c r="R328" i="2"/>
  <c r="P328" i="2"/>
  <c r="J328" i="2"/>
  <c r="AD327" i="2"/>
  <c r="Z327" i="2"/>
  <c r="X327" i="2"/>
  <c r="R327" i="2"/>
  <c r="P327" i="2"/>
  <c r="Q356" i="2" s="1"/>
  <c r="J327" i="2"/>
  <c r="AD326" i="2"/>
  <c r="Z326" i="2"/>
  <c r="X326" i="2"/>
  <c r="Y355" i="2" s="1"/>
  <c r="R326" i="2"/>
  <c r="P326" i="2"/>
  <c r="Q355" i="2" s="1"/>
  <c r="J326" i="2"/>
  <c r="K355" i="2" s="1"/>
  <c r="L355" i="2" s="1"/>
  <c r="AD325" i="2"/>
  <c r="Z325" i="2"/>
  <c r="X325" i="2"/>
  <c r="Y354" i="2" s="1"/>
  <c r="R325" i="2"/>
  <c r="P325" i="2"/>
  <c r="Q354" i="2" s="1"/>
  <c r="J325" i="2"/>
  <c r="AD324" i="2"/>
  <c r="Z324" i="2"/>
  <c r="X324" i="2"/>
  <c r="R324" i="2"/>
  <c r="S347" i="2" s="1"/>
  <c r="P324" i="2"/>
  <c r="Q353" i="2" s="1"/>
  <c r="J324" i="2"/>
  <c r="AD323" i="2"/>
  <c r="Z323" i="2"/>
  <c r="X323" i="2"/>
  <c r="R323" i="2"/>
  <c r="P323" i="2"/>
  <c r="Q352" i="2" s="1"/>
  <c r="J323" i="2"/>
  <c r="K352" i="2" s="1"/>
  <c r="L352" i="2" s="1"/>
  <c r="AD322" i="2"/>
  <c r="Z322" i="2"/>
  <c r="X322" i="2"/>
  <c r="Y351" i="2" s="1"/>
  <c r="R322" i="2"/>
  <c r="P322" i="2"/>
  <c r="Q351" i="2" s="1"/>
  <c r="J322" i="2"/>
  <c r="AD321" i="2"/>
  <c r="Z321" i="2"/>
  <c r="X321" i="2"/>
  <c r="Y350" i="2" s="1"/>
  <c r="R321" i="2"/>
  <c r="P321" i="2"/>
  <c r="Q350" i="2" s="1"/>
  <c r="J321" i="2"/>
  <c r="AD320" i="2"/>
  <c r="Z320" i="2"/>
  <c r="X320" i="2"/>
  <c r="Y349" i="2" s="1"/>
  <c r="R320" i="2"/>
  <c r="P320" i="2"/>
  <c r="J320" i="2"/>
  <c r="AD319" i="2"/>
  <c r="Z319" i="2"/>
  <c r="X319" i="2"/>
  <c r="Y348" i="2" s="1"/>
  <c r="R319" i="2"/>
  <c r="P319" i="2"/>
  <c r="Q348" i="2" s="1"/>
  <c r="J319" i="2"/>
  <c r="AD318" i="2"/>
  <c r="Z318" i="2"/>
  <c r="X318" i="2"/>
  <c r="R318" i="2"/>
  <c r="P318" i="2"/>
  <c r="Q341" i="2" s="1"/>
  <c r="J318" i="2"/>
  <c r="AD317" i="2"/>
  <c r="Z317" i="2"/>
  <c r="X317" i="2"/>
  <c r="R317" i="2"/>
  <c r="S346" i="2" s="1"/>
  <c r="P317" i="2"/>
  <c r="Q346" i="2" s="1"/>
  <c r="J317" i="2"/>
  <c r="AD316" i="2"/>
  <c r="Z316" i="2"/>
  <c r="X316" i="2"/>
  <c r="R316" i="2"/>
  <c r="P316" i="2"/>
  <c r="J316" i="2"/>
  <c r="AD315" i="2"/>
  <c r="Z315" i="2"/>
  <c r="X315" i="2"/>
  <c r="Y344" i="2" s="1"/>
  <c r="R315" i="2"/>
  <c r="S344" i="2" s="1"/>
  <c r="P315" i="2"/>
  <c r="J315" i="2"/>
  <c r="AD314" i="2"/>
  <c r="Z314" i="2"/>
  <c r="X314" i="2"/>
  <c r="R314" i="2"/>
  <c r="S343" i="2" s="1"/>
  <c r="P314" i="2"/>
  <c r="J314" i="2"/>
  <c r="AD313" i="2"/>
  <c r="Z313" i="2"/>
  <c r="X313" i="2"/>
  <c r="R313" i="2"/>
  <c r="S342" i="2" s="1"/>
  <c r="P313" i="2"/>
  <c r="J313" i="2"/>
  <c r="AD312" i="2"/>
  <c r="Z312" i="2"/>
  <c r="X312" i="2"/>
  <c r="R312" i="2"/>
  <c r="P312" i="2"/>
  <c r="J312" i="2"/>
  <c r="AD311" i="2"/>
  <c r="Z311" i="2"/>
  <c r="X311" i="2"/>
  <c r="Y340" i="2" s="1"/>
  <c r="R311" i="2"/>
  <c r="P311" i="2"/>
  <c r="Q340" i="2" s="1"/>
  <c r="J311" i="2"/>
  <c r="AD310" i="2"/>
  <c r="Z310" i="2"/>
  <c r="X310" i="2"/>
  <c r="R310" i="2"/>
  <c r="P310" i="2"/>
  <c r="Q339" i="2" s="1"/>
  <c r="J310" i="2"/>
  <c r="AD309" i="2"/>
  <c r="Z309" i="2"/>
  <c r="X309" i="2"/>
  <c r="R309" i="2"/>
  <c r="P309" i="2"/>
  <c r="J309" i="2"/>
  <c r="AD308" i="2"/>
  <c r="Z308" i="2"/>
  <c r="X308" i="2"/>
  <c r="R308" i="2"/>
  <c r="P308" i="2"/>
  <c r="Q337" i="2" s="1"/>
  <c r="J308" i="2"/>
  <c r="AD307" i="2"/>
  <c r="Z307" i="2"/>
  <c r="X307" i="2"/>
  <c r="Y336" i="2" s="1"/>
  <c r="R307" i="2"/>
  <c r="P307" i="2"/>
  <c r="Q336" i="2" s="1"/>
  <c r="J307" i="2"/>
  <c r="AD306" i="2"/>
  <c r="Z306" i="2"/>
  <c r="X306" i="2"/>
  <c r="R306" i="2"/>
  <c r="P306" i="2"/>
  <c r="Q335" i="2" s="1"/>
  <c r="J306" i="2"/>
  <c r="AD305" i="2"/>
  <c r="Z305" i="2"/>
  <c r="X305" i="2"/>
  <c r="R305" i="2"/>
  <c r="P305" i="2"/>
  <c r="Q334" i="2" s="1"/>
  <c r="J305" i="2"/>
  <c r="AD304" i="2"/>
  <c r="Z304" i="2"/>
  <c r="X304" i="2"/>
  <c r="Y333" i="2" s="1"/>
  <c r="R304" i="2"/>
  <c r="P304" i="2"/>
  <c r="J304" i="2"/>
  <c r="AD303" i="2"/>
  <c r="Z303" i="2"/>
  <c r="X303" i="2"/>
  <c r="R303" i="2"/>
  <c r="P303" i="2"/>
  <c r="Q332" i="2" s="1"/>
  <c r="J303" i="2"/>
  <c r="AD302" i="2"/>
  <c r="Z302" i="2"/>
  <c r="X302" i="2"/>
  <c r="R302" i="2"/>
  <c r="S331" i="2" s="1"/>
  <c r="P302" i="2"/>
  <c r="J302" i="2"/>
  <c r="AD301" i="2"/>
  <c r="Z301" i="2"/>
  <c r="X301" i="2"/>
  <c r="R301" i="2"/>
  <c r="P301" i="2"/>
  <c r="Q330" i="2" s="1"/>
  <c r="J301" i="2"/>
  <c r="AD300" i="2"/>
  <c r="Z300" i="2"/>
  <c r="AA329" i="2" s="1"/>
  <c r="X300" i="2"/>
  <c r="Y329" i="2" s="1"/>
  <c r="R300" i="2"/>
  <c r="P300" i="2"/>
  <c r="Q329" i="2" s="1"/>
  <c r="J300" i="2"/>
  <c r="K329" i="2" s="1"/>
  <c r="L329" i="2" s="1"/>
  <c r="AD299" i="2"/>
  <c r="Z299" i="2"/>
  <c r="X299" i="2"/>
  <c r="R299" i="2"/>
  <c r="P299" i="2"/>
  <c r="Q328" i="2" s="1"/>
  <c r="J299" i="2"/>
  <c r="AD298" i="2"/>
  <c r="Z298" i="2"/>
  <c r="AA327" i="2" s="1"/>
  <c r="X298" i="2"/>
  <c r="Y327" i="2" s="1"/>
  <c r="R298" i="2"/>
  <c r="P298" i="2"/>
  <c r="J298" i="2"/>
  <c r="AD297" i="2"/>
  <c r="Z297" i="2"/>
  <c r="X297" i="2"/>
  <c r="R297" i="2"/>
  <c r="P297" i="2"/>
  <c r="J297" i="2"/>
  <c r="AD296" i="2"/>
  <c r="Z296" i="2"/>
  <c r="X296" i="2"/>
  <c r="R296" i="2"/>
  <c r="P296" i="2"/>
  <c r="Q325" i="2" s="1"/>
  <c r="J296" i="2"/>
  <c r="AD295" i="2"/>
  <c r="Z295" i="2"/>
  <c r="X295" i="2"/>
  <c r="Y324" i="2" s="1"/>
  <c r="R295" i="2"/>
  <c r="P295" i="2"/>
  <c r="J295" i="2"/>
  <c r="K324" i="2" s="1"/>
  <c r="L324" i="2" s="1"/>
  <c r="AD294" i="2"/>
  <c r="Z294" i="2"/>
  <c r="X294" i="2"/>
  <c r="R294" i="2"/>
  <c r="S323" i="2" s="1"/>
  <c r="P294" i="2"/>
  <c r="J294" i="2"/>
  <c r="AD293" i="2"/>
  <c r="Z293" i="2"/>
  <c r="AA322" i="2" s="1"/>
  <c r="X293" i="2"/>
  <c r="R293" i="2"/>
  <c r="P293" i="2"/>
  <c r="J293" i="2"/>
  <c r="AD292" i="2"/>
  <c r="Z292" i="2"/>
  <c r="AA321" i="2" s="1"/>
  <c r="X292" i="2"/>
  <c r="R292" i="2"/>
  <c r="S321" i="2" s="1"/>
  <c r="P292" i="2"/>
  <c r="J292" i="2"/>
  <c r="K321" i="2" s="1"/>
  <c r="L321" i="2" s="1"/>
  <c r="AD291" i="2"/>
  <c r="Z291" i="2"/>
  <c r="X291" i="2"/>
  <c r="R291" i="2"/>
  <c r="P291" i="2"/>
  <c r="Q320" i="2" s="1"/>
  <c r="J291" i="2"/>
  <c r="AD290" i="2"/>
  <c r="Z290" i="2"/>
  <c r="X290" i="2"/>
  <c r="Y319" i="2" s="1"/>
  <c r="R290" i="2"/>
  <c r="P290" i="2"/>
  <c r="J290" i="2"/>
  <c r="K319" i="2" s="1"/>
  <c r="L319" i="2" s="1"/>
  <c r="AD289" i="2"/>
  <c r="Z289" i="2"/>
  <c r="X289" i="2"/>
  <c r="R289" i="2"/>
  <c r="S318" i="2" s="1"/>
  <c r="P289" i="2"/>
  <c r="J289" i="2"/>
  <c r="K318" i="2" s="1"/>
  <c r="L318" i="2" s="1"/>
  <c r="AD288" i="2"/>
  <c r="Z288" i="2"/>
  <c r="X288" i="2"/>
  <c r="R288" i="2"/>
  <c r="S317" i="2" s="1"/>
  <c r="P288" i="2"/>
  <c r="J288" i="2"/>
  <c r="AD287" i="2"/>
  <c r="Z287" i="2"/>
  <c r="X287" i="2"/>
  <c r="Y316" i="2" s="1"/>
  <c r="R287" i="2"/>
  <c r="P287" i="2"/>
  <c r="J287" i="2"/>
  <c r="AD286" i="2"/>
  <c r="Z286" i="2"/>
  <c r="X286" i="2"/>
  <c r="R286" i="2"/>
  <c r="S315" i="2" s="1"/>
  <c r="P286" i="2"/>
  <c r="J286" i="2"/>
  <c r="K315" i="2" s="1"/>
  <c r="L315" i="2" s="1"/>
  <c r="AD285" i="2"/>
  <c r="Z285" i="2"/>
  <c r="AA314" i="2" s="1"/>
  <c r="X285" i="2"/>
  <c r="Y314" i="2" s="1"/>
  <c r="R285" i="2"/>
  <c r="P285" i="2"/>
  <c r="J285" i="2"/>
  <c r="AD284" i="2"/>
  <c r="Z284" i="2"/>
  <c r="X284" i="2"/>
  <c r="R284" i="2"/>
  <c r="S313" i="2" s="1"/>
  <c r="P284" i="2"/>
  <c r="J284" i="2"/>
  <c r="K313" i="2" s="1"/>
  <c r="L313" i="2" s="1"/>
  <c r="AD283" i="2"/>
  <c r="Z283" i="2"/>
  <c r="X283" i="2"/>
  <c r="R283" i="2"/>
  <c r="P283" i="2"/>
  <c r="J283" i="2"/>
  <c r="AD282" i="2"/>
  <c r="Z282" i="2"/>
  <c r="X282" i="2"/>
  <c r="R282" i="2"/>
  <c r="P282" i="2"/>
  <c r="J282" i="2"/>
  <c r="AD281" i="2"/>
  <c r="Z281" i="2"/>
  <c r="X281" i="2"/>
  <c r="R281" i="2"/>
  <c r="S310" i="2" s="1"/>
  <c r="P281" i="2"/>
  <c r="J281" i="2"/>
  <c r="AD280" i="2"/>
  <c r="Z280" i="2"/>
  <c r="X280" i="2"/>
  <c r="R280" i="2"/>
  <c r="P280" i="2"/>
  <c r="J280" i="2"/>
  <c r="AD279" i="2"/>
  <c r="Z279" i="2"/>
  <c r="AA308" i="2" s="1"/>
  <c r="X279" i="2"/>
  <c r="Y308" i="2" s="1"/>
  <c r="R279" i="2"/>
  <c r="P279" i="2"/>
  <c r="J279" i="2"/>
  <c r="AD278" i="2"/>
  <c r="AA278" i="2"/>
  <c r="Z278" i="2"/>
  <c r="X278" i="2"/>
  <c r="R278" i="2"/>
  <c r="P278" i="2"/>
  <c r="J278" i="2"/>
  <c r="AD277" i="2"/>
  <c r="Z277" i="2"/>
  <c r="X277" i="2"/>
  <c r="R277" i="2"/>
  <c r="P277" i="2"/>
  <c r="J277" i="2"/>
  <c r="AD276" i="2"/>
  <c r="Z276" i="2"/>
  <c r="X276" i="2"/>
  <c r="Y305" i="2" s="1"/>
  <c r="R276" i="2"/>
  <c r="S305" i="2" s="1"/>
  <c r="P276" i="2"/>
  <c r="J276" i="2"/>
  <c r="AD275" i="2"/>
  <c r="Z275" i="2"/>
  <c r="X275" i="2"/>
  <c r="R275" i="2"/>
  <c r="S304" i="2" s="1"/>
  <c r="P275" i="2"/>
  <c r="J275" i="2"/>
  <c r="AD274" i="2"/>
  <c r="Z274" i="2"/>
  <c r="X274" i="2"/>
  <c r="Y303" i="2" s="1"/>
  <c r="R274" i="2"/>
  <c r="P274" i="2"/>
  <c r="J274" i="2"/>
  <c r="AD273" i="2"/>
  <c r="Z273" i="2"/>
  <c r="X273" i="2"/>
  <c r="Y302" i="2" s="1"/>
  <c r="R273" i="2"/>
  <c r="P273" i="2"/>
  <c r="J273" i="2"/>
  <c r="K302" i="2" s="1"/>
  <c r="L302" i="2" s="1"/>
  <c r="AD272" i="2"/>
  <c r="Z272" i="2"/>
  <c r="X272" i="2"/>
  <c r="Y301" i="2" s="1"/>
  <c r="R272" i="2"/>
  <c r="P272" i="2"/>
  <c r="J272" i="2"/>
  <c r="AD271" i="2"/>
  <c r="Z271" i="2"/>
  <c r="X271" i="2"/>
  <c r="R271" i="2"/>
  <c r="P271" i="2"/>
  <c r="J271" i="2"/>
  <c r="AD270" i="2"/>
  <c r="Z270" i="2"/>
  <c r="X270" i="2"/>
  <c r="Y299" i="2" s="1"/>
  <c r="R270" i="2"/>
  <c r="P270" i="2"/>
  <c r="J270" i="2"/>
  <c r="K299" i="2" s="1"/>
  <c r="L299" i="2" s="1"/>
  <c r="AD269" i="2"/>
  <c r="Z269" i="2"/>
  <c r="X269" i="2"/>
  <c r="R269" i="2"/>
  <c r="P269" i="2"/>
  <c r="J269" i="2"/>
  <c r="AD268" i="2"/>
  <c r="Z268" i="2"/>
  <c r="X268" i="2"/>
  <c r="R268" i="2"/>
  <c r="P268" i="2"/>
  <c r="J268" i="2"/>
  <c r="AD267" i="2"/>
  <c r="Z267" i="2"/>
  <c r="X267" i="2"/>
  <c r="R267" i="2"/>
  <c r="S296" i="2" s="1"/>
  <c r="P267" i="2"/>
  <c r="J267" i="2"/>
  <c r="AD266" i="2"/>
  <c r="Z266" i="2"/>
  <c r="X266" i="2"/>
  <c r="R266" i="2"/>
  <c r="P266" i="2"/>
  <c r="J266" i="2"/>
  <c r="AD265" i="2"/>
  <c r="Z265" i="2"/>
  <c r="X265" i="2"/>
  <c r="Y294" i="2" s="1"/>
  <c r="R265" i="2"/>
  <c r="P265" i="2"/>
  <c r="J265" i="2"/>
  <c r="K294" i="2" s="1"/>
  <c r="L294" i="2" s="1"/>
  <c r="AD264" i="2"/>
  <c r="Z264" i="2"/>
  <c r="X264" i="2"/>
  <c r="Y293" i="2" s="1"/>
  <c r="R264" i="2"/>
  <c r="S293" i="2" s="1"/>
  <c r="P264" i="2"/>
  <c r="J264" i="2"/>
  <c r="AD263" i="2"/>
  <c r="Z263" i="2"/>
  <c r="X263" i="2"/>
  <c r="R263" i="2"/>
  <c r="P263" i="2"/>
  <c r="J263" i="2"/>
  <c r="AD262" i="2"/>
  <c r="Z262" i="2"/>
  <c r="X262" i="2"/>
  <c r="Y291" i="2" s="1"/>
  <c r="R262" i="2"/>
  <c r="P262" i="2"/>
  <c r="J262" i="2"/>
  <c r="AD261" i="2"/>
  <c r="Z261" i="2"/>
  <c r="X261" i="2"/>
  <c r="R261" i="2"/>
  <c r="P261" i="2"/>
  <c r="Q290" i="2" s="1"/>
  <c r="J261" i="2"/>
  <c r="AD260" i="2"/>
  <c r="Z260" i="2"/>
  <c r="X260" i="2"/>
  <c r="R260" i="2"/>
  <c r="P260" i="2"/>
  <c r="J260" i="2"/>
  <c r="AD259" i="2"/>
  <c r="Z259" i="2"/>
  <c r="X259" i="2"/>
  <c r="R259" i="2"/>
  <c r="P259" i="2"/>
  <c r="J259" i="2"/>
  <c r="AD258" i="2"/>
  <c r="Z258" i="2"/>
  <c r="X258" i="2"/>
  <c r="R258" i="2"/>
  <c r="P258" i="2"/>
  <c r="Q287" i="2" s="1"/>
  <c r="J258" i="2"/>
  <c r="AD257" i="2"/>
  <c r="Z257" i="2"/>
  <c r="X257" i="2"/>
  <c r="R257" i="2"/>
  <c r="P257" i="2"/>
  <c r="J257" i="2"/>
  <c r="AD256" i="2"/>
  <c r="Z256" i="2"/>
  <c r="X256" i="2"/>
  <c r="R256" i="2"/>
  <c r="P256" i="2"/>
  <c r="J256" i="2"/>
  <c r="AD255" i="2"/>
  <c r="Z255" i="2"/>
  <c r="X255" i="2"/>
  <c r="R255" i="2"/>
  <c r="P255" i="2"/>
  <c r="Q284" i="2" s="1"/>
  <c r="J255" i="2"/>
  <c r="K284" i="2" s="1"/>
  <c r="L284" i="2" s="1"/>
  <c r="AD254" i="2"/>
  <c r="Z254" i="2"/>
  <c r="X254" i="2"/>
  <c r="R254" i="2"/>
  <c r="P254" i="2"/>
  <c r="Q283" i="2" s="1"/>
  <c r="J254" i="2"/>
  <c r="AD253" i="2"/>
  <c r="Z253" i="2"/>
  <c r="X253" i="2"/>
  <c r="R253" i="2"/>
  <c r="P253" i="2"/>
  <c r="Q282" i="2" s="1"/>
  <c r="J253" i="2"/>
  <c r="AD252" i="2"/>
  <c r="Z252" i="2"/>
  <c r="X252" i="2"/>
  <c r="R252" i="2"/>
  <c r="P252" i="2"/>
  <c r="J252" i="2"/>
  <c r="AD251" i="2"/>
  <c r="Z251" i="2"/>
  <c r="X251" i="2"/>
  <c r="R251" i="2"/>
  <c r="P251" i="2"/>
  <c r="J251" i="2"/>
  <c r="AD250" i="2"/>
  <c r="Z250" i="2"/>
  <c r="X250" i="2"/>
  <c r="R250" i="2"/>
  <c r="P250" i="2"/>
  <c r="J250" i="2"/>
  <c r="AD249" i="2"/>
  <c r="Z249" i="2"/>
  <c r="X249" i="2"/>
  <c r="Y278" i="2" s="1"/>
  <c r="R249" i="2"/>
  <c r="P249" i="2"/>
  <c r="J249" i="2"/>
  <c r="AD248" i="2"/>
  <c r="Z248" i="2"/>
  <c r="AA277" i="2" s="1"/>
  <c r="X248" i="2"/>
  <c r="R248" i="2"/>
  <c r="P248" i="2"/>
  <c r="Q277" i="2" s="1"/>
  <c r="J248" i="2"/>
  <c r="AD247" i="2"/>
  <c r="Z247" i="2"/>
  <c r="X247" i="2"/>
  <c r="R247" i="2"/>
  <c r="P247" i="2"/>
  <c r="J247" i="2"/>
  <c r="AD246" i="2"/>
  <c r="Z246" i="2"/>
  <c r="X246" i="2"/>
  <c r="R246" i="2"/>
  <c r="P246" i="2"/>
  <c r="Q275" i="2" s="1"/>
  <c r="J246" i="2"/>
  <c r="AD245" i="2"/>
  <c r="Z245" i="2"/>
  <c r="X245" i="2"/>
  <c r="R245" i="2"/>
  <c r="P245" i="2"/>
  <c r="J245" i="2"/>
  <c r="AD244" i="2"/>
  <c r="Z244" i="2"/>
  <c r="X244" i="2"/>
  <c r="R244" i="2"/>
  <c r="P244" i="2"/>
  <c r="J244" i="2"/>
  <c r="AD243" i="2"/>
  <c r="Z243" i="2"/>
  <c r="X243" i="2"/>
  <c r="Y272" i="2" s="1"/>
  <c r="R243" i="2"/>
  <c r="P243" i="2"/>
  <c r="J243" i="2"/>
  <c r="AD242" i="2"/>
  <c r="Z242" i="2"/>
  <c r="X242" i="2"/>
  <c r="R242" i="2"/>
  <c r="P242" i="2"/>
  <c r="J242" i="2"/>
  <c r="AD241" i="2"/>
  <c r="Z241" i="2"/>
  <c r="X241" i="2"/>
  <c r="R241" i="2"/>
  <c r="P241" i="2"/>
  <c r="J241" i="2"/>
  <c r="AD240" i="2"/>
  <c r="Z240" i="2"/>
  <c r="X240" i="2"/>
  <c r="R240" i="2"/>
  <c r="P240" i="2"/>
  <c r="J240" i="2"/>
  <c r="AD239" i="2"/>
  <c r="Z239" i="2"/>
  <c r="X239" i="2"/>
  <c r="R239" i="2"/>
  <c r="P239" i="2"/>
  <c r="Q268" i="2" s="1"/>
  <c r="J239" i="2"/>
  <c r="AD238" i="2"/>
  <c r="Z238" i="2"/>
  <c r="X238" i="2"/>
  <c r="R238" i="2"/>
  <c r="P238" i="2"/>
  <c r="J238" i="2"/>
  <c r="AD237" i="2"/>
  <c r="Z237" i="2"/>
  <c r="X237" i="2"/>
  <c r="R237" i="2"/>
  <c r="S266" i="2" s="1"/>
  <c r="P237" i="2"/>
  <c r="J237" i="2"/>
  <c r="AD236" i="2"/>
  <c r="Z236" i="2"/>
  <c r="X236" i="2"/>
  <c r="R236" i="2"/>
  <c r="P236" i="2"/>
  <c r="J236" i="2"/>
  <c r="AD235" i="2"/>
  <c r="Z235" i="2"/>
  <c r="X235" i="2"/>
  <c r="Y264" i="2" s="1"/>
  <c r="R235" i="2"/>
  <c r="P235" i="2"/>
  <c r="J235" i="2"/>
  <c r="AD234" i="2"/>
  <c r="Z234" i="2"/>
  <c r="X234" i="2"/>
  <c r="Y263" i="2" s="1"/>
  <c r="R234" i="2"/>
  <c r="P234" i="2"/>
  <c r="J234" i="2"/>
  <c r="AD233" i="2"/>
  <c r="Z233" i="2"/>
  <c r="X233" i="2"/>
  <c r="R233" i="2"/>
  <c r="P233" i="2"/>
  <c r="J233" i="2"/>
  <c r="AD232" i="2"/>
  <c r="Z232" i="2"/>
  <c r="X232" i="2"/>
  <c r="R232" i="2"/>
  <c r="P232" i="2"/>
  <c r="J232" i="2"/>
  <c r="K261" i="2" s="1"/>
  <c r="L261" i="2" s="1"/>
  <c r="AD231" i="2"/>
  <c r="Z231" i="2"/>
  <c r="X231" i="2"/>
  <c r="Y260" i="2" s="1"/>
  <c r="R231" i="2"/>
  <c r="P231" i="2"/>
  <c r="Q260" i="2" s="1"/>
  <c r="J231" i="2"/>
  <c r="AD230" i="2"/>
  <c r="Z230" i="2"/>
  <c r="X230" i="2"/>
  <c r="R230" i="2"/>
  <c r="P230" i="2"/>
  <c r="Q259" i="2" s="1"/>
  <c r="J230" i="2"/>
  <c r="AD229" i="2"/>
  <c r="Z229" i="2"/>
  <c r="X229" i="2"/>
  <c r="R229" i="2"/>
  <c r="P229" i="2"/>
  <c r="J229" i="2"/>
  <c r="AD228" i="2"/>
  <c r="Z228" i="2"/>
  <c r="X228" i="2"/>
  <c r="Y257" i="2" s="1"/>
  <c r="R228" i="2"/>
  <c r="P228" i="2"/>
  <c r="J228" i="2"/>
  <c r="AD227" i="2"/>
  <c r="Z227" i="2"/>
  <c r="X227" i="2"/>
  <c r="R227" i="2"/>
  <c r="P227" i="2"/>
  <c r="J227" i="2"/>
  <c r="AD226" i="2"/>
  <c r="Z226" i="2"/>
  <c r="X226" i="2"/>
  <c r="Y255" i="2" s="1"/>
  <c r="R226" i="2"/>
  <c r="P226" i="2"/>
  <c r="J226" i="2"/>
  <c r="AD225" i="2"/>
  <c r="Z225" i="2"/>
  <c r="X225" i="2"/>
  <c r="Y254" i="2" s="1"/>
  <c r="R225" i="2"/>
  <c r="P225" i="2"/>
  <c r="J225" i="2"/>
  <c r="AD224" i="2"/>
  <c r="Z224" i="2"/>
  <c r="AA253" i="2" s="1"/>
  <c r="X224" i="2"/>
  <c r="R224" i="2"/>
  <c r="P224" i="2"/>
  <c r="J224" i="2"/>
  <c r="AD223" i="2"/>
  <c r="Z223" i="2"/>
  <c r="X223" i="2"/>
  <c r="Y252" i="2" s="1"/>
  <c r="R223" i="2"/>
  <c r="P223" i="2"/>
  <c r="J223" i="2"/>
  <c r="AD222" i="2"/>
  <c r="Z222" i="2"/>
  <c r="X222" i="2"/>
  <c r="R222" i="2"/>
  <c r="P222" i="2"/>
  <c r="J222" i="2"/>
  <c r="AD221" i="2"/>
  <c r="Z221" i="2"/>
  <c r="X221" i="2"/>
  <c r="R221" i="2"/>
  <c r="S250" i="2" s="1"/>
  <c r="P221" i="2"/>
  <c r="J221" i="2"/>
  <c r="AD220" i="2"/>
  <c r="Z220" i="2"/>
  <c r="X220" i="2"/>
  <c r="Y249" i="2" s="1"/>
  <c r="R220" i="2"/>
  <c r="P220" i="2"/>
  <c r="J220" i="2"/>
  <c r="AD219" i="2"/>
  <c r="Z219" i="2"/>
  <c r="X219" i="2"/>
  <c r="Y248" i="2" s="1"/>
  <c r="R219" i="2"/>
  <c r="P219" i="2"/>
  <c r="Q248" i="2" s="1"/>
  <c r="J219" i="2"/>
  <c r="AD218" i="2"/>
  <c r="Z218" i="2"/>
  <c r="X218" i="2"/>
  <c r="Y247" i="2" s="1"/>
  <c r="R218" i="2"/>
  <c r="P218" i="2"/>
  <c r="J218" i="2"/>
  <c r="AD217" i="2"/>
  <c r="Z217" i="2"/>
  <c r="X217" i="2"/>
  <c r="R217" i="2"/>
  <c r="P217" i="2"/>
  <c r="J217" i="2"/>
  <c r="AD216" i="2"/>
  <c r="Z216" i="2"/>
  <c r="X216" i="2"/>
  <c r="Y245" i="2" s="1"/>
  <c r="R216" i="2"/>
  <c r="P216" i="2"/>
  <c r="Q245" i="2" s="1"/>
  <c r="J216" i="2"/>
  <c r="K245" i="2" s="1"/>
  <c r="L245" i="2" s="1"/>
  <c r="AD215" i="2"/>
  <c r="Z215" i="2"/>
  <c r="AA244" i="2" s="1"/>
  <c r="X215" i="2"/>
  <c r="R215" i="2"/>
  <c r="P215" i="2"/>
  <c r="J215" i="2"/>
  <c r="AD214" i="2"/>
  <c r="Z214" i="2"/>
  <c r="X214" i="2"/>
  <c r="R214" i="2"/>
  <c r="P214" i="2"/>
  <c r="J214" i="2"/>
  <c r="AD213" i="2"/>
  <c r="Z213" i="2"/>
  <c r="X213" i="2"/>
  <c r="R213" i="2"/>
  <c r="P213" i="2"/>
  <c r="J213" i="2"/>
  <c r="AD212" i="2"/>
  <c r="Z212" i="2"/>
  <c r="X212" i="2"/>
  <c r="R212" i="2"/>
  <c r="P212" i="2"/>
  <c r="J212" i="2"/>
  <c r="AD211" i="2"/>
  <c r="Z211" i="2"/>
  <c r="X211" i="2"/>
  <c r="Y240" i="2" s="1"/>
  <c r="R211" i="2"/>
  <c r="P211" i="2"/>
  <c r="Q240" i="2" s="1"/>
  <c r="J211" i="2"/>
  <c r="AD210" i="2"/>
  <c r="Z210" i="2"/>
  <c r="X210" i="2"/>
  <c r="Y239" i="2" s="1"/>
  <c r="R210" i="2"/>
  <c r="P210" i="2"/>
  <c r="J210" i="2"/>
  <c r="K239" i="2" s="1"/>
  <c r="L239" i="2" s="1"/>
  <c r="AD209" i="2"/>
  <c r="Z209" i="2"/>
  <c r="X209" i="2"/>
  <c r="R209" i="2"/>
  <c r="P209" i="2"/>
  <c r="J209" i="2"/>
  <c r="AD208" i="2"/>
  <c r="Z208" i="2"/>
  <c r="AA237" i="2" s="1"/>
  <c r="X208" i="2"/>
  <c r="R208" i="2"/>
  <c r="P208" i="2"/>
  <c r="J208" i="2"/>
  <c r="AD207" i="2"/>
  <c r="Z207" i="2"/>
  <c r="X207" i="2"/>
  <c r="Y236" i="2" s="1"/>
  <c r="R207" i="2"/>
  <c r="P207" i="2"/>
  <c r="Q236" i="2" s="1"/>
  <c r="J207" i="2"/>
  <c r="K236" i="2" s="1"/>
  <c r="L236" i="2" s="1"/>
  <c r="AD206" i="2"/>
  <c r="Z206" i="2"/>
  <c r="X206" i="2"/>
  <c r="R206" i="2"/>
  <c r="P206" i="2"/>
  <c r="Q235" i="2" s="1"/>
  <c r="J206" i="2"/>
  <c r="AD205" i="2"/>
  <c r="Z205" i="2"/>
  <c r="AA234" i="2" s="1"/>
  <c r="X205" i="2"/>
  <c r="R205" i="2"/>
  <c r="P205" i="2"/>
  <c r="J205" i="2"/>
  <c r="AD204" i="2"/>
  <c r="Z204" i="2"/>
  <c r="X204" i="2"/>
  <c r="R204" i="2"/>
  <c r="P204" i="2"/>
  <c r="J204" i="2"/>
  <c r="K233" i="2" s="1"/>
  <c r="L233" i="2" s="1"/>
  <c r="AD203" i="2"/>
  <c r="Z203" i="2"/>
  <c r="X203" i="2"/>
  <c r="Y232" i="2" s="1"/>
  <c r="R203" i="2"/>
  <c r="P203" i="2"/>
  <c r="Q232" i="2" s="1"/>
  <c r="J203" i="2"/>
  <c r="K232" i="2" s="1"/>
  <c r="L232" i="2" s="1"/>
  <c r="AD202" i="2"/>
  <c r="Z202" i="2"/>
  <c r="X202" i="2"/>
  <c r="R202" i="2"/>
  <c r="P202" i="2"/>
  <c r="J202" i="2"/>
  <c r="K231" i="2" s="1"/>
  <c r="L231" i="2" s="1"/>
  <c r="AD201" i="2"/>
  <c r="Z201" i="2"/>
  <c r="AA230" i="2" s="1"/>
  <c r="X201" i="2"/>
  <c r="R201" i="2"/>
  <c r="P201" i="2"/>
  <c r="J201" i="2"/>
  <c r="K230" i="2" s="1"/>
  <c r="L230" i="2" s="1"/>
  <c r="AD200" i="2"/>
  <c r="Z200" i="2"/>
  <c r="X200" i="2"/>
  <c r="R200" i="2"/>
  <c r="P200" i="2"/>
  <c r="J200" i="2"/>
  <c r="AD199" i="2"/>
  <c r="Z199" i="2"/>
  <c r="X199" i="2"/>
  <c r="R199" i="2"/>
  <c r="P199" i="2"/>
  <c r="J199" i="2"/>
  <c r="K228" i="2" s="1"/>
  <c r="L228" i="2" s="1"/>
  <c r="AD198" i="2"/>
  <c r="Z198" i="2"/>
  <c r="X198" i="2"/>
  <c r="R198" i="2"/>
  <c r="P198" i="2"/>
  <c r="J198" i="2"/>
  <c r="AD197" i="2"/>
  <c r="Z197" i="2"/>
  <c r="X197" i="2"/>
  <c r="R197" i="2"/>
  <c r="P197" i="2"/>
  <c r="J197" i="2"/>
  <c r="AD196" i="2"/>
  <c r="Z196" i="2"/>
  <c r="Y196" i="2"/>
  <c r="X196" i="2"/>
  <c r="R196" i="2"/>
  <c r="P196" i="2"/>
  <c r="J196" i="2"/>
  <c r="K225" i="2" s="1"/>
  <c r="L225" i="2" s="1"/>
  <c r="AD195" i="2"/>
  <c r="Z195" i="2"/>
  <c r="X195" i="2"/>
  <c r="R195" i="2"/>
  <c r="P195" i="2"/>
  <c r="J195" i="2"/>
  <c r="AD194" i="2"/>
  <c r="Z194" i="2"/>
  <c r="X194" i="2"/>
  <c r="R194" i="2"/>
  <c r="P194" i="2"/>
  <c r="J194" i="2"/>
  <c r="K223" i="2" s="1"/>
  <c r="L223" i="2" s="1"/>
  <c r="AD193" i="2"/>
  <c r="Z193" i="2"/>
  <c r="X193" i="2"/>
  <c r="R193" i="2"/>
  <c r="P193" i="2"/>
  <c r="J193" i="2"/>
  <c r="AD192" i="2"/>
  <c r="Z192" i="2"/>
  <c r="X192" i="2"/>
  <c r="R192" i="2"/>
  <c r="P192" i="2"/>
  <c r="J192" i="2"/>
  <c r="AD191" i="2"/>
  <c r="Z191" i="2"/>
  <c r="X191" i="2"/>
  <c r="R191" i="2"/>
  <c r="P191" i="2"/>
  <c r="J191" i="2"/>
  <c r="AD190" i="2"/>
  <c r="Z190" i="2"/>
  <c r="X190" i="2"/>
  <c r="R190" i="2"/>
  <c r="S219" i="2" s="1"/>
  <c r="P190" i="2"/>
  <c r="J190" i="2"/>
  <c r="AD189" i="2"/>
  <c r="Z189" i="2"/>
  <c r="X189" i="2"/>
  <c r="R189" i="2"/>
  <c r="S218" i="2" s="1"/>
  <c r="P189" i="2"/>
  <c r="J189" i="2"/>
  <c r="K218" i="2" s="1"/>
  <c r="L218" i="2" s="1"/>
  <c r="AD188" i="2"/>
  <c r="Z188" i="2"/>
  <c r="X188" i="2"/>
  <c r="R188" i="2"/>
  <c r="P188" i="2"/>
  <c r="Q217" i="2" s="1"/>
  <c r="J188" i="2"/>
  <c r="AD187" i="2"/>
  <c r="Z187" i="2"/>
  <c r="X187" i="2"/>
  <c r="R187" i="2"/>
  <c r="P187" i="2"/>
  <c r="J187" i="2"/>
  <c r="AD186" i="2"/>
  <c r="Z186" i="2"/>
  <c r="X186" i="2"/>
  <c r="R186" i="2"/>
  <c r="P186" i="2"/>
  <c r="J186" i="2"/>
  <c r="AD185" i="2"/>
  <c r="Z185" i="2"/>
  <c r="X185" i="2"/>
  <c r="R185" i="2"/>
  <c r="P185" i="2"/>
  <c r="J185" i="2"/>
  <c r="K214" i="2" s="1"/>
  <c r="L214" i="2" s="1"/>
  <c r="AD184" i="2"/>
  <c r="Z184" i="2"/>
  <c r="X184" i="2"/>
  <c r="R184" i="2"/>
  <c r="P184" i="2"/>
  <c r="Q213" i="2" s="1"/>
  <c r="J184" i="2"/>
  <c r="AD183" i="2"/>
  <c r="Z183" i="2"/>
  <c r="X183" i="2"/>
  <c r="R183" i="2"/>
  <c r="P183" i="2"/>
  <c r="J183" i="2"/>
  <c r="K212" i="2" s="1"/>
  <c r="L212" i="2" s="1"/>
  <c r="AD182" i="2"/>
  <c r="Z182" i="2"/>
  <c r="X182" i="2"/>
  <c r="R182" i="2"/>
  <c r="P182" i="2"/>
  <c r="Q211" i="2" s="1"/>
  <c r="J182" i="2"/>
  <c r="AD181" i="2"/>
  <c r="Z181" i="2"/>
  <c r="X181" i="2"/>
  <c r="R181" i="2"/>
  <c r="P181" i="2"/>
  <c r="J181" i="2"/>
  <c r="AD180" i="2"/>
  <c r="Z180" i="2"/>
  <c r="X180" i="2"/>
  <c r="Y209" i="2" s="1"/>
  <c r="R180" i="2"/>
  <c r="S209" i="2" s="1"/>
  <c r="P180" i="2"/>
  <c r="J180" i="2"/>
  <c r="K209" i="2" s="1"/>
  <c r="L209" i="2" s="1"/>
  <c r="AD179" i="2"/>
  <c r="Z179" i="2"/>
  <c r="X179" i="2"/>
  <c r="R179" i="2"/>
  <c r="S208" i="2" s="1"/>
  <c r="P179" i="2"/>
  <c r="J179" i="2"/>
  <c r="AD178" i="2"/>
  <c r="Z178" i="2"/>
  <c r="X178" i="2"/>
  <c r="R178" i="2"/>
  <c r="P178" i="2"/>
  <c r="J178" i="2"/>
  <c r="K207" i="2" s="1"/>
  <c r="L207" i="2" s="1"/>
  <c r="AD177" i="2"/>
  <c r="Z177" i="2"/>
  <c r="X177" i="2"/>
  <c r="R177" i="2"/>
  <c r="P177" i="2"/>
  <c r="J177" i="2"/>
  <c r="K206" i="2" s="1"/>
  <c r="L206" i="2" s="1"/>
  <c r="AD176" i="2"/>
  <c r="Z176" i="2"/>
  <c r="X176" i="2"/>
  <c r="R176" i="2"/>
  <c r="P176" i="2"/>
  <c r="J176" i="2"/>
  <c r="AD175" i="2"/>
  <c r="Z175" i="2"/>
  <c r="X175" i="2"/>
  <c r="R175" i="2"/>
  <c r="P175" i="2"/>
  <c r="J175" i="2"/>
  <c r="AD174" i="2"/>
  <c r="Z174" i="2"/>
  <c r="X174" i="2"/>
  <c r="R174" i="2"/>
  <c r="P174" i="2"/>
  <c r="J174" i="2"/>
  <c r="AD173" i="2"/>
  <c r="Z173" i="2"/>
  <c r="X173" i="2"/>
  <c r="R173" i="2"/>
  <c r="P173" i="2"/>
  <c r="J173" i="2"/>
  <c r="K202" i="2" s="1"/>
  <c r="L202" i="2" s="1"/>
  <c r="AD172" i="2"/>
  <c r="Z172" i="2"/>
  <c r="X172" i="2"/>
  <c r="Y201" i="2" s="1"/>
  <c r="R172" i="2"/>
  <c r="P172" i="2"/>
  <c r="J172" i="2"/>
  <c r="K201" i="2" s="1"/>
  <c r="L201" i="2" s="1"/>
  <c r="AD171" i="2"/>
  <c r="Z171" i="2"/>
  <c r="X171" i="2"/>
  <c r="R171" i="2"/>
  <c r="P171" i="2"/>
  <c r="J171" i="2"/>
  <c r="AD170" i="2"/>
  <c r="Z170" i="2"/>
  <c r="X170" i="2"/>
  <c r="Y199" i="2" s="1"/>
  <c r="R170" i="2"/>
  <c r="P170" i="2"/>
  <c r="J170" i="2"/>
  <c r="K199" i="2" s="1"/>
  <c r="L199" i="2" s="1"/>
  <c r="AD169" i="2"/>
  <c r="Z169" i="2"/>
  <c r="X169" i="2"/>
  <c r="Y198" i="2" s="1"/>
  <c r="R169" i="2"/>
  <c r="P169" i="2"/>
  <c r="J169" i="2"/>
  <c r="K198" i="2" s="1"/>
  <c r="L198" i="2" s="1"/>
  <c r="AD168" i="2"/>
  <c r="Z168" i="2"/>
  <c r="X168" i="2"/>
  <c r="R168" i="2"/>
  <c r="P168" i="2"/>
  <c r="J168" i="2"/>
  <c r="AD167" i="2"/>
  <c r="Z167" i="2"/>
  <c r="X167" i="2"/>
  <c r="R167" i="2"/>
  <c r="P167" i="2"/>
  <c r="J167" i="2"/>
  <c r="K196" i="2" s="1"/>
  <c r="L196" i="2" s="1"/>
  <c r="AD166" i="2"/>
  <c r="Z166" i="2"/>
  <c r="X166" i="2"/>
  <c r="Y195" i="2" s="1"/>
  <c r="R166" i="2"/>
  <c r="S195" i="2" s="1"/>
  <c r="P166" i="2"/>
  <c r="J166" i="2"/>
  <c r="K195" i="2" s="1"/>
  <c r="L195" i="2" s="1"/>
  <c r="AD165" i="2"/>
  <c r="Z165" i="2"/>
  <c r="X165" i="2"/>
  <c r="Y194" i="2" s="1"/>
  <c r="R165" i="2"/>
  <c r="P165" i="2"/>
  <c r="J165" i="2"/>
  <c r="K194" i="2" s="1"/>
  <c r="L194" i="2" s="1"/>
  <c r="AD164" i="2"/>
  <c r="Z164" i="2"/>
  <c r="X164" i="2"/>
  <c r="Y193" i="2" s="1"/>
  <c r="R164" i="2"/>
  <c r="S193" i="2" s="1"/>
  <c r="P164" i="2"/>
  <c r="J164" i="2"/>
  <c r="K193" i="2" s="1"/>
  <c r="L193" i="2" s="1"/>
  <c r="AD163" i="2"/>
  <c r="Z163" i="2"/>
  <c r="X163" i="2"/>
  <c r="R163" i="2"/>
  <c r="P163" i="2"/>
  <c r="J163" i="2"/>
  <c r="AD162" i="2"/>
  <c r="Z162" i="2"/>
  <c r="AA191" i="2" s="1"/>
  <c r="X162" i="2"/>
  <c r="R162" i="2"/>
  <c r="P162" i="2"/>
  <c r="J162" i="2"/>
  <c r="K191" i="2" s="1"/>
  <c r="L191" i="2" s="1"/>
  <c r="AD161" i="2"/>
  <c r="Z161" i="2"/>
  <c r="X161" i="2"/>
  <c r="Y190" i="2" s="1"/>
  <c r="R161" i="2"/>
  <c r="P161" i="2"/>
  <c r="J161" i="2"/>
  <c r="K190" i="2" s="1"/>
  <c r="L190" i="2" s="1"/>
  <c r="AD160" i="2"/>
  <c r="Z160" i="2"/>
  <c r="X160" i="2"/>
  <c r="R160" i="2"/>
  <c r="P160" i="2"/>
  <c r="J160" i="2"/>
  <c r="K189" i="2" s="1"/>
  <c r="L189" i="2" s="1"/>
  <c r="AD159" i="2"/>
  <c r="Z159" i="2"/>
  <c r="X159" i="2"/>
  <c r="R159" i="2"/>
  <c r="P159" i="2"/>
  <c r="J159" i="2"/>
  <c r="K188" i="2" s="1"/>
  <c r="L188" i="2" s="1"/>
  <c r="AD158" i="2"/>
  <c r="Z158" i="2"/>
  <c r="X158" i="2"/>
  <c r="R158" i="2"/>
  <c r="P158" i="2"/>
  <c r="J158" i="2"/>
  <c r="AD157" i="2"/>
  <c r="Z157" i="2"/>
  <c r="X157" i="2"/>
  <c r="R157" i="2"/>
  <c r="P157" i="2"/>
  <c r="J157" i="2"/>
  <c r="AD156" i="2"/>
  <c r="Z156" i="2"/>
  <c r="X156" i="2"/>
  <c r="R156" i="2"/>
  <c r="S185" i="2" s="1"/>
  <c r="P156" i="2"/>
  <c r="J156" i="2"/>
  <c r="AD155" i="2"/>
  <c r="Z155" i="2"/>
  <c r="X155" i="2"/>
  <c r="R155" i="2"/>
  <c r="S184" i="2" s="1"/>
  <c r="P155" i="2"/>
  <c r="J155" i="2"/>
  <c r="AD154" i="2"/>
  <c r="Z154" i="2"/>
  <c r="X154" i="2"/>
  <c r="R154" i="2"/>
  <c r="P154" i="2"/>
  <c r="J154" i="2"/>
  <c r="AD153" i="2"/>
  <c r="Z153" i="2"/>
  <c r="X153" i="2"/>
  <c r="R153" i="2"/>
  <c r="P153" i="2"/>
  <c r="J153" i="2"/>
  <c r="AD152" i="2"/>
  <c r="Z152" i="2"/>
  <c r="X152" i="2"/>
  <c r="R152" i="2"/>
  <c r="P152" i="2"/>
  <c r="J152" i="2"/>
  <c r="AD151" i="2"/>
  <c r="Z151" i="2"/>
  <c r="X151" i="2"/>
  <c r="R151" i="2"/>
  <c r="P151" i="2"/>
  <c r="Q180" i="2" s="1"/>
  <c r="J151" i="2"/>
  <c r="AD150" i="2"/>
  <c r="Z150" i="2"/>
  <c r="X150" i="2"/>
  <c r="R150" i="2"/>
  <c r="P150" i="2"/>
  <c r="J150" i="2"/>
  <c r="K179" i="2" s="1"/>
  <c r="L179" i="2" s="1"/>
  <c r="AD149" i="2"/>
  <c r="Z149" i="2"/>
  <c r="X149" i="2"/>
  <c r="R149" i="2"/>
  <c r="S178" i="2" s="1"/>
  <c r="P149" i="2"/>
  <c r="J149" i="2"/>
  <c r="K178" i="2" s="1"/>
  <c r="L178" i="2" s="1"/>
  <c r="AD148" i="2"/>
  <c r="Z148" i="2"/>
  <c r="X148" i="2"/>
  <c r="R148" i="2"/>
  <c r="P148" i="2"/>
  <c r="J148" i="2"/>
  <c r="K177" i="2" s="1"/>
  <c r="L177" i="2" s="1"/>
  <c r="AD147" i="2"/>
  <c r="Z147" i="2"/>
  <c r="X147" i="2"/>
  <c r="Y176" i="2" s="1"/>
  <c r="R147" i="2"/>
  <c r="P147" i="2"/>
  <c r="J147" i="2"/>
  <c r="AD146" i="2"/>
  <c r="Z146" i="2"/>
  <c r="AA175" i="2" s="1"/>
  <c r="X146" i="2"/>
  <c r="R146" i="2"/>
  <c r="P146" i="2"/>
  <c r="K146" i="2"/>
  <c r="L146" i="2" s="1"/>
  <c r="J146" i="2"/>
  <c r="AD145" i="2"/>
  <c r="Z145" i="2"/>
  <c r="AA174" i="2" s="1"/>
  <c r="X145" i="2"/>
  <c r="R145" i="2"/>
  <c r="P145" i="2"/>
  <c r="J145" i="2"/>
  <c r="AD144" i="2"/>
  <c r="Z144" i="2"/>
  <c r="X144" i="2"/>
  <c r="R144" i="2"/>
  <c r="P144" i="2"/>
  <c r="Q173" i="2" s="1"/>
  <c r="J144" i="2"/>
  <c r="AD143" i="2"/>
  <c r="Z143" i="2"/>
  <c r="X143" i="2"/>
  <c r="R143" i="2"/>
  <c r="P143" i="2"/>
  <c r="Q172" i="2" s="1"/>
  <c r="J143" i="2"/>
  <c r="AD142" i="2"/>
  <c r="Z142" i="2"/>
  <c r="X142" i="2"/>
  <c r="R142" i="2"/>
  <c r="S171" i="2" s="1"/>
  <c r="P142" i="2"/>
  <c r="J142" i="2"/>
  <c r="AD141" i="2"/>
  <c r="Z141" i="2"/>
  <c r="X141" i="2"/>
  <c r="R141" i="2"/>
  <c r="S170" i="2" s="1"/>
  <c r="P141" i="2"/>
  <c r="J141" i="2"/>
  <c r="AD140" i="2"/>
  <c r="Z140" i="2"/>
  <c r="X140" i="2"/>
  <c r="R140" i="2"/>
  <c r="P140" i="2"/>
  <c r="J140" i="2"/>
  <c r="AD139" i="2"/>
  <c r="Z139" i="2"/>
  <c r="X139" i="2"/>
  <c r="R139" i="2"/>
  <c r="P139" i="2"/>
  <c r="J139" i="2"/>
  <c r="AD138" i="2"/>
  <c r="Z138" i="2"/>
  <c r="X138" i="2"/>
  <c r="R138" i="2"/>
  <c r="P138" i="2"/>
  <c r="Q167" i="2" s="1"/>
  <c r="J138" i="2"/>
  <c r="AD137" i="2"/>
  <c r="Z137" i="2"/>
  <c r="X137" i="2"/>
  <c r="R137" i="2"/>
  <c r="P137" i="2"/>
  <c r="J137" i="2"/>
  <c r="AD136" i="2"/>
  <c r="Z136" i="2"/>
  <c r="X136" i="2"/>
  <c r="R136" i="2"/>
  <c r="P136" i="2"/>
  <c r="J136" i="2"/>
  <c r="AD135" i="2"/>
  <c r="Z135" i="2"/>
  <c r="X135" i="2"/>
  <c r="R135" i="2"/>
  <c r="P135" i="2"/>
  <c r="Q164" i="2" s="1"/>
  <c r="J135" i="2"/>
  <c r="AD134" i="2"/>
  <c r="Z134" i="2"/>
  <c r="X134" i="2"/>
  <c r="R134" i="2"/>
  <c r="P134" i="2"/>
  <c r="J134" i="2"/>
  <c r="AD133" i="2"/>
  <c r="Z133" i="2"/>
  <c r="X133" i="2"/>
  <c r="Y162" i="2" s="1"/>
  <c r="R133" i="2"/>
  <c r="P133" i="2"/>
  <c r="J133" i="2"/>
  <c r="AD132" i="2"/>
  <c r="Z132" i="2"/>
  <c r="X132" i="2"/>
  <c r="Y161" i="2" s="1"/>
  <c r="R132" i="2"/>
  <c r="P132" i="2"/>
  <c r="J132" i="2"/>
  <c r="AD131" i="2"/>
  <c r="Z131" i="2"/>
  <c r="X131" i="2"/>
  <c r="R131" i="2"/>
  <c r="P131" i="2"/>
  <c r="J131" i="2"/>
  <c r="AD130" i="2"/>
  <c r="Z130" i="2"/>
  <c r="X130" i="2"/>
  <c r="R130" i="2"/>
  <c r="P130" i="2"/>
  <c r="J130" i="2"/>
  <c r="AD129" i="2"/>
  <c r="Z129" i="2"/>
  <c r="X129" i="2"/>
  <c r="Y158" i="2" s="1"/>
  <c r="R129" i="2"/>
  <c r="P129" i="2"/>
  <c r="J129" i="2"/>
  <c r="AD128" i="2"/>
  <c r="Z128" i="2"/>
  <c r="X128" i="2"/>
  <c r="R128" i="2"/>
  <c r="P128" i="2"/>
  <c r="J128" i="2"/>
  <c r="AD127" i="2"/>
  <c r="Z127" i="2"/>
  <c r="X127" i="2"/>
  <c r="R127" i="2"/>
  <c r="P127" i="2"/>
  <c r="J127" i="2"/>
  <c r="AD126" i="2"/>
  <c r="Z126" i="2"/>
  <c r="X126" i="2"/>
  <c r="R126" i="2"/>
  <c r="P126" i="2"/>
  <c r="J126" i="2"/>
  <c r="AD125" i="2"/>
  <c r="Z125" i="2"/>
  <c r="AA154" i="2" s="1"/>
  <c r="X125" i="2"/>
  <c r="R125" i="2"/>
  <c r="P125" i="2"/>
  <c r="J125" i="2"/>
  <c r="AD124" i="2"/>
  <c r="Z124" i="2"/>
  <c r="X124" i="2"/>
  <c r="R124" i="2"/>
  <c r="P124" i="2"/>
  <c r="J124" i="2"/>
  <c r="AD123" i="2"/>
  <c r="Z123" i="2"/>
  <c r="X123" i="2"/>
  <c r="R123" i="2"/>
  <c r="P123" i="2"/>
  <c r="J123" i="2"/>
  <c r="AD122" i="2"/>
  <c r="Z122" i="2"/>
  <c r="X122" i="2"/>
  <c r="R122" i="2"/>
  <c r="P122" i="2"/>
  <c r="J122" i="2"/>
  <c r="AD121" i="2"/>
  <c r="Z121" i="2"/>
  <c r="X121" i="2"/>
  <c r="R121" i="2"/>
  <c r="P121" i="2"/>
  <c r="Q150" i="2" s="1"/>
  <c r="J121" i="2"/>
  <c r="AD120" i="2"/>
  <c r="Z120" i="2"/>
  <c r="X120" i="2"/>
  <c r="R120" i="2"/>
  <c r="P120" i="2"/>
  <c r="J120" i="2"/>
  <c r="AD119" i="2"/>
  <c r="Z119" i="2"/>
  <c r="X119" i="2"/>
  <c r="R119" i="2"/>
  <c r="S148" i="2" s="1"/>
  <c r="P119" i="2"/>
  <c r="J119" i="2"/>
  <c r="AD118" i="2"/>
  <c r="Z118" i="2"/>
  <c r="X118" i="2"/>
  <c r="R118" i="2"/>
  <c r="S147" i="2" s="1"/>
  <c r="P118" i="2"/>
  <c r="J118" i="2"/>
  <c r="AD117" i="2"/>
  <c r="Z117" i="2"/>
  <c r="X117" i="2"/>
  <c r="R117" i="2"/>
  <c r="P117" i="2"/>
  <c r="Q146" i="2" s="1"/>
  <c r="J117" i="2"/>
  <c r="AD116" i="2"/>
  <c r="Z116" i="2"/>
  <c r="X116" i="2"/>
  <c r="R116" i="2"/>
  <c r="P116" i="2"/>
  <c r="J116" i="2"/>
  <c r="AD115" i="2"/>
  <c r="Z115" i="2"/>
  <c r="AA144" i="2" s="1"/>
  <c r="X115" i="2"/>
  <c r="R115" i="2"/>
  <c r="P115" i="2"/>
  <c r="J115" i="2"/>
  <c r="K144" i="2" s="1"/>
  <c r="L144" i="2" s="1"/>
  <c r="AD114" i="2"/>
  <c r="Z114" i="2"/>
  <c r="AA143" i="2" s="1"/>
  <c r="X114" i="2"/>
  <c r="R114" i="2"/>
  <c r="P114" i="2"/>
  <c r="J114" i="2"/>
  <c r="AD113" i="2"/>
  <c r="Z113" i="2"/>
  <c r="X113" i="2"/>
  <c r="R113" i="2"/>
  <c r="P113" i="2"/>
  <c r="J113" i="2"/>
  <c r="K142" i="2" s="1"/>
  <c r="L142" i="2" s="1"/>
  <c r="AD112" i="2"/>
  <c r="Z112" i="2"/>
  <c r="X112" i="2"/>
  <c r="R112" i="2"/>
  <c r="P112" i="2"/>
  <c r="J112" i="2"/>
  <c r="AD111" i="2"/>
  <c r="Z111" i="2"/>
  <c r="X111" i="2"/>
  <c r="R111" i="2"/>
  <c r="P111" i="2"/>
  <c r="J111" i="2"/>
  <c r="K140" i="2" s="1"/>
  <c r="L140" i="2" s="1"/>
  <c r="AD110" i="2"/>
  <c r="Z110" i="2"/>
  <c r="X110" i="2"/>
  <c r="R110" i="2"/>
  <c r="P110" i="2"/>
  <c r="J110" i="2"/>
  <c r="AD109" i="2"/>
  <c r="Z109" i="2"/>
  <c r="X109" i="2"/>
  <c r="Y138" i="2" s="1"/>
  <c r="S109" i="2"/>
  <c r="R109" i="2"/>
  <c r="P109" i="2"/>
  <c r="J109" i="2"/>
  <c r="K138" i="2" s="1"/>
  <c r="L138" i="2" s="1"/>
  <c r="AD108" i="2"/>
  <c r="Z108" i="2"/>
  <c r="X108" i="2"/>
  <c r="Y137" i="2" s="1"/>
  <c r="R108" i="2"/>
  <c r="P108" i="2"/>
  <c r="J108" i="2"/>
  <c r="K137" i="2" s="1"/>
  <c r="L137" i="2" s="1"/>
  <c r="AD107" i="2"/>
  <c r="Z107" i="2"/>
  <c r="X107" i="2"/>
  <c r="R107" i="2"/>
  <c r="P107" i="2"/>
  <c r="J107" i="2"/>
  <c r="AD106" i="2"/>
  <c r="Z106" i="2"/>
  <c r="X106" i="2"/>
  <c r="R106" i="2"/>
  <c r="P106" i="2"/>
  <c r="J106" i="2"/>
  <c r="AD105" i="2"/>
  <c r="Z105" i="2"/>
  <c r="AA134" i="2" s="1"/>
  <c r="X105" i="2"/>
  <c r="R105" i="2"/>
  <c r="P105" i="2"/>
  <c r="J105" i="2"/>
  <c r="AD104" i="2"/>
  <c r="Z104" i="2"/>
  <c r="X104" i="2"/>
  <c r="R104" i="2"/>
  <c r="P104" i="2"/>
  <c r="Q132" i="2" s="1"/>
  <c r="J104" i="2"/>
  <c r="AD103" i="2"/>
  <c r="Z103" i="2"/>
  <c r="X103" i="2"/>
  <c r="R103" i="2"/>
  <c r="P103" i="2"/>
  <c r="J103" i="2"/>
  <c r="AD102" i="2"/>
  <c r="Z102" i="2"/>
  <c r="X102" i="2"/>
  <c r="R102" i="2"/>
  <c r="S127" i="2" s="1"/>
  <c r="P102" i="2"/>
  <c r="J102" i="2"/>
  <c r="AD101" i="2"/>
  <c r="Z101" i="2"/>
  <c r="X101" i="2"/>
  <c r="R101" i="2"/>
  <c r="P101" i="2"/>
  <c r="J101" i="2"/>
  <c r="AD100" i="2"/>
  <c r="Z100" i="2"/>
  <c r="X100" i="2"/>
  <c r="R100" i="2"/>
  <c r="P100" i="2"/>
  <c r="J100" i="2"/>
  <c r="K129" i="2" s="1"/>
  <c r="L129" i="2" s="1"/>
  <c r="AD99" i="2"/>
  <c r="Z99" i="2"/>
  <c r="AA128" i="2" s="1"/>
  <c r="X99" i="2"/>
  <c r="R99" i="2"/>
  <c r="P99" i="2"/>
  <c r="J99" i="2"/>
  <c r="AD98" i="2"/>
  <c r="Z98" i="2"/>
  <c r="AA127" i="2" s="1"/>
  <c r="X98" i="2"/>
  <c r="R98" i="2"/>
  <c r="P98" i="2"/>
  <c r="J98" i="2"/>
  <c r="AD97" i="2"/>
  <c r="Z97" i="2"/>
  <c r="X97" i="2"/>
  <c r="R97" i="2"/>
  <c r="P97" i="2"/>
  <c r="J97" i="2"/>
  <c r="AD96" i="2"/>
  <c r="Z96" i="2"/>
  <c r="AA125" i="2" s="1"/>
  <c r="X96" i="2"/>
  <c r="R96" i="2"/>
  <c r="P96" i="2"/>
  <c r="J96" i="2"/>
  <c r="AD95" i="2"/>
  <c r="Z95" i="2"/>
  <c r="X95" i="2"/>
  <c r="R95" i="2"/>
  <c r="P95" i="2"/>
  <c r="J95" i="2"/>
  <c r="K124" i="2" s="1"/>
  <c r="L124" i="2" s="1"/>
  <c r="AD94" i="2"/>
  <c r="Z94" i="2"/>
  <c r="AA123" i="2" s="1"/>
  <c r="X94" i="2"/>
  <c r="R94" i="2"/>
  <c r="P94" i="2"/>
  <c r="J94" i="2"/>
  <c r="AD93" i="2"/>
  <c r="Z93" i="2"/>
  <c r="X93" i="2"/>
  <c r="R93" i="2"/>
  <c r="P93" i="2"/>
  <c r="J93" i="2"/>
  <c r="AD92" i="2"/>
  <c r="Z92" i="2"/>
  <c r="AA121" i="2" s="1"/>
  <c r="X92" i="2"/>
  <c r="R92" i="2"/>
  <c r="P92" i="2"/>
  <c r="J92" i="2"/>
  <c r="AD91" i="2"/>
  <c r="Z91" i="2"/>
  <c r="X91" i="2"/>
  <c r="R91" i="2"/>
  <c r="P91" i="2"/>
  <c r="J91" i="2"/>
  <c r="AD90" i="2"/>
  <c r="Z90" i="2"/>
  <c r="AA119" i="2" s="1"/>
  <c r="X90" i="2"/>
  <c r="R90" i="2"/>
  <c r="P90" i="2"/>
  <c r="J90" i="2"/>
  <c r="K119" i="2" s="1"/>
  <c r="L119" i="2" s="1"/>
  <c r="AD89" i="2"/>
  <c r="Z89" i="2"/>
  <c r="X89" i="2"/>
  <c r="R89" i="2"/>
  <c r="P89" i="2"/>
  <c r="J89" i="2"/>
  <c r="AD88" i="2"/>
  <c r="Z88" i="2"/>
  <c r="X88" i="2"/>
  <c r="R88" i="2"/>
  <c r="P88" i="2"/>
  <c r="Q117" i="2" s="1"/>
  <c r="J88" i="2"/>
  <c r="K117" i="2" s="1"/>
  <c r="L117" i="2" s="1"/>
  <c r="AD87" i="2"/>
  <c r="Z87" i="2"/>
  <c r="X87" i="2"/>
  <c r="R87" i="2"/>
  <c r="P87" i="2"/>
  <c r="J87" i="2"/>
  <c r="AD86" i="2"/>
  <c r="Z86" i="2"/>
  <c r="X86" i="2"/>
  <c r="R86" i="2"/>
  <c r="P86" i="2"/>
  <c r="J86" i="2"/>
  <c r="AD85" i="2"/>
  <c r="Z85" i="2"/>
  <c r="X85" i="2"/>
  <c r="R85" i="2"/>
  <c r="S114" i="2" s="1"/>
  <c r="P85" i="2"/>
  <c r="J85" i="2"/>
  <c r="K114" i="2" s="1"/>
  <c r="L114" i="2" s="1"/>
  <c r="AD84" i="2"/>
  <c r="Z84" i="2"/>
  <c r="X84" i="2"/>
  <c r="R84" i="2"/>
  <c r="P84" i="2"/>
  <c r="J84" i="2"/>
  <c r="K113" i="2" s="1"/>
  <c r="L113" i="2" s="1"/>
  <c r="AD83" i="2"/>
  <c r="Z83" i="2"/>
  <c r="AA112" i="2" s="1"/>
  <c r="X83" i="2"/>
  <c r="R83" i="2"/>
  <c r="S112" i="2" s="1"/>
  <c r="P83" i="2"/>
  <c r="J83" i="2"/>
  <c r="AD82" i="2"/>
  <c r="Z82" i="2"/>
  <c r="X82" i="2"/>
  <c r="R82" i="2"/>
  <c r="P82" i="2"/>
  <c r="J82" i="2"/>
  <c r="K111" i="2" s="1"/>
  <c r="L111" i="2" s="1"/>
  <c r="AD81" i="2"/>
  <c r="Z81" i="2"/>
  <c r="AA110" i="2" s="1"/>
  <c r="X81" i="2"/>
  <c r="R81" i="2"/>
  <c r="P81" i="2"/>
  <c r="J81" i="2"/>
  <c r="AD80" i="2"/>
  <c r="Z80" i="2"/>
  <c r="X80" i="2"/>
  <c r="R80" i="2"/>
  <c r="P80" i="2"/>
  <c r="Q109" i="2" s="1"/>
  <c r="J80" i="2"/>
  <c r="K109" i="2" s="1"/>
  <c r="L109" i="2" s="1"/>
  <c r="AD79" i="2"/>
  <c r="Z79" i="2"/>
  <c r="X79" i="2"/>
  <c r="Y107" i="2" s="1"/>
  <c r="R79" i="2"/>
  <c r="S108" i="2" s="1"/>
  <c r="P79" i="2"/>
  <c r="J79" i="2"/>
  <c r="AD78" i="2"/>
  <c r="Z78" i="2"/>
  <c r="X78" i="2"/>
  <c r="R78" i="2"/>
  <c r="P78" i="2"/>
  <c r="J78" i="2"/>
  <c r="AD77" i="2"/>
  <c r="Z77" i="2"/>
  <c r="AA105" i="2" s="1"/>
  <c r="X77" i="2"/>
  <c r="Y106" i="2" s="1"/>
  <c r="R77" i="2"/>
  <c r="P77" i="2"/>
  <c r="J77" i="2"/>
  <c r="AD76" i="2"/>
  <c r="Z76" i="2"/>
  <c r="X76" i="2"/>
  <c r="Y105" i="2" s="1"/>
  <c r="R76" i="2"/>
  <c r="S105" i="2" s="1"/>
  <c r="P76" i="2"/>
  <c r="J76" i="2"/>
  <c r="AD75" i="2"/>
  <c r="Z75" i="2"/>
  <c r="AA104" i="2" s="1"/>
  <c r="X75" i="2"/>
  <c r="R75" i="2"/>
  <c r="S104" i="2" s="1"/>
  <c r="P75" i="2"/>
  <c r="J75" i="2"/>
  <c r="K104" i="2" s="1"/>
  <c r="L104" i="2" s="1"/>
  <c r="AD74" i="2"/>
  <c r="Z74" i="2"/>
  <c r="X74" i="2"/>
  <c r="R74" i="2"/>
  <c r="P74" i="2"/>
  <c r="J74" i="2"/>
  <c r="AD73" i="2"/>
  <c r="Z73" i="2"/>
  <c r="X73" i="2"/>
  <c r="R73" i="2"/>
  <c r="S102" i="2" s="1"/>
  <c r="P73" i="2"/>
  <c r="J73" i="2"/>
  <c r="AD72" i="2"/>
  <c r="Z72" i="2"/>
  <c r="X72" i="2"/>
  <c r="R72" i="2"/>
  <c r="P72" i="2"/>
  <c r="J72" i="2"/>
  <c r="AD71" i="2"/>
  <c r="Z71" i="2"/>
  <c r="X71" i="2"/>
  <c r="R71" i="2"/>
  <c r="P71" i="2"/>
  <c r="J71" i="2"/>
  <c r="AD70" i="2"/>
  <c r="Z70" i="2"/>
  <c r="AA99" i="2" s="1"/>
  <c r="X70" i="2"/>
  <c r="R70" i="2"/>
  <c r="P70" i="2"/>
  <c r="J70" i="2"/>
  <c r="K99" i="2" s="1"/>
  <c r="L99" i="2" s="1"/>
  <c r="AD69" i="2"/>
  <c r="Z69" i="2"/>
  <c r="X69" i="2"/>
  <c r="Y98" i="2" s="1"/>
  <c r="R69" i="2"/>
  <c r="P69" i="2"/>
  <c r="J69" i="2"/>
  <c r="AD68" i="2"/>
  <c r="Z68" i="2"/>
  <c r="AA97" i="2" s="1"/>
  <c r="X68" i="2"/>
  <c r="R68" i="2"/>
  <c r="P68" i="2"/>
  <c r="Q97" i="2" s="1"/>
  <c r="J68" i="2"/>
  <c r="AD67" i="2"/>
  <c r="Z67" i="2"/>
  <c r="X67" i="2"/>
  <c r="R67" i="2"/>
  <c r="P67" i="2"/>
  <c r="J67" i="2"/>
  <c r="AD66" i="2"/>
  <c r="Z66" i="2"/>
  <c r="X66" i="2"/>
  <c r="R66" i="2"/>
  <c r="S95" i="2" s="1"/>
  <c r="P66" i="2"/>
  <c r="Q95" i="2" s="1"/>
  <c r="J66" i="2"/>
  <c r="AD65" i="2"/>
  <c r="Z65" i="2"/>
  <c r="X65" i="2"/>
  <c r="R65" i="2"/>
  <c r="P65" i="2"/>
  <c r="J65" i="2"/>
  <c r="AD64" i="2"/>
  <c r="Z64" i="2"/>
  <c r="X64" i="2"/>
  <c r="Y93" i="2" s="1"/>
  <c r="R64" i="2"/>
  <c r="S93" i="2" s="1"/>
  <c r="P64" i="2"/>
  <c r="J64" i="2"/>
  <c r="K93" i="2" s="1"/>
  <c r="L93" i="2" s="1"/>
  <c r="AD63" i="2"/>
  <c r="Z63" i="2"/>
  <c r="X63" i="2"/>
  <c r="R63" i="2"/>
  <c r="P63" i="2"/>
  <c r="J63" i="2"/>
  <c r="AD62" i="2"/>
  <c r="Z62" i="2"/>
  <c r="AA91" i="2" s="1"/>
  <c r="X62" i="2"/>
  <c r="Y91" i="2" s="1"/>
  <c r="R62" i="2"/>
  <c r="P62" i="2"/>
  <c r="J62" i="2"/>
  <c r="K91" i="2" s="1"/>
  <c r="L91" i="2" s="1"/>
  <c r="AD61" i="2"/>
  <c r="Z61" i="2"/>
  <c r="X61" i="2"/>
  <c r="R61" i="2"/>
  <c r="P61" i="2"/>
  <c r="J61" i="2"/>
  <c r="AD60" i="2"/>
  <c r="Z60" i="2"/>
  <c r="AA89" i="2" s="1"/>
  <c r="X60" i="2"/>
  <c r="R60" i="2"/>
  <c r="P60" i="2"/>
  <c r="Q89" i="2" s="1"/>
  <c r="J60" i="2"/>
  <c r="AD59" i="2"/>
  <c r="Z59" i="2"/>
  <c r="X59" i="2"/>
  <c r="R59" i="2"/>
  <c r="P59" i="2"/>
  <c r="J59" i="2"/>
  <c r="AD58" i="2"/>
  <c r="Z58" i="2"/>
  <c r="X58" i="2"/>
  <c r="R58" i="2"/>
  <c r="S87" i="2" s="1"/>
  <c r="P58" i="2"/>
  <c r="J58" i="2"/>
  <c r="AD57" i="2"/>
  <c r="Z57" i="2"/>
  <c r="X57" i="2"/>
  <c r="R57" i="2"/>
  <c r="P57" i="2"/>
  <c r="J57" i="2"/>
  <c r="AD56" i="2"/>
  <c r="Z56" i="2"/>
  <c r="X56" i="2"/>
  <c r="Y85" i="2" s="1"/>
  <c r="R56" i="2"/>
  <c r="P56" i="2"/>
  <c r="J56" i="2"/>
  <c r="K85" i="2" s="1"/>
  <c r="L85" i="2" s="1"/>
  <c r="AD55" i="2"/>
  <c r="Z55" i="2"/>
  <c r="X55" i="2"/>
  <c r="R55" i="2"/>
  <c r="P55" i="2"/>
  <c r="Q84" i="2" s="1"/>
  <c r="J55" i="2"/>
  <c r="AD54" i="2"/>
  <c r="Z54" i="2"/>
  <c r="AA83" i="2" s="1"/>
  <c r="X54" i="2"/>
  <c r="Y83" i="2" s="1"/>
  <c r="R54" i="2"/>
  <c r="P54" i="2"/>
  <c r="J54" i="2"/>
  <c r="K83" i="2" s="1"/>
  <c r="L83" i="2" s="1"/>
  <c r="AD53" i="2"/>
  <c r="Z53" i="2"/>
  <c r="X53" i="2"/>
  <c r="Y82" i="2" s="1"/>
  <c r="R53" i="2"/>
  <c r="S82" i="2" s="1"/>
  <c r="P53" i="2"/>
  <c r="Q82" i="2" s="1"/>
  <c r="J53" i="2"/>
  <c r="K82" i="2" s="1"/>
  <c r="L82" i="2" s="1"/>
  <c r="AD52" i="2"/>
  <c r="Z52" i="2"/>
  <c r="AA81" i="2" s="1"/>
  <c r="X52" i="2"/>
  <c r="R52" i="2"/>
  <c r="P52" i="2"/>
  <c r="Q81" i="2" s="1"/>
  <c r="J52" i="2"/>
  <c r="AD51" i="2"/>
  <c r="Z51" i="2"/>
  <c r="AA80" i="2" s="1"/>
  <c r="X51" i="2"/>
  <c r="Y80" i="2" s="1"/>
  <c r="R51" i="2"/>
  <c r="S80" i="2" s="1"/>
  <c r="P51" i="2"/>
  <c r="J51" i="2"/>
  <c r="K80" i="2" s="1"/>
  <c r="L80" i="2" s="1"/>
  <c r="AD50" i="2"/>
  <c r="Z50" i="2"/>
  <c r="X50" i="2"/>
  <c r="R50" i="2"/>
  <c r="S79" i="2" s="1"/>
  <c r="P50" i="2"/>
  <c r="Q79" i="2" s="1"/>
  <c r="J50" i="2"/>
  <c r="AD49" i="2"/>
  <c r="Z49" i="2"/>
  <c r="AA78" i="2" s="1"/>
  <c r="X49" i="2"/>
  <c r="Y78" i="2" s="1"/>
  <c r="R49" i="2"/>
  <c r="P49" i="2"/>
  <c r="J49" i="2"/>
  <c r="K78" i="2" s="1"/>
  <c r="L78" i="2" s="1"/>
  <c r="AD48" i="2"/>
  <c r="Z48" i="2"/>
  <c r="AA77" i="2" s="1"/>
  <c r="X48" i="2"/>
  <c r="Y77" i="2" s="1"/>
  <c r="R48" i="2"/>
  <c r="S77" i="2" s="1"/>
  <c r="P48" i="2"/>
  <c r="J48" i="2"/>
  <c r="K77" i="2" s="1"/>
  <c r="L77" i="2" s="1"/>
  <c r="AD47" i="2"/>
  <c r="Z47" i="2"/>
  <c r="X47" i="2"/>
  <c r="Y76" i="2" s="1"/>
  <c r="R47" i="2"/>
  <c r="S76" i="2" s="1"/>
  <c r="P47" i="2"/>
  <c r="Q76" i="2" s="1"/>
  <c r="J47" i="2"/>
  <c r="K76" i="2" s="1"/>
  <c r="L76" i="2" s="1"/>
  <c r="AD46" i="2"/>
  <c r="Z46" i="2"/>
  <c r="AA75" i="2" s="1"/>
  <c r="X46" i="2"/>
  <c r="Y75" i="2" s="1"/>
  <c r="R46" i="2"/>
  <c r="P46" i="2"/>
  <c r="Q75" i="2" s="1"/>
  <c r="J46" i="2"/>
  <c r="K75" i="2" s="1"/>
  <c r="L75" i="2" s="1"/>
  <c r="AD45" i="2"/>
  <c r="Z45" i="2"/>
  <c r="AA74" i="2" s="1"/>
  <c r="X45" i="2"/>
  <c r="Y74" i="2" s="1"/>
  <c r="R45" i="2"/>
  <c r="P45" i="2"/>
  <c r="Q74" i="2" s="1"/>
  <c r="J45" i="2"/>
  <c r="K74" i="2" s="1"/>
  <c r="L74" i="2" s="1"/>
  <c r="AD44" i="2"/>
  <c r="Z44" i="2"/>
  <c r="AA73" i="2" s="1"/>
  <c r="X44" i="2"/>
  <c r="R44" i="2"/>
  <c r="S73" i="2" s="1"/>
  <c r="P44" i="2"/>
  <c r="Q73" i="2" s="1"/>
  <c r="J44" i="2"/>
  <c r="AD43" i="2"/>
  <c r="Z43" i="2"/>
  <c r="AA72" i="2" s="1"/>
  <c r="X43" i="2"/>
  <c r="Y72" i="2" s="1"/>
  <c r="R43" i="2"/>
  <c r="S72" i="2" s="1"/>
  <c r="P43" i="2"/>
  <c r="J43" i="2"/>
  <c r="K72" i="2" s="1"/>
  <c r="L72" i="2" s="1"/>
  <c r="AD42" i="2"/>
  <c r="Z42" i="2"/>
  <c r="X42" i="2"/>
  <c r="Y71" i="2" s="1"/>
  <c r="R42" i="2"/>
  <c r="S71" i="2" s="1"/>
  <c r="P42" i="2"/>
  <c r="Q71" i="2" s="1"/>
  <c r="J42" i="2"/>
  <c r="K71" i="2" s="1"/>
  <c r="L71" i="2" s="1"/>
  <c r="AD41" i="2"/>
  <c r="Z41" i="2"/>
  <c r="AA70" i="2" s="1"/>
  <c r="X41" i="2"/>
  <c r="Y70" i="2" s="1"/>
  <c r="R41" i="2"/>
  <c r="S70" i="2" s="1"/>
  <c r="P41" i="2"/>
  <c r="Q70" i="2" s="1"/>
  <c r="J41" i="2"/>
  <c r="K70" i="2" s="1"/>
  <c r="L70" i="2" s="1"/>
  <c r="AD40" i="2"/>
  <c r="Z40" i="2"/>
  <c r="X40" i="2"/>
  <c r="Y69" i="2" s="1"/>
  <c r="R40" i="2"/>
  <c r="S69" i="2" s="1"/>
  <c r="P40" i="2"/>
  <c r="Q69" i="2" s="1"/>
  <c r="J40" i="2"/>
  <c r="K69" i="2" s="1"/>
  <c r="L69" i="2" s="1"/>
  <c r="AD39" i="2"/>
  <c r="Z39" i="2"/>
  <c r="AA68" i="2" s="1"/>
  <c r="X39" i="2"/>
  <c r="Y68" i="2" s="1"/>
  <c r="R39" i="2"/>
  <c r="S68" i="2" s="1"/>
  <c r="P39" i="2"/>
  <c r="Q68" i="2" s="1"/>
  <c r="J39" i="2"/>
  <c r="K68" i="2" s="1"/>
  <c r="L68" i="2" s="1"/>
  <c r="AD38" i="2"/>
  <c r="Z38" i="2"/>
  <c r="AA67" i="2" s="1"/>
  <c r="X38" i="2"/>
  <c r="Y67" i="2" s="1"/>
  <c r="R38" i="2"/>
  <c r="S67" i="2" s="1"/>
  <c r="P38" i="2"/>
  <c r="J38" i="2"/>
  <c r="K67" i="2" s="1"/>
  <c r="L67" i="2" s="1"/>
  <c r="AD37" i="2"/>
  <c r="Z37" i="2"/>
  <c r="AA66" i="2" s="1"/>
  <c r="X37" i="2"/>
  <c r="Y66" i="2" s="1"/>
  <c r="R37" i="2"/>
  <c r="S66" i="2" s="1"/>
  <c r="P37" i="2"/>
  <c r="Q66" i="2" s="1"/>
  <c r="J37" i="2"/>
  <c r="K66" i="2" s="1"/>
  <c r="L66" i="2" s="1"/>
  <c r="AD36" i="2"/>
  <c r="Z36" i="2"/>
  <c r="AA65" i="2" s="1"/>
  <c r="X36" i="2"/>
  <c r="Y65" i="2" s="1"/>
  <c r="R36" i="2"/>
  <c r="P36" i="2"/>
  <c r="Q59" i="2" s="1"/>
  <c r="J36" i="2"/>
  <c r="K65" i="2" s="1"/>
  <c r="L65" i="2" s="1"/>
  <c r="AD35" i="2"/>
  <c r="Z35" i="2"/>
  <c r="AA64" i="2" s="1"/>
  <c r="X35" i="2"/>
  <c r="Y64" i="2" s="1"/>
  <c r="R35" i="2"/>
  <c r="S64" i="2" s="1"/>
  <c r="P35" i="2"/>
  <c r="Q64" i="2" s="1"/>
  <c r="J35" i="2"/>
  <c r="K64" i="2" s="1"/>
  <c r="L64" i="2" s="1"/>
  <c r="AD34" i="2"/>
  <c r="Z34" i="2"/>
  <c r="AA63" i="2" s="1"/>
  <c r="X34" i="2"/>
  <c r="R34" i="2"/>
  <c r="S57" i="2" s="1"/>
  <c r="P34" i="2"/>
  <c r="Q63" i="2" s="1"/>
  <c r="J34" i="2"/>
  <c r="AD33" i="2"/>
  <c r="Z33" i="2"/>
  <c r="AA62" i="2" s="1"/>
  <c r="X33" i="2"/>
  <c r="Y62" i="2" s="1"/>
  <c r="R33" i="2"/>
  <c r="S62" i="2" s="1"/>
  <c r="P33" i="2"/>
  <c r="Q62" i="2" s="1"/>
  <c r="J33" i="2"/>
  <c r="K62" i="2" s="1"/>
  <c r="L62" i="2" s="1"/>
  <c r="AD32" i="2"/>
  <c r="Z32" i="2"/>
  <c r="X32" i="2"/>
  <c r="Y61" i="2" s="1"/>
  <c r="R32" i="2"/>
  <c r="S61" i="2" s="1"/>
  <c r="P32" i="2"/>
  <c r="Q61" i="2" s="1"/>
  <c r="J32" i="2"/>
  <c r="K61" i="2" s="1"/>
  <c r="L61" i="2" s="1"/>
  <c r="AD31" i="2"/>
  <c r="Z31" i="2"/>
  <c r="AA60" i="2" s="1"/>
  <c r="X31" i="2"/>
  <c r="Y60" i="2" s="1"/>
  <c r="R31" i="2"/>
  <c r="S60" i="2" s="1"/>
  <c r="P31" i="2"/>
  <c r="Q60" i="2" s="1"/>
  <c r="J31" i="2"/>
  <c r="K60" i="2" s="1"/>
  <c r="L60" i="2" s="1"/>
  <c r="AD30" i="2"/>
  <c r="Z30" i="2"/>
  <c r="AA59" i="2" s="1"/>
  <c r="X30" i="2"/>
  <c r="Y59" i="2" s="1"/>
  <c r="R30" i="2"/>
  <c r="S59" i="2" s="1"/>
  <c r="P30" i="2"/>
  <c r="L30" i="2"/>
  <c r="J30" i="2"/>
  <c r="K55" i="2" s="1"/>
  <c r="L55" i="2" s="1"/>
  <c r="AD29" i="2"/>
  <c r="Z29" i="2"/>
  <c r="AA58" i="2" s="1"/>
  <c r="X29" i="2"/>
  <c r="Y58" i="2" s="1"/>
  <c r="R29" i="2"/>
  <c r="S58" i="2" s="1"/>
  <c r="P29" i="2"/>
  <c r="Q58" i="2" s="1"/>
  <c r="L29" i="2"/>
  <c r="J29" i="2"/>
  <c r="K58" i="2" s="1"/>
  <c r="L58" i="2" s="1"/>
  <c r="AD28" i="2"/>
  <c r="Z28" i="2"/>
  <c r="AA57" i="2" s="1"/>
  <c r="X28" i="2"/>
  <c r="Y57" i="2" s="1"/>
  <c r="R28" i="2"/>
  <c r="P28" i="2"/>
  <c r="Q57" i="2" s="1"/>
  <c r="L28" i="2"/>
  <c r="J28" i="2"/>
  <c r="K57" i="2" s="1"/>
  <c r="L57" i="2" s="1"/>
  <c r="AD27" i="2"/>
  <c r="Z27" i="2"/>
  <c r="AA56" i="2" s="1"/>
  <c r="X27" i="2"/>
  <c r="Y56" i="2" s="1"/>
  <c r="R27" i="2"/>
  <c r="S56" i="2" s="1"/>
  <c r="P27" i="2"/>
  <c r="Q56" i="2" s="1"/>
  <c r="L27" i="2"/>
  <c r="J27" i="2"/>
  <c r="K56" i="2" s="1"/>
  <c r="L56" i="2" s="1"/>
  <c r="AD26" i="2"/>
  <c r="Z26" i="2"/>
  <c r="AA55" i="2" s="1"/>
  <c r="X26" i="2"/>
  <c r="Y55" i="2" s="1"/>
  <c r="R26" i="2"/>
  <c r="S55" i="2" s="1"/>
  <c r="P26" i="2"/>
  <c r="Q55" i="2" s="1"/>
  <c r="L26" i="2"/>
  <c r="J26" i="2"/>
  <c r="AD25" i="2"/>
  <c r="Z25" i="2"/>
  <c r="AA54" i="2" s="1"/>
  <c r="X25" i="2"/>
  <c r="Y54" i="2" s="1"/>
  <c r="R25" i="2"/>
  <c r="S54" i="2" s="1"/>
  <c r="P25" i="2"/>
  <c r="Q54" i="2" s="1"/>
  <c r="L25" i="2"/>
  <c r="J25" i="2"/>
  <c r="K54" i="2" s="1"/>
  <c r="L54" i="2" s="1"/>
  <c r="AD24" i="2"/>
  <c r="Z24" i="2"/>
  <c r="X24" i="2"/>
  <c r="Y53" i="2" s="1"/>
  <c r="R24" i="2"/>
  <c r="S53" i="2" s="1"/>
  <c r="P24" i="2"/>
  <c r="Q51" i="2" s="1"/>
  <c r="L24" i="2"/>
  <c r="J24" i="2"/>
  <c r="K53" i="2" s="1"/>
  <c r="L53" i="2" s="1"/>
  <c r="AD23" i="2"/>
  <c r="Z23" i="2"/>
  <c r="AA52" i="2" s="1"/>
  <c r="X23" i="2"/>
  <c r="Y52" i="2" s="1"/>
  <c r="R23" i="2"/>
  <c r="S52" i="2" s="1"/>
  <c r="P23" i="2"/>
  <c r="Q52" i="2" s="1"/>
  <c r="L23" i="2"/>
  <c r="J23" i="2"/>
  <c r="K52" i="2" s="1"/>
  <c r="L52" i="2" s="1"/>
  <c r="AD22" i="2"/>
  <c r="Z22" i="2"/>
  <c r="AA51" i="2" s="1"/>
  <c r="X22" i="2"/>
  <c r="Y51" i="2" s="1"/>
  <c r="R22" i="2"/>
  <c r="S51" i="2" s="1"/>
  <c r="P22" i="2"/>
  <c r="L22" i="2"/>
  <c r="J22" i="2"/>
  <c r="K51" i="2" s="1"/>
  <c r="L51" i="2" s="1"/>
  <c r="AD21" i="2"/>
  <c r="Z21" i="2"/>
  <c r="AA50" i="2" s="1"/>
  <c r="X21" i="2"/>
  <c r="Y50" i="2" s="1"/>
  <c r="R21" i="2"/>
  <c r="S50" i="2" s="1"/>
  <c r="P21" i="2"/>
  <c r="Q50" i="2" s="1"/>
  <c r="L21" i="2"/>
  <c r="J21" i="2"/>
  <c r="K50" i="2" s="1"/>
  <c r="L50" i="2" s="1"/>
  <c r="AD20" i="2"/>
  <c r="Z20" i="2"/>
  <c r="AA49" i="2" s="1"/>
  <c r="X20" i="2"/>
  <c r="Y49" i="2" s="1"/>
  <c r="R20" i="2"/>
  <c r="P20" i="2"/>
  <c r="Q49" i="2" s="1"/>
  <c r="L20" i="2"/>
  <c r="J20" i="2"/>
  <c r="K49" i="2" s="1"/>
  <c r="L49" i="2" s="1"/>
  <c r="AD19" i="2"/>
  <c r="Z19" i="2"/>
  <c r="AA45" i="2" s="1"/>
  <c r="X19" i="2"/>
  <c r="Y48" i="2" s="1"/>
  <c r="R19" i="2"/>
  <c r="S48" i="2" s="1"/>
  <c r="P19" i="2"/>
  <c r="Q48" i="2" s="1"/>
  <c r="L19" i="2"/>
  <c r="J19" i="2"/>
  <c r="K48" i="2" s="1"/>
  <c r="L48" i="2" s="1"/>
  <c r="AD18" i="2"/>
  <c r="Z18" i="2"/>
  <c r="AA47" i="2" s="1"/>
  <c r="X18" i="2"/>
  <c r="Y47" i="2" s="1"/>
  <c r="R18" i="2"/>
  <c r="S47" i="2" s="1"/>
  <c r="P18" i="2"/>
  <c r="Q47" i="2" s="1"/>
  <c r="L18" i="2"/>
  <c r="J18" i="2"/>
  <c r="AD17" i="2"/>
  <c r="Z17" i="2"/>
  <c r="AA46" i="2" s="1"/>
  <c r="X17" i="2"/>
  <c r="Y46" i="2" s="1"/>
  <c r="R17" i="2"/>
  <c r="S41" i="2" s="1"/>
  <c r="P17" i="2"/>
  <c r="Q46" i="2" s="1"/>
  <c r="L17" i="2"/>
  <c r="J17" i="2"/>
  <c r="K46" i="2" s="1"/>
  <c r="L46" i="2" s="1"/>
  <c r="AD16" i="2"/>
  <c r="Z16" i="2"/>
  <c r="X16" i="2"/>
  <c r="Y45" i="2" s="1"/>
  <c r="R16" i="2"/>
  <c r="S45" i="2" s="1"/>
  <c r="P16" i="2"/>
  <c r="Q45" i="2" s="1"/>
  <c r="L16" i="2"/>
  <c r="J16" i="2"/>
  <c r="K45" i="2" s="1"/>
  <c r="L45" i="2" s="1"/>
  <c r="AD15" i="2"/>
  <c r="Z15" i="2"/>
  <c r="AA44" i="2" s="1"/>
  <c r="X15" i="2"/>
  <c r="Y44" i="2" s="1"/>
  <c r="R15" i="2"/>
  <c r="S44" i="2" s="1"/>
  <c r="P15" i="2"/>
  <c r="Q44" i="2" s="1"/>
  <c r="L15" i="2"/>
  <c r="J15" i="2"/>
  <c r="K44" i="2" s="1"/>
  <c r="L44" i="2" s="1"/>
  <c r="AD14" i="2"/>
  <c r="Z14" i="2"/>
  <c r="AA43" i="2" s="1"/>
  <c r="X14" i="2"/>
  <c r="Y43" i="2" s="1"/>
  <c r="R14" i="2"/>
  <c r="S43" i="2" s="1"/>
  <c r="P14" i="2"/>
  <c r="L14" i="2"/>
  <c r="J14" i="2"/>
  <c r="K39" i="2" s="1"/>
  <c r="L39" i="2" s="1"/>
  <c r="AD13" i="2"/>
  <c r="Z13" i="2"/>
  <c r="AA42" i="2" s="1"/>
  <c r="X13" i="2"/>
  <c r="Y42" i="2" s="1"/>
  <c r="R13" i="2"/>
  <c r="S42" i="2" s="1"/>
  <c r="P13" i="2"/>
  <c r="Q42" i="2" s="1"/>
  <c r="L13" i="2"/>
  <c r="J13" i="2"/>
  <c r="K42" i="2" s="1"/>
  <c r="L42" i="2" s="1"/>
  <c r="AD12" i="2"/>
  <c r="Z12" i="2"/>
  <c r="AA41" i="2" s="1"/>
  <c r="X12" i="2"/>
  <c r="Y41" i="2" s="1"/>
  <c r="R12" i="2"/>
  <c r="P12" i="2"/>
  <c r="Q41" i="2" s="1"/>
  <c r="L12" i="2"/>
  <c r="J12" i="2"/>
  <c r="K41" i="2" s="1"/>
  <c r="L41" i="2" s="1"/>
  <c r="AD11" i="2"/>
  <c r="Z11" i="2"/>
  <c r="AA37" i="2" s="1"/>
  <c r="X11" i="2"/>
  <c r="Y40" i="2" s="1"/>
  <c r="R11" i="2"/>
  <c r="S40" i="2" s="1"/>
  <c r="P11" i="2"/>
  <c r="Q40" i="2" s="1"/>
  <c r="L11" i="2"/>
  <c r="J11" i="2"/>
  <c r="K40" i="2" s="1"/>
  <c r="L40" i="2" s="1"/>
  <c r="AD10" i="2"/>
  <c r="Z10" i="2"/>
  <c r="AA39" i="2" s="1"/>
  <c r="X10" i="2"/>
  <c r="Y31" i="2" s="1"/>
  <c r="R10" i="2"/>
  <c r="S39" i="2" s="1"/>
  <c r="P10" i="2"/>
  <c r="Q39" i="2" s="1"/>
  <c r="L10" i="2"/>
  <c r="J10" i="2"/>
  <c r="AD9" i="2"/>
  <c r="Z9" i="2"/>
  <c r="AA38" i="2" s="1"/>
  <c r="X9" i="2"/>
  <c r="Y38" i="2" s="1"/>
  <c r="R9" i="2"/>
  <c r="S38" i="2" s="1"/>
  <c r="P9" i="2"/>
  <c r="Q38" i="2" s="1"/>
  <c r="L9" i="2"/>
  <c r="J9" i="2"/>
  <c r="K38" i="2" s="1"/>
  <c r="L38" i="2" s="1"/>
  <c r="AD8" i="2"/>
  <c r="Z8" i="2"/>
  <c r="X8" i="2"/>
  <c r="Y37" i="2" s="1"/>
  <c r="R8" i="2"/>
  <c r="S37" i="2" s="1"/>
  <c r="P8" i="2"/>
  <c r="Q35" i="2" s="1"/>
  <c r="L8" i="2"/>
  <c r="J8" i="2"/>
  <c r="K37" i="2" s="1"/>
  <c r="L37" i="2" s="1"/>
  <c r="AD7" i="2"/>
  <c r="Z7" i="2"/>
  <c r="AA36" i="2" s="1"/>
  <c r="X7" i="2"/>
  <c r="Y36" i="2" s="1"/>
  <c r="R7" i="2"/>
  <c r="S36" i="2" s="1"/>
  <c r="P7" i="2"/>
  <c r="Q36" i="2" s="1"/>
  <c r="L7" i="2"/>
  <c r="J7" i="2"/>
  <c r="K36" i="2" s="1"/>
  <c r="L36" i="2" s="1"/>
  <c r="AD6" i="2"/>
  <c r="Z6" i="2"/>
  <c r="AA35" i="2" s="1"/>
  <c r="X6" i="2"/>
  <c r="Y35" i="2" s="1"/>
  <c r="R6" i="2"/>
  <c r="S35" i="2" s="1"/>
  <c r="P6" i="2"/>
  <c r="L6" i="2"/>
  <c r="J6" i="2"/>
  <c r="K35" i="2" s="1"/>
  <c r="L35" i="2" s="1"/>
  <c r="AD5" i="2"/>
  <c r="Z5" i="2"/>
  <c r="AA34" i="2" s="1"/>
  <c r="X5" i="2"/>
  <c r="Y34" i="2" s="1"/>
  <c r="R5" i="2"/>
  <c r="S34" i="2" s="1"/>
  <c r="P5" i="2"/>
  <c r="Q34" i="2" s="1"/>
  <c r="L5" i="2"/>
  <c r="J5" i="2"/>
  <c r="K34" i="2" s="1"/>
  <c r="L34" i="2" s="1"/>
  <c r="AD4" i="2"/>
  <c r="Z4" i="2"/>
  <c r="AA33" i="2" s="1"/>
  <c r="X4" i="2"/>
  <c r="Y33" i="2" s="1"/>
  <c r="R4" i="2"/>
  <c r="P4" i="2"/>
  <c r="Q33" i="2" s="1"/>
  <c r="L4" i="2"/>
  <c r="J4" i="2"/>
  <c r="K33" i="2" s="1"/>
  <c r="L33" i="2" s="1"/>
  <c r="AD3" i="2"/>
  <c r="Z3" i="2"/>
  <c r="AA32" i="2" s="1"/>
  <c r="X3" i="2"/>
  <c r="Y32" i="2" s="1"/>
  <c r="R3" i="2"/>
  <c r="S32" i="2" s="1"/>
  <c r="P3" i="2"/>
  <c r="Q32" i="2" s="1"/>
  <c r="L3" i="2"/>
  <c r="J3" i="2"/>
  <c r="K32" i="2" s="1"/>
  <c r="L32" i="2" s="1"/>
  <c r="AD2" i="2"/>
  <c r="X2" i="2"/>
  <c r="R2" i="2"/>
  <c r="S31" i="2" s="1"/>
  <c r="P2" i="2"/>
  <c r="Q31" i="2" s="1"/>
  <c r="L2" i="2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P105" i="1" s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2" i="1"/>
  <c r="M2" i="1"/>
  <c r="U21" i="1"/>
  <c r="N367" i="1"/>
  <c r="L367" i="1"/>
  <c r="M367" i="1" s="1"/>
  <c r="K367" i="1"/>
  <c r="N366" i="1"/>
  <c r="L366" i="1"/>
  <c r="M366" i="1" s="1"/>
  <c r="P366" i="1" s="1"/>
  <c r="K366" i="1"/>
  <c r="N365" i="1"/>
  <c r="L365" i="1"/>
  <c r="M365" i="1" s="1"/>
  <c r="P365" i="1" s="1"/>
  <c r="K365" i="1"/>
  <c r="N364" i="1"/>
  <c r="L364" i="1"/>
  <c r="M364" i="1" s="1"/>
  <c r="P364" i="1" s="1"/>
  <c r="K364" i="1"/>
  <c r="P363" i="1"/>
  <c r="N363" i="1"/>
  <c r="L363" i="1"/>
  <c r="M363" i="1" s="1"/>
  <c r="K363" i="1"/>
  <c r="N362" i="1"/>
  <c r="M362" i="1"/>
  <c r="L362" i="1"/>
  <c r="K362" i="1"/>
  <c r="N361" i="1"/>
  <c r="M361" i="1"/>
  <c r="L361" i="1"/>
  <c r="K361" i="1"/>
  <c r="N360" i="1"/>
  <c r="L360" i="1"/>
  <c r="M360" i="1" s="1"/>
  <c r="P360" i="1" s="1"/>
  <c r="K360" i="1"/>
  <c r="N359" i="1"/>
  <c r="L359" i="1"/>
  <c r="M359" i="1" s="1"/>
  <c r="P359" i="1" s="1"/>
  <c r="K359" i="1"/>
  <c r="N358" i="1"/>
  <c r="L358" i="1"/>
  <c r="M358" i="1" s="1"/>
  <c r="P358" i="1" s="1"/>
  <c r="K358" i="1"/>
  <c r="N357" i="1"/>
  <c r="L357" i="1"/>
  <c r="M357" i="1" s="1"/>
  <c r="P357" i="1" s="1"/>
  <c r="K357" i="1"/>
  <c r="N356" i="1"/>
  <c r="L356" i="1"/>
  <c r="M356" i="1" s="1"/>
  <c r="P356" i="1" s="1"/>
  <c r="K356" i="1"/>
  <c r="P355" i="1"/>
  <c r="N355" i="1"/>
  <c r="L355" i="1"/>
  <c r="M355" i="1" s="1"/>
  <c r="K355" i="1"/>
  <c r="N354" i="1"/>
  <c r="M354" i="1"/>
  <c r="L354" i="1"/>
  <c r="K354" i="1"/>
  <c r="N353" i="1"/>
  <c r="M353" i="1"/>
  <c r="L353" i="1"/>
  <c r="K353" i="1"/>
  <c r="N352" i="1"/>
  <c r="L352" i="1"/>
  <c r="M352" i="1" s="1"/>
  <c r="P352" i="1" s="1"/>
  <c r="K352" i="1"/>
  <c r="N351" i="1"/>
  <c r="L351" i="1"/>
  <c r="M351" i="1" s="1"/>
  <c r="P351" i="1" s="1"/>
  <c r="K351" i="1"/>
  <c r="N350" i="1"/>
  <c r="L350" i="1"/>
  <c r="M350" i="1" s="1"/>
  <c r="P350" i="1" s="1"/>
  <c r="K350" i="1"/>
  <c r="N349" i="1"/>
  <c r="L349" i="1"/>
  <c r="M349" i="1" s="1"/>
  <c r="P349" i="1" s="1"/>
  <c r="K349" i="1"/>
  <c r="N348" i="1"/>
  <c r="L348" i="1"/>
  <c r="M348" i="1" s="1"/>
  <c r="P348" i="1" s="1"/>
  <c r="K348" i="1"/>
  <c r="P347" i="1"/>
  <c r="N347" i="1"/>
  <c r="L347" i="1"/>
  <c r="M347" i="1" s="1"/>
  <c r="K347" i="1"/>
  <c r="N346" i="1"/>
  <c r="M346" i="1"/>
  <c r="L346" i="1"/>
  <c r="K346" i="1"/>
  <c r="N345" i="1"/>
  <c r="M345" i="1"/>
  <c r="L345" i="1"/>
  <c r="K345" i="1"/>
  <c r="N344" i="1"/>
  <c r="L344" i="1"/>
  <c r="M344" i="1" s="1"/>
  <c r="P344" i="1" s="1"/>
  <c r="K344" i="1"/>
  <c r="N343" i="1"/>
  <c r="M343" i="1"/>
  <c r="P343" i="1" s="1"/>
  <c r="L343" i="1"/>
  <c r="K343" i="1"/>
  <c r="N342" i="1"/>
  <c r="L342" i="1"/>
  <c r="M342" i="1" s="1"/>
  <c r="P342" i="1" s="1"/>
  <c r="K342" i="1"/>
  <c r="N341" i="1"/>
  <c r="L341" i="1"/>
  <c r="M341" i="1" s="1"/>
  <c r="P341" i="1" s="1"/>
  <c r="K341" i="1"/>
  <c r="N340" i="1"/>
  <c r="L340" i="1"/>
  <c r="M340" i="1" s="1"/>
  <c r="P340" i="1" s="1"/>
  <c r="K340" i="1"/>
  <c r="P339" i="1"/>
  <c r="N339" i="1"/>
  <c r="L339" i="1"/>
  <c r="M339" i="1" s="1"/>
  <c r="K339" i="1"/>
  <c r="N338" i="1"/>
  <c r="M338" i="1"/>
  <c r="L338" i="1"/>
  <c r="K338" i="1"/>
  <c r="N337" i="1"/>
  <c r="M337" i="1"/>
  <c r="L337" i="1"/>
  <c r="K337" i="1"/>
  <c r="N336" i="1"/>
  <c r="L336" i="1"/>
  <c r="M336" i="1" s="1"/>
  <c r="P336" i="1" s="1"/>
  <c r="K336" i="1"/>
  <c r="N335" i="1"/>
  <c r="M335" i="1"/>
  <c r="P335" i="1" s="1"/>
  <c r="L335" i="1"/>
  <c r="K335" i="1"/>
  <c r="N334" i="1"/>
  <c r="L334" i="1"/>
  <c r="M334" i="1" s="1"/>
  <c r="P334" i="1" s="1"/>
  <c r="K334" i="1"/>
  <c r="N333" i="1"/>
  <c r="L333" i="1"/>
  <c r="M333" i="1" s="1"/>
  <c r="P333" i="1" s="1"/>
  <c r="K333" i="1"/>
  <c r="P332" i="1"/>
  <c r="N332" i="1"/>
  <c r="L332" i="1"/>
  <c r="M332" i="1" s="1"/>
  <c r="K332" i="1"/>
  <c r="N331" i="1"/>
  <c r="L331" i="1"/>
  <c r="M331" i="1" s="1"/>
  <c r="P331" i="1" s="1"/>
  <c r="K331" i="1"/>
  <c r="N330" i="1"/>
  <c r="M330" i="1"/>
  <c r="P330" i="1" s="1"/>
  <c r="L330" i="1"/>
  <c r="K330" i="1"/>
  <c r="N329" i="1"/>
  <c r="M329" i="1"/>
  <c r="L329" i="1"/>
  <c r="K329" i="1"/>
  <c r="N328" i="1"/>
  <c r="L328" i="1"/>
  <c r="M328" i="1" s="1"/>
  <c r="P328" i="1" s="1"/>
  <c r="K328" i="1"/>
  <c r="N327" i="1"/>
  <c r="M327" i="1"/>
  <c r="P327" i="1" s="1"/>
  <c r="L327" i="1"/>
  <c r="K327" i="1"/>
  <c r="N326" i="1"/>
  <c r="L326" i="1"/>
  <c r="M326" i="1" s="1"/>
  <c r="P326" i="1" s="1"/>
  <c r="K326" i="1"/>
  <c r="N325" i="1"/>
  <c r="L325" i="1"/>
  <c r="M325" i="1" s="1"/>
  <c r="P325" i="1" s="1"/>
  <c r="K325" i="1"/>
  <c r="P324" i="1"/>
  <c r="N324" i="1"/>
  <c r="L324" i="1"/>
  <c r="M324" i="1" s="1"/>
  <c r="K324" i="1"/>
  <c r="N323" i="1"/>
  <c r="L323" i="1"/>
  <c r="M323" i="1" s="1"/>
  <c r="P323" i="1" s="1"/>
  <c r="K323" i="1"/>
  <c r="N322" i="1"/>
  <c r="M322" i="1"/>
  <c r="L322" i="1"/>
  <c r="K322" i="1"/>
  <c r="N321" i="1"/>
  <c r="M321" i="1"/>
  <c r="L321" i="1"/>
  <c r="K321" i="1"/>
  <c r="N320" i="1"/>
  <c r="L320" i="1"/>
  <c r="M320" i="1" s="1"/>
  <c r="P320" i="1" s="1"/>
  <c r="K320" i="1"/>
  <c r="N319" i="1"/>
  <c r="M319" i="1"/>
  <c r="P319" i="1" s="1"/>
  <c r="L319" i="1"/>
  <c r="K319" i="1"/>
  <c r="N318" i="1"/>
  <c r="L318" i="1"/>
  <c r="M318" i="1" s="1"/>
  <c r="P318" i="1" s="1"/>
  <c r="K318" i="1"/>
  <c r="N317" i="1"/>
  <c r="L317" i="1"/>
  <c r="M317" i="1" s="1"/>
  <c r="P317" i="1" s="1"/>
  <c r="K317" i="1"/>
  <c r="N316" i="1"/>
  <c r="L316" i="1"/>
  <c r="M316" i="1" s="1"/>
  <c r="P316" i="1" s="1"/>
  <c r="K316" i="1"/>
  <c r="P315" i="1"/>
  <c r="N315" i="1"/>
  <c r="L315" i="1"/>
  <c r="M315" i="1" s="1"/>
  <c r="K315" i="1"/>
  <c r="N314" i="1"/>
  <c r="M314" i="1"/>
  <c r="P314" i="1" s="1"/>
  <c r="L314" i="1"/>
  <c r="K314" i="1"/>
  <c r="N313" i="1"/>
  <c r="M313" i="1"/>
  <c r="L313" i="1"/>
  <c r="K313" i="1"/>
  <c r="N312" i="1"/>
  <c r="L312" i="1"/>
  <c r="M312" i="1" s="1"/>
  <c r="P312" i="1" s="1"/>
  <c r="K312" i="1"/>
  <c r="N311" i="1"/>
  <c r="M311" i="1"/>
  <c r="P311" i="1" s="1"/>
  <c r="L311" i="1"/>
  <c r="K311" i="1"/>
  <c r="N310" i="1"/>
  <c r="L310" i="1"/>
  <c r="M310" i="1" s="1"/>
  <c r="P310" i="1" s="1"/>
  <c r="K310" i="1"/>
  <c r="N309" i="1"/>
  <c r="L309" i="1"/>
  <c r="M309" i="1" s="1"/>
  <c r="P309" i="1" s="1"/>
  <c r="K309" i="1"/>
  <c r="N308" i="1"/>
  <c r="L308" i="1"/>
  <c r="M308" i="1" s="1"/>
  <c r="P308" i="1" s="1"/>
  <c r="K308" i="1"/>
  <c r="P307" i="1"/>
  <c r="N307" i="1"/>
  <c r="M307" i="1"/>
  <c r="L307" i="1"/>
  <c r="K307" i="1"/>
  <c r="N306" i="1"/>
  <c r="M306" i="1"/>
  <c r="L306" i="1"/>
  <c r="K306" i="1"/>
  <c r="N305" i="1"/>
  <c r="M305" i="1"/>
  <c r="L305" i="1"/>
  <c r="K305" i="1"/>
  <c r="N304" i="1"/>
  <c r="L304" i="1"/>
  <c r="M304" i="1" s="1"/>
  <c r="P304" i="1" s="1"/>
  <c r="K304" i="1"/>
  <c r="N303" i="1"/>
  <c r="M303" i="1"/>
  <c r="P303" i="1" s="1"/>
  <c r="L303" i="1"/>
  <c r="K303" i="1"/>
  <c r="N302" i="1"/>
  <c r="L302" i="1"/>
  <c r="M302" i="1" s="1"/>
  <c r="P302" i="1" s="1"/>
  <c r="K302" i="1"/>
  <c r="N301" i="1"/>
  <c r="L301" i="1"/>
  <c r="M301" i="1" s="1"/>
  <c r="P301" i="1" s="1"/>
  <c r="K301" i="1"/>
  <c r="P300" i="1"/>
  <c r="N300" i="1"/>
  <c r="L300" i="1"/>
  <c r="M300" i="1" s="1"/>
  <c r="K300" i="1"/>
  <c r="P299" i="1"/>
  <c r="N299" i="1"/>
  <c r="M299" i="1"/>
  <c r="L299" i="1"/>
  <c r="K299" i="1"/>
  <c r="N298" i="1"/>
  <c r="M298" i="1"/>
  <c r="L298" i="1"/>
  <c r="K298" i="1"/>
  <c r="N297" i="1"/>
  <c r="M297" i="1"/>
  <c r="P297" i="1" s="1"/>
  <c r="L297" i="1"/>
  <c r="K297" i="1"/>
  <c r="N296" i="1"/>
  <c r="L296" i="1"/>
  <c r="M296" i="1" s="1"/>
  <c r="P296" i="1" s="1"/>
  <c r="K296" i="1"/>
  <c r="N295" i="1"/>
  <c r="M295" i="1"/>
  <c r="P295" i="1" s="1"/>
  <c r="L295" i="1"/>
  <c r="K295" i="1"/>
  <c r="N294" i="1"/>
  <c r="L294" i="1"/>
  <c r="M294" i="1" s="1"/>
  <c r="P294" i="1" s="1"/>
  <c r="K294" i="1"/>
  <c r="N293" i="1"/>
  <c r="L293" i="1"/>
  <c r="M293" i="1" s="1"/>
  <c r="P293" i="1" s="1"/>
  <c r="K293" i="1"/>
  <c r="P292" i="1"/>
  <c r="N292" i="1"/>
  <c r="L292" i="1"/>
  <c r="M292" i="1" s="1"/>
  <c r="K292" i="1"/>
  <c r="P291" i="1"/>
  <c r="N291" i="1"/>
  <c r="M291" i="1"/>
  <c r="L291" i="1"/>
  <c r="K291" i="1"/>
  <c r="N290" i="1"/>
  <c r="M290" i="1"/>
  <c r="L290" i="1"/>
  <c r="K290" i="1"/>
  <c r="N289" i="1"/>
  <c r="M289" i="1"/>
  <c r="L289" i="1"/>
  <c r="K289" i="1"/>
  <c r="N288" i="1"/>
  <c r="L288" i="1"/>
  <c r="M288" i="1" s="1"/>
  <c r="P288" i="1" s="1"/>
  <c r="K288" i="1"/>
  <c r="N287" i="1"/>
  <c r="M287" i="1"/>
  <c r="P287" i="1" s="1"/>
  <c r="L287" i="1"/>
  <c r="K287" i="1"/>
  <c r="N286" i="1"/>
  <c r="L286" i="1"/>
  <c r="M286" i="1" s="1"/>
  <c r="P286" i="1" s="1"/>
  <c r="K286" i="1"/>
  <c r="N285" i="1"/>
  <c r="L285" i="1"/>
  <c r="M285" i="1" s="1"/>
  <c r="P285" i="1" s="1"/>
  <c r="K285" i="1"/>
  <c r="N284" i="1"/>
  <c r="L284" i="1"/>
  <c r="M284" i="1" s="1"/>
  <c r="P284" i="1" s="1"/>
  <c r="K284" i="1"/>
  <c r="P283" i="1"/>
  <c r="N283" i="1"/>
  <c r="M283" i="1"/>
  <c r="L283" i="1"/>
  <c r="K283" i="1"/>
  <c r="N282" i="1"/>
  <c r="M282" i="1"/>
  <c r="L282" i="1"/>
  <c r="K282" i="1"/>
  <c r="N281" i="1"/>
  <c r="M281" i="1"/>
  <c r="L281" i="1"/>
  <c r="K281" i="1"/>
  <c r="N280" i="1"/>
  <c r="L280" i="1"/>
  <c r="M280" i="1" s="1"/>
  <c r="P280" i="1" s="1"/>
  <c r="K280" i="1"/>
  <c r="N279" i="1"/>
  <c r="M279" i="1"/>
  <c r="P279" i="1" s="1"/>
  <c r="L279" i="1"/>
  <c r="K279" i="1"/>
  <c r="N278" i="1"/>
  <c r="L278" i="1"/>
  <c r="M278" i="1" s="1"/>
  <c r="P278" i="1" s="1"/>
  <c r="K278" i="1"/>
  <c r="N277" i="1"/>
  <c r="L277" i="1"/>
  <c r="M277" i="1" s="1"/>
  <c r="P277" i="1" s="1"/>
  <c r="K277" i="1"/>
  <c r="P276" i="1"/>
  <c r="N276" i="1"/>
  <c r="L276" i="1"/>
  <c r="M276" i="1" s="1"/>
  <c r="K276" i="1"/>
  <c r="P275" i="1"/>
  <c r="N275" i="1"/>
  <c r="M275" i="1"/>
  <c r="L275" i="1"/>
  <c r="K275" i="1"/>
  <c r="N274" i="1"/>
  <c r="M274" i="1"/>
  <c r="L274" i="1"/>
  <c r="K274" i="1"/>
  <c r="N273" i="1"/>
  <c r="M273" i="1"/>
  <c r="L273" i="1"/>
  <c r="K273" i="1"/>
  <c r="N272" i="1"/>
  <c r="L272" i="1"/>
  <c r="M272" i="1" s="1"/>
  <c r="P272" i="1" s="1"/>
  <c r="K272" i="1"/>
  <c r="N271" i="1"/>
  <c r="M271" i="1"/>
  <c r="P271" i="1" s="1"/>
  <c r="L271" i="1"/>
  <c r="K271" i="1"/>
  <c r="N270" i="1"/>
  <c r="L270" i="1"/>
  <c r="M270" i="1" s="1"/>
  <c r="P270" i="1" s="1"/>
  <c r="K270" i="1"/>
  <c r="N269" i="1"/>
  <c r="L269" i="1"/>
  <c r="M269" i="1" s="1"/>
  <c r="P269" i="1" s="1"/>
  <c r="K269" i="1"/>
  <c r="P268" i="1"/>
  <c r="N268" i="1"/>
  <c r="L268" i="1"/>
  <c r="M268" i="1" s="1"/>
  <c r="K268" i="1"/>
  <c r="P267" i="1"/>
  <c r="N267" i="1"/>
  <c r="M267" i="1"/>
  <c r="L267" i="1"/>
  <c r="K267" i="1"/>
  <c r="N266" i="1"/>
  <c r="M266" i="1"/>
  <c r="L266" i="1"/>
  <c r="K266" i="1"/>
  <c r="N265" i="1"/>
  <c r="M265" i="1"/>
  <c r="L265" i="1"/>
  <c r="K265" i="1"/>
  <c r="N264" i="1"/>
  <c r="L264" i="1"/>
  <c r="M264" i="1" s="1"/>
  <c r="P264" i="1" s="1"/>
  <c r="K264" i="1"/>
  <c r="N263" i="1"/>
  <c r="M263" i="1"/>
  <c r="P263" i="1" s="1"/>
  <c r="L263" i="1"/>
  <c r="K263" i="1"/>
  <c r="N262" i="1"/>
  <c r="L262" i="1"/>
  <c r="M262" i="1" s="1"/>
  <c r="P262" i="1" s="1"/>
  <c r="K262" i="1"/>
  <c r="N261" i="1"/>
  <c r="L261" i="1"/>
  <c r="M261" i="1" s="1"/>
  <c r="P261" i="1" s="1"/>
  <c r="K261" i="1"/>
  <c r="N260" i="1"/>
  <c r="L260" i="1"/>
  <c r="M260" i="1" s="1"/>
  <c r="P260" i="1" s="1"/>
  <c r="K260" i="1"/>
  <c r="P259" i="1"/>
  <c r="N259" i="1"/>
  <c r="M259" i="1"/>
  <c r="L259" i="1"/>
  <c r="K259" i="1"/>
  <c r="N258" i="1"/>
  <c r="M258" i="1"/>
  <c r="L258" i="1"/>
  <c r="K258" i="1"/>
  <c r="N257" i="1"/>
  <c r="L257" i="1"/>
  <c r="M257" i="1" s="1"/>
  <c r="K257" i="1"/>
  <c r="N256" i="1"/>
  <c r="L256" i="1"/>
  <c r="M256" i="1" s="1"/>
  <c r="P256" i="1" s="1"/>
  <c r="K256" i="1"/>
  <c r="N255" i="1"/>
  <c r="M255" i="1"/>
  <c r="P255" i="1" s="1"/>
  <c r="L255" i="1"/>
  <c r="K255" i="1"/>
  <c r="N254" i="1"/>
  <c r="L254" i="1"/>
  <c r="M254" i="1" s="1"/>
  <c r="P254" i="1" s="1"/>
  <c r="K254" i="1"/>
  <c r="N253" i="1"/>
  <c r="L253" i="1"/>
  <c r="M253" i="1" s="1"/>
  <c r="P253" i="1" s="1"/>
  <c r="K253" i="1"/>
  <c r="P252" i="1"/>
  <c r="N252" i="1"/>
  <c r="L252" i="1"/>
  <c r="M252" i="1" s="1"/>
  <c r="K252" i="1"/>
  <c r="N251" i="1"/>
  <c r="M251" i="1"/>
  <c r="L251" i="1"/>
  <c r="K251" i="1"/>
  <c r="N250" i="1"/>
  <c r="M250" i="1"/>
  <c r="L250" i="1"/>
  <c r="K250" i="1"/>
  <c r="N249" i="1"/>
  <c r="L249" i="1"/>
  <c r="M249" i="1" s="1"/>
  <c r="P249" i="1" s="1"/>
  <c r="K249" i="1"/>
  <c r="N248" i="1"/>
  <c r="L248" i="1"/>
  <c r="M248" i="1" s="1"/>
  <c r="P248" i="1" s="1"/>
  <c r="K248" i="1"/>
  <c r="N247" i="1"/>
  <c r="M247" i="1"/>
  <c r="P247" i="1" s="1"/>
  <c r="L247" i="1"/>
  <c r="K247" i="1"/>
  <c r="N246" i="1"/>
  <c r="L246" i="1"/>
  <c r="M246" i="1" s="1"/>
  <c r="P246" i="1" s="1"/>
  <c r="K246" i="1"/>
  <c r="N245" i="1"/>
  <c r="L245" i="1"/>
  <c r="M245" i="1" s="1"/>
  <c r="P245" i="1" s="1"/>
  <c r="K245" i="1"/>
  <c r="P244" i="1"/>
  <c r="N244" i="1"/>
  <c r="L244" i="1"/>
  <c r="M244" i="1" s="1"/>
  <c r="K244" i="1"/>
  <c r="P243" i="1"/>
  <c r="N243" i="1"/>
  <c r="M243" i="1"/>
  <c r="L243" i="1"/>
  <c r="K243" i="1"/>
  <c r="N242" i="1"/>
  <c r="M242" i="1"/>
  <c r="P242" i="1" s="1"/>
  <c r="L242" i="1"/>
  <c r="K242" i="1"/>
  <c r="N241" i="1"/>
  <c r="L241" i="1"/>
  <c r="M241" i="1" s="1"/>
  <c r="K241" i="1"/>
  <c r="N240" i="1"/>
  <c r="L240" i="1"/>
  <c r="M240" i="1" s="1"/>
  <c r="P240" i="1" s="1"/>
  <c r="K240" i="1"/>
  <c r="N239" i="1"/>
  <c r="M239" i="1"/>
  <c r="P239" i="1" s="1"/>
  <c r="L239" i="1"/>
  <c r="K239" i="1"/>
  <c r="N238" i="1"/>
  <c r="L238" i="1"/>
  <c r="M238" i="1" s="1"/>
  <c r="P238" i="1" s="1"/>
  <c r="K238" i="1"/>
  <c r="P237" i="1"/>
  <c r="N237" i="1"/>
  <c r="L237" i="1"/>
  <c r="M237" i="1" s="1"/>
  <c r="K237" i="1"/>
  <c r="P236" i="1"/>
  <c r="N236" i="1"/>
  <c r="L236" i="1"/>
  <c r="M236" i="1" s="1"/>
  <c r="K236" i="1"/>
  <c r="P235" i="1"/>
  <c r="N235" i="1"/>
  <c r="M235" i="1"/>
  <c r="L235" i="1"/>
  <c r="K235" i="1"/>
  <c r="N234" i="1"/>
  <c r="M234" i="1"/>
  <c r="L234" i="1"/>
  <c r="K234" i="1"/>
  <c r="N233" i="1"/>
  <c r="L233" i="1"/>
  <c r="M233" i="1" s="1"/>
  <c r="K233" i="1"/>
  <c r="N232" i="1"/>
  <c r="L232" i="1"/>
  <c r="M232" i="1" s="1"/>
  <c r="P232" i="1" s="1"/>
  <c r="K232" i="1"/>
  <c r="N231" i="1"/>
  <c r="M231" i="1"/>
  <c r="P231" i="1" s="1"/>
  <c r="L231" i="1"/>
  <c r="K231" i="1"/>
  <c r="N230" i="1"/>
  <c r="L230" i="1"/>
  <c r="M230" i="1" s="1"/>
  <c r="P230" i="1" s="1"/>
  <c r="K230" i="1"/>
  <c r="P229" i="1"/>
  <c r="N229" i="1"/>
  <c r="L229" i="1"/>
  <c r="M229" i="1" s="1"/>
  <c r="K229" i="1"/>
  <c r="P228" i="1"/>
  <c r="N228" i="1"/>
  <c r="L228" i="1"/>
  <c r="M228" i="1" s="1"/>
  <c r="K228" i="1"/>
  <c r="N227" i="1"/>
  <c r="M227" i="1"/>
  <c r="L227" i="1"/>
  <c r="K227" i="1"/>
  <c r="N226" i="1"/>
  <c r="M226" i="1"/>
  <c r="L226" i="1"/>
  <c r="K226" i="1"/>
  <c r="N225" i="1"/>
  <c r="L225" i="1"/>
  <c r="M225" i="1" s="1"/>
  <c r="P225" i="1" s="1"/>
  <c r="K225" i="1"/>
  <c r="N224" i="1"/>
  <c r="L224" i="1"/>
  <c r="M224" i="1" s="1"/>
  <c r="P224" i="1" s="1"/>
  <c r="K224" i="1"/>
  <c r="N223" i="1"/>
  <c r="M223" i="1"/>
  <c r="P223" i="1" s="1"/>
  <c r="L223" i="1"/>
  <c r="K223" i="1"/>
  <c r="P222" i="1"/>
  <c r="N222" i="1"/>
  <c r="L222" i="1"/>
  <c r="M222" i="1" s="1"/>
  <c r="K222" i="1"/>
  <c r="P221" i="1"/>
  <c r="N221" i="1"/>
  <c r="L221" i="1"/>
  <c r="M221" i="1" s="1"/>
  <c r="K221" i="1"/>
  <c r="N220" i="1"/>
  <c r="L220" i="1"/>
  <c r="M220" i="1" s="1"/>
  <c r="P220" i="1" s="1"/>
  <c r="K220" i="1"/>
  <c r="N219" i="1"/>
  <c r="M219" i="1"/>
  <c r="L219" i="1"/>
  <c r="K219" i="1"/>
  <c r="N218" i="1"/>
  <c r="L218" i="1"/>
  <c r="M218" i="1" s="1"/>
  <c r="P218" i="1" s="1"/>
  <c r="K218" i="1"/>
  <c r="N217" i="1"/>
  <c r="M217" i="1"/>
  <c r="L217" i="1"/>
  <c r="K217" i="1"/>
  <c r="N216" i="1"/>
  <c r="L216" i="1"/>
  <c r="M216" i="1" s="1"/>
  <c r="P216" i="1" s="1"/>
  <c r="K216" i="1"/>
  <c r="N215" i="1"/>
  <c r="M215" i="1"/>
  <c r="P215" i="1" s="1"/>
  <c r="L215" i="1"/>
  <c r="K215" i="1"/>
  <c r="N214" i="1"/>
  <c r="L214" i="1"/>
  <c r="M214" i="1" s="1"/>
  <c r="P214" i="1" s="1"/>
  <c r="K214" i="1"/>
  <c r="N213" i="1"/>
  <c r="M213" i="1"/>
  <c r="P213" i="1" s="1"/>
  <c r="L213" i="1"/>
  <c r="K213" i="1"/>
  <c r="N212" i="1"/>
  <c r="L212" i="1"/>
  <c r="M212" i="1" s="1"/>
  <c r="P212" i="1" s="1"/>
  <c r="K212" i="1"/>
  <c r="N211" i="1"/>
  <c r="M211" i="1"/>
  <c r="P211" i="1" s="1"/>
  <c r="L211" i="1"/>
  <c r="K211" i="1"/>
  <c r="N210" i="1"/>
  <c r="L210" i="1"/>
  <c r="M210" i="1" s="1"/>
  <c r="K210" i="1"/>
  <c r="N209" i="1"/>
  <c r="M209" i="1"/>
  <c r="P209" i="1" s="1"/>
  <c r="L209" i="1"/>
  <c r="K209" i="1"/>
  <c r="N208" i="1"/>
  <c r="L208" i="1"/>
  <c r="M208" i="1" s="1"/>
  <c r="P208" i="1" s="1"/>
  <c r="K208" i="1"/>
  <c r="N207" i="1"/>
  <c r="M207" i="1"/>
  <c r="P207" i="1" s="1"/>
  <c r="L207" i="1"/>
  <c r="K207" i="1"/>
  <c r="N206" i="1"/>
  <c r="L206" i="1"/>
  <c r="M206" i="1" s="1"/>
  <c r="K206" i="1"/>
  <c r="N205" i="1"/>
  <c r="M205" i="1"/>
  <c r="P205" i="1" s="1"/>
  <c r="L205" i="1"/>
  <c r="K205" i="1"/>
  <c r="N204" i="1"/>
  <c r="L204" i="1"/>
  <c r="M204" i="1" s="1"/>
  <c r="P204" i="1" s="1"/>
  <c r="K204" i="1"/>
  <c r="N203" i="1"/>
  <c r="M203" i="1"/>
  <c r="P203" i="1" s="1"/>
  <c r="L203" i="1"/>
  <c r="K203" i="1"/>
  <c r="N202" i="1"/>
  <c r="L202" i="1"/>
  <c r="M202" i="1" s="1"/>
  <c r="K202" i="1"/>
  <c r="N201" i="1"/>
  <c r="M201" i="1"/>
  <c r="L201" i="1"/>
  <c r="K201" i="1"/>
  <c r="N200" i="1"/>
  <c r="L200" i="1"/>
  <c r="M200" i="1" s="1"/>
  <c r="P200" i="1" s="1"/>
  <c r="K200" i="1"/>
  <c r="N199" i="1"/>
  <c r="M199" i="1"/>
  <c r="P199" i="1" s="1"/>
  <c r="L199" i="1"/>
  <c r="K199" i="1"/>
  <c r="N198" i="1"/>
  <c r="L198" i="1"/>
  <c r="M198" i="1" s="1"/>
  <c r="P198" i="1" s="1"/>
  <c r="K198" i="1"/>
  <c r="N197" i="1"/>
  <c r="L197" i="1"/>
  <c r="M197" i="1" s="1"/>
  <c r="P197" i="1" s="1"/>
  <c r="K197" i="1"/>
  <c r="N196" i="1"/>
  <c r="M196" i="1"/>
  <c r="P196" i="1" s="1"/>
  <c r="L196" i="1"/>
  <c r="K196" i="1"/>
  <c r="N195" i="1"/>
  <c r="L195" i="1"/>
  <c r="M195" i="1" s="1"/>
  <c r="P195" i="1" s="1"/>
  <c r="K195" i="1"/>
  <c r="N194" i="1"/>
  <c r="L194" i="1"/>
  <c r="M194" i="1" s="1"/>
  <c r="K194" i="1"/>
  <c r="N193" i="1"/>
  <c r="M193" i="1"/>
  <c r="L193" i="1"/>
  <c r="K193" i="1"/>
  <c r="N192" i="1"/>
  <c r="L192" i="1"/>
  <c r="M192" i="1" s="1"/>
  <c r="P192" i="1" s="1"/>
  <c r="K192" i="1"/>
  <c r="P191" i="1"/>
  <c r="N191" i="1"/>
  <c r="M191" i="1"/>
  <c r="L191" i="1"/>
  <c r="K191" i="1"/>
  <c r="P190" i="1"/>
  <c r="N190" i="1"/>
  <c r="L190" i="1"/>
  <c r="M190" i="1" s="1"/>
  <c r="K190" i="1"/>
  <c r="N189" i="1"/>
  <c r="L189" i="1"/>
  <c r="M189" i="1" s="1"/>
  <c r="K189" i="1"/>
  <c r="N188" i="1"/>
  <c r="M188" i="1"/>
  <c r="P188" i="1" s="1"/>
  <c r="L188" i="1"/>
  <c r="K188" i="1"/>
  <c r="N187" i="1"/>
  <c r="L187" i="1"/>
  <c r="M187" i="1" s="1"/>
  <c r="P187" i="1" s="1"/>
  <c r="K187" i="1"/>
  <c r="N186" i="1"/>
  <c r="L186" i="1"/>
  <c r="M186" i="1" s="1"/>
  <c r="P186" i="1" s="1"/>
  <c r="K186" i="1"/>
  <c r="N185" i="1"/>
  <c r="M185" i="1"/>
  <c r="L185" i="1"/>
  <c r="K185" i="1"/>
  <c r="N184" i="1"/>
  <c r="L184" i="1"/>
  <c r="M184" i="1" s="1"/>
  <c r="P184" i="1" s="1"/>
  <c r="K184" i="1"/>
  <c r="N183" i="1"/>
  <c r="M183" i="1"/>
  <c r="P183" i="1" s="1"/>
  <c r="L183" i="1"/>
  <c r="K183" i="1"/>
  <c r="N182" i="1"/>
  <c r="L182" i="1"/>
  <c r="M182" i="1" s="1"/>
  <c r="P182" i="1" s="1"/>
  <c r="K182" i="1"/>
  <c r="N181" i="1"/>
  <c r="L181" i="1"/>
  <c r="M181" i="1" s="1"/>
  <c r="P181" i="1" s="1"/>
  <c r="K181" i="1"/>
  <c r="N180" i="1"/>
  <c r="M180" i="1"/>
  <c r="P180" i="1" s="1"/>
  <c r="L180" i="1"/>
  <c r="K180" i="1"/>
  <c r="N179" i="1"/>
  <c r="L179" i="1"/>
  <c r="M179" i="1" s="1"/>
  <c r="P179" i="1" s="1"/>
  <c r="K179" i="1"/>
  <c r="N178" i="1"/>
  <c r="L178" i="1"/>
  <c r="M178" i="1" s="1"/>
  <c r="K178" i="1"/>
  <c r="N177" i="1"/>
  <c r="M177" i="1"/>
  <c r="L177" i="1"/>
  <c r="K177" i="1"/>
  <c r="N176" i="1"/>
  <c r="L176" i="1"/>
  <c r="M176" i="1" s="1"/>
  <c r="P176" i="1" s="1"/>
  <c r="K176" i="1"/>
  <c r="N175" i="1"/>
  <c r="M175" i="1"/>
  <c r="P175" i="1" s="1"/>
  <c r="L175" i="1"/>
  <c r="K175" i="1"/>
  <c r="P174" i="1"/>
  <c r="N174" i="1"/>
  <c r="L174" i="1"/>
  <c r="M174" i="1" s="1"/>
  <c r="K174" i="1"/>
  <c r="N173" i="1"/>
  <c r="L173" i="1"/>
  <c r="M173" i="1" s="1"/>
  <c r="K173" i="1"/>
  <c r="N172" i="1"/>
  <c r="M172" i="1"/>
  <c r="P172" i="1" s="1"/>
  <c r="L172" i="1"/>
  <c r="K172" i="1"/>
  <c r="N171" i="1"/>
  <c r="L171" i="1"/>
  <c r="M171" i="1" s="1"/>
  <c r="P171" i="1" s="1"/>
  <c r="K171" i="1"/>
  <c r="N170" i="1"/>
  <c r="L170" i="1"/>
  <c r="M170" i="1" s="1"/>
  <c r="K170" i="1"/>
  <c r="N169" i="1"/>
  <c r="M169" i="1"/>
  <c r="L169" i="1"/>
  <c r="K169" i="1"/>
  <c r="N168" i="1"/>
  <c r="L168" i="1"/>
  <c r="M168" i="1" s="1"/>
  <c r="P168" i="1" s="1"/>
  <c r="K168" i="1"/>
  <c r="P167" i="1"/>
  <c r="N167" i="1"/>
  <c r="M167" i="1"/>
  <c r="L167" i="1"/>
  <c r="K167" i="1"/>
  <c r="N166" i="1"/>
  <c r="L166" i="1"/>
  <c r="M166" i="1" s="1"/>
  <c r="P166" i="1" s="1"/>
  <c r="K166" i="1"/>
  <c r="N165" i="1"/>
  <c r="M165" i="1"/>
  <c r="L165" i="1"/>
  <c r="K165" i="1"/>
  <c r="N164" i="1"/>
  <c r="M164" i="1"/>
  <c r="P164" i="1" s="1"/>
  <c r="L164" i="1"/>
  <c r="K164" i="1"/>
  <c r="N163" i="1"/>
  <c r="L163" i="1"/>
  <c r="M163" i="1" s="1"/>
  <c r="P163" i="1" s="1"/>
  <c r="K163" i="1"/>
  <c r="N162" i="1"/>
  <c r="L162" i="1"/>
  <c r="M162" i="1" s="1"/>
  <c r="K162" i="1"/>
  <c r="N161" i="1"/>
  <c r="M161" i="1"/>
  <c r="P161" i="1" s="1"/>
  <c r="L161" i="1"/>
  <c r="K161" i="1"/>
  <c r="N160" i="1"/>
  <c r="L160" i="1"/>
  <c r="M160" i="1" s="1"/>
  <c r="P160" i="1" s="1"/>
  <c r="K160" i="1"/>
  <c r="P159" i="1"/>
  <c r="N159" i="1"/>
  <c r="M159" i="1"/>
  <c r="L159" i="1"/>
  <c r="K159" i="1"/>
  <c r="N158" i="1"/>
  <c r="L158" i="1"/>
  <c r="M158" i="1" s="1"/>
  <c r="P158" i="1" s="1"/>
  <c r="K158" i="1"/>
  <c r="N157" i="1"/>
  <c r="M157" i="1"/>
  <c r="L157" i="1"/>
  <c r="K157" i="1"/>
  <c r="N156" i="1"/>
  <c r="M156" i="1"/>
  <c r="P156" i="1" s="1"/>
  <c r="L156" i="1"/>
  <c r="K156" i="1"/>
  <c r="N155" i="1"/>
  <c r="L155" i="1"/>
  <c r="M155" i="1" s="1"/>
  <c r="P155" i="1" s="1"/>
  <c r="K155" i="1"/>
  <c r="N154" i="1"/>
  <c r="L154" i="1"/>
  <c r="M154" i="1" s="1"/>
  <c r="K154" i="1"/>
  <c r="N153" i="1"/>
  <c r="M153" i="1"/>
  <c r="L153" i="1"/>
  <c r="K153" i="1"/>
  <c r="N152" i="1"/>
  <c r="L152" i="1"/>
  <c r="M152" i="1" s="1"/>
  <c r="P152" i="1" s="1"/>
  <c r="K152" i="1"/>
  <c r="P151" i="1"/>
  <c r="N151" i="1"/>
  <c r="M151" i="1"/>
  <c r="L151" i="1"/>
  <c r="K151" i="1"/>
  <c r="N150" i="1"/>
  <c r="L150" i="1"/>
  <c r="M150" i="1" s="1"/>
  <c r="P150" i="1" s="1"/>
  <c r="K150" i="1"/>
  <c r="N149" i="1"/>
  <c r="M149" i="1"/>
  <c r="L149" i="1"/>
  <c r="K149" i="1"/>
  <c r="N148" i="1"/>
  <c r="M148" i="1"/>
  <c r="P148" i="1" s="1"/>
  <c r="L148" i="1"/>
  <c r="K148" i="1"/>
  <c r="N147" i="1"/>
  <c r="L147" i="1"/>
  <c r="M147" i="1" s="1"/>
  <c r="P147" i="1" s="1"/>
  <c r="K147" i="1"/>
  <c r="N146" i="1"/>
  <c r="L146" i="1"/>
  <c r="M146" i="1" s="1"/>
  <c r="K146" i="1"/>
  <c r="N145" i="1"/>
  <c r="M145" i="1"/>
  <c r="L145" i="1"/>
  <c r="K145" i="1"/>
  <c r="N144" i="1"/>
  <c r="L144" i="1"/>
  <c r="M144" i="1" s="1"/>
  <c r="P144" i="1" s="1"/>
  <c r="K144" i="1"/>
  <c r="P143" i="1"/>
  <c r="N143" i="1"/>
  <c r="M143" i="1"/>
  <c r="L143" i="1"/>
  <c r="K143" i="1"/>
  <c r="N142" i="1"/>
  <c r="L142" i="1"/>
  <c r="M142" i="1" s="1"/>
  <c r="P142" i="1" s="1"/>
  <c r="K142" i="1"/>
  <c r="N141" i="1"/>
  <c r="M141" i="1"/>
  <c r="P141" i="1" s="1"/>
  <c r="L141" i="1"/>
  <c r="K141" i="1"/>
  <c r="P140" i="1"/>
  <c r="N140" i="1"/>
  <c r="M140" i="1"/>
  <c r="L140" i="1"/>
  <c r="K140" i="1"/>
  <c r="P139" i="1"/>
  <c r="N139" i="1"/>
  <c r="L139" i="1"/>
  <c r="M139" i="1" s="1"/>
  <c r="K139" i="1"/>
  <c r="N138" i="1"/>
  <c r="L138" i="1"/>
  <c r="M138" i="1" s="1"/>
  <c r="K138" i="1"/>
  <c r="N137" i="1"/>
  <c r="M137" i="1"/>
  <c r="L137" i="1"/>
  <c r="K137" i="1"/>
  <c r="N136" i="1"/>
  <c r="L136" i="1"/>
  <c r="M136" i="1" s="1"/>
  <c r="P136" i="1" s="1"/>
  <c r="K136" i="1"/>
  <c r="P135" i="1"/>
  <c r="N135" i="1"/>
  <c r="M135" i="1"/>
  <c r="L135" i="1"/>
  <c r="K135" i="1"/>
  <c r="P134" i="1"/>
  <c r="N134" i="1"/>
  <c r="L134" i="1"/>
  <c r="M134" i="1" s="1"/>
  <c r="K134" i="1"/>
  <c r="N133" i="1"/>
  <c r="M133" i="1"/>
  <c r="P133" i="1" s="1"/>
  <c r="L133" i="1"/>
  <c r="K133" i="1"/>
  <c r="N132" i="1"/>
  <c r="M132" i="1"/>
  <c r="P132" i="1" s="1"/>
  <c r="L132" i="1"/>
  <c r="K132" i="1"/>
  <c r="P131" i="1"/>
  <c r="N131" i="1"/>
  <c r="L131" i="1"/>
  <c r="M131" i="1" s="1"/>
  <c r="K131" i="1"/>
  <c r="N130" i="1"/>
  <c r="L130" i="1"/>
  <c r="M130" i="1" s="1"/>
  <c r="K130" i="1"/>
  <c r="N129" i="1"/>
  <c r="M129" i="1"/>
  <c r="P129" i="1" s="1"/>
  <c r="L129" i="1"/>
  <c r="K129" i="1"/>
  <c r="N128" i="1"/>
  <c r="L128" i="1"/>
  <c r="M128" i="1" s="1"/>
  <c r="P128" i="1" s="1"/>
  <c r="K128" i="1"/>
  <c r="P127" i="1"/>
  <c r="N127" i="1"/>
  <c r="M127" i="1"/>
  <c r="L127" i="1"/>
  <c r="K127" i="1"/>
  <c r="P126" i="1"/>
  <c r="N126" i="1"/>
  <c r="L126" i="1"/>
  <c r="M126" i="1" s="1"/>
  <c r="K126" i="1"/>
  <c r="N125" i="1"/>
  <c r="M125" i="1"/>
  <c r="L125" i="1"/>
  <c r="K125" i="1"/>
  <c r="N124" i="1"/>
  <c r="M124" i="1"/>
  <c r="P124" i="1" s="1"/>
  <c r="L124" i="1"/>
  <c r="K124" i="1"/>
  <c r="N123" i="1"/>
  <c r="L123" i="1"/>
  <c r="M123" i="1" s="1"/>
  <c r="P123" i="1" s="1"/>
  <c r="K123" i="1"/>
  <c r="N122" i="1"/>
  <c r="L122" i="1"/>
  <c r="M122" i="1" s="1"/>
  <c r="K122" i="1"/>
  <c r="N121" i="1"/>
  <c r="M121" i="1"/>
  <c r="L121" i="1"/>
  <c r="K121" i="1"/>
  <c r="P120" i="1"/>
  <c r="N120" i="1"/>
  <c r="L120" i="1"/>
  <c r="M120" i="1" s="1"/>
  <c r="K120" i="1"/>
  <c r="P119" i="1"/>
  <c r="N119" i="1"/>
  <c r="M119" i="1"/>
  <c r="L119" i="1"/>
  <c r="K119" i="1"/>
  <c r="P118" i="1"/>
  <c r="N118" i="1"/>
  <c r="L118" i="1"/>
  <c r="M118" i="1" s="1"/>
  <c r="K118" i="1"/>
  <c r="N117" i="1"/>
  <c r="M117" i="1"/>
  <c r="P117" i="1" s="1"/>
  <c r="L117" i="1"/>
  <c r="K117" i="1"/>
  <c r="N116" i="1"/>
  <c r="L116" i="1"/>
  <c r="M116" i="1" s="1"/>
  <c r="P116" i="1" s="1"/>
  <c r="K116" i="1"/>
  <c r="N115" i="1"/>
  <c r="L115" i="1"/>
  <c r="M115" i="1" s="1"/>
  <c r="P115" i="1" s="1"/>
  <c r="K115" i="1"/>
  <c r="N114" i="1"/>
  <c r="L114" i="1"/>
  <c r="M114" i="1" s="1"/>
  <c r="P114" i="1" s="1"/>
  <c r="K114" i="1"/>
  <c r="N113" i="1"/>
  <c r="M113" i="1"/>
  <c r="L113" i="1"/>
  <c r="K113" i="1"/>
  <c r="P112" i="1"/>
  <c r="N112" i="1"/>
  <c r="L112" i="1"/>
  <c r="M112" i="1" s="1"/>
  <c r="K112" i="1"/>
  <c r="P111" i="1"/>
  <c r="N111" i="1"/>
  <c r="M111" i="1"/>
  <c r="L111" i="1"/>
  <c r="K111" i="1"/>
  <c r="N110" i="1"/>
  <c r="L110" i="1"/>
  <c r="M110" i="1" s="1"/>
  <c r="P110" i="1" s="1"/>
  <c r="K110" i="1"/>
  <c r="N109" i="1"/>
  <c r="M109" i="1"/>
  <c r="P109" i="1" s="1"/>
  <c r="L109" i="1"/>
  <c r="K109" i="1"/>
  <c r="P108" i="1"/>
  <c r="N108" i="1"/>
  <c r="M108" i="1"/>
  <c r="L108" i="1"/>
  <c r="K108" i="1"/>
  <c r="N107" i="1"/>
  <c r="M107" i="1"/>
  <c r="P107" i="1" s="1"/>
  <c r="L107" i="1"/>
  <c r="K107" i="1"/>
  <c r="N106" i="1"/>
  <c r="L106" i="1"/>
  <c r="M106" i="1" s="1"/>
  <c r="P106" i="1" s="1"/>
  <c r="K106" i="1"/>
  <c r="N105" i="1"/>
  <c r="M105" i="1"/>
  <c r="L105" i="1"/>
  <c r="K105" i="1"/>
  <c r="N104" i="1"/>
  <c r="L104" i="1"/>
  <c r="M104" i="1" s="1"/>
  <c r="P104" i="1" s="1"/>
  <c r="K104" i="1"/>
  <c r="N103" i="1"/>
  <c r="M103" i="1"/>
  <c r="P103" i="1" s="1"/>
  <c r="L103" i="1"/>
  <c r="K103" i="1"/>
  <c r="P102" i="1"/>
  <c r="N102" i="1"/>
  <c r="L102" i="1"/>
  <c r="M102" i="1" s="1"/>
  <c r="K102" i="1"/>
  <c r="N101" i="1"/>
  <c r="M101" i="1"/>
  <c r="P101" i="1" s="1"/>
  <c r="L101" i="1"/>
  <c r="K101" i="1"/>
  <c r="N100" i="1"/>
  <c r="L100" i="1"/>
  <c r="M100" i="1" s="1"/>
  <c r="P100" i="1" s="1"/>
  <c r="K100" i="1"/>
  <c r="N99" i="1"/>
  <c r="L99" i="1"/>
  <c r="M99" i="1" s="1"/>
  <c r="P99" i="1" s="1"/>
  <c r="K99" i="1"/>
  <c r="N98" i="1"/>
  <c r="L98" i="1"/>
  <c r="M98" i="1" s="1"/>
  <c r="K98" i="1"/>
  <c r="N97" i="1"/>
  <c r="M97" i="1"/>
  <c r="L97" i="1"/>
  <c r="K97" i="1"/>
  <c r="P96" i="1"/>
  <c r="N96" i="1"/>
  <c r="L96" i="1"/>
  <c r="M96" i="1" s="1"/>
  <c r="K96" i="1"/>
  <c r="P95" i="1"/>
  <c r="N95" i="1"/>
  <c r="M95" i="1"/>
  <c r="L95" i="1"/>
  <c r="K95" i="1"/>
  <c r="N94" i="1"/>
  <c r="L94" i="1"/>
  <c r="M94" i="1" s="1"/>
  <c r="P94" i="1" s="1"/>
  <c r="K94" i="1"/>
  <c r="N93" i="1"/>
  <c r="M93" i="1"/>
  <c r="P93" i="1" s="1"/>
  <c r="L93" i="1"/>
  <c r="K93" i="1"/>
  <c r="P92" i="1"/>
  <c r="N92" i="1"/>
  <c r="M92" i="1"/>
  <c r="L92" i="1"/>
  <c r="K92" i="1"/>
  <c r="N91" i="1"/>
  <c r="M91" i="1"/>
  <c r="P91" i="1" s="1"/>
  <c r="L91" i="1"/>
  <c r="K91" i="1"/>
  <c r="N90" i="1"/>
  <c r="L90" i="1"/>
  <c r="M90" i="1" s="1"/>
  <c r="K90" i="1"/>
  <c r="P89" i="1"/>
  <c r="N89" i="1"/>
  <c r="M89" i="1"/>
  <c r="L89" i="1"/>
  <c r="K89" i="1"/>
  <c r="P88" i="1"/>
  <c r="N88" i="1"/>
  <c r="L88" i="1"/>
  <c r="M88" i="1" s="1"/>
  <c r="K88" i="1"/>
  <c r="N87" i="1"/>
  <c r="M87" i="1"/>
  <c r="P87" i="1" s="1"/>
  <c r="L87" i="1"/>
  <c r="K87" i="1"/>
  <c r="N86" i="1"/>
  <c r="L86" i="1"/>
  <c r="M86" i="1" s="1"/>
  <c r="P86" i="1" s="1"/>
  <c r="K86" i="1"/>
  <c r="N85" i="1"/>
  <c r="M85" i="1"/>
  <c r="P85" i="1" s="1"/>
  <c r="L85" i="1"/>
  <c r="K85" i="1"/>
  <c r="P84" i="1"/>
  <c r="N84" i="1"/>
  <c r="M84" i="1"/>
  <c r="L84" i="1"/>
  <c r="K84" i="1"/>
  <c r="N83" i="1"/>
  <c r="M83" i="1"/>
  <c r="P83" i="1" s="1"/>
  <c r="L83" i="1"/>
  <c r="K83" i="1"/>
  <c r="N82" i="1"/>
  <c r="M82" i="1"/>
  <c r="L82" i="1"/>
  <c r="K82" i="1"/>
  <c r="N81" i="1"/>
  <c r="M81" i="1"/>
  <c r="L81" i="1"/>
  <c r="K81" i="1"/>
  <c r="P80" i="1"/>
  <c r="N80" i="1"/>
  <c r="L80" i="1"/>
  <c r="M80" i="1" s="1"/>
  <c r="K80" i="1"/>
  <c r="P79" i="1"/>
  <c r="N79" i="1"/>
  <c r="M79" i="1"/>
  <c r="L79" i="1"/>
  <c r="K79" i="1"/>
  <c r="N78" i="1"/>
  <c r="M78" i="1"/>
  <c r="P78" i="1" s="1"/>
  <c r="L78" i="1"/>
  <c r="K78" i="1"/>
  <c r="N77" i="1"/>
  <c r="M77" i="1"/>
  <c r="P77" i="1" s="1"/>
  <c r="L77" i="1"/>
  <c r="K77" i="1"/>
  <c r="N76" i="1"/>
  <c r="L76" i="1"/>
  <c r="M76" i="1" s="1"/>
  <c r="P76" i="1" s="1"/>
  <c r="K76" i="1"/>
  <c r="N75" i="1"/>
  <c r="M75" i="1"/>
  <c r="P75" i="1" s="1"/>
  <c r="L75" i="1"/>
  <c r="K75" i="1"/>
  <c r="N74" i="1"/>
  <c r="M74" i="1"/>
  <c r="L74" i="1"/>
  <c r="K74" i="1"/>
  <c r="N73" i="1"/>
  <c r="L73" i="1"/>
  <c r="M73" i="1" s="1"/>
  <c r="K73" i="1"/>
  <c r="N72" i="1"/>
  <c r="L72" i="1"/>
  <c r="M72" i="1" s="1"/>
  <c r="P72" i="1" s="1"/>
  <c r="K72" i="1"/>
  <c r="P71" i="1"/>
  <c r="N71" i="1"/>
  <c r="M71" i="1"/>
  <c r="L71" i="1"/>
  <c r="K71" i="1"/>
  <c r="N70" i="1"/>
  <c r="M70" i="1"/>
  <c r="P70" i="1" s="1"/>
  <c r="L70" i="1"/>
  <c r="K70" i="1"/>
  <c r="N69" i="1"/>
  <c r="M69" i="1"/>
  <c r="P69" i="1" s="1"/>
  <c r="L69" i="1"/>
  <c r="K69" i="1"/>
  <c r="N68" i="1"/>
  <c r="L68" i="1"/>
  <c r="M68" i="1" s="1"/>
  <c r="P68" i="1" s="1"/>
  <c r="K68" i="1"/>
  <c r="N67" i="1"/>
  <c r="M67" i="1"/>
  <c r="P67" i="1" s="1"/>
  <c r="L67" i="1"/>
  <c r="K67" i="1"/>
  <c r="N66" i="1"/>
  <c r="M66" i="1"/>
  <c r="L66" i="1"/>
  <c r="K66" i="1"/>
  <c r="N65" i="1"/>
  <c r="L65" i="1"/>
  <c r="M65" i="1" s="1"/>
  <c r="P65" i="1" s="1"/>
  <c r="K65" i="1"/>
  <c r="N64" i="1"/>
  <c r="L64" i="1"/>
  <c r="M64" i="1" s="1"/>
  <c r="P64" i="1" s="1"/>
  <c r="K64" i="1"/>
  <c r="P63" i="1"/>
  <c r="N63" i="1"/>
  <c r="M63" i="1"/>
  <c r="L63" i="1"/>
  <c r="K63" i="1"/>
  <c r="N62" i="1"/>
  <c r="M62" i="1"/>
  <c r="P62" i="1" s="1"/>
  <c r="L62" i="1"/>
  <c r="K62" i="1"/>
  <c r="N61" i="1"/>
  <c r="M61" i="1"/>
  <c r="P61" i="1" s="1"/>
  <c r="L61" i="1"/>
  <c r="K61" i="1"/>
  <c r="N60" i="1"/>
  <c r="L60" i="1"/>
  <c r="M60" i="1" s="1"/>
  <c r="P60" i="1" s="1"/>
  <c r="K60" i="1"/>
  <c r="N59" i="1"/>
  <c r="M59" i="1"/>
  <c r="P59" i="1" s="1"/>
  <c r="L59" i="1"/>
  <c r="K59" i="1"/>
  <c r="N58" i="1"/>
  <c r="M58" i="1"/>
  <c r="L58" i="1"/>
  <c r="K58" i="1"/>
  <c r="N57" i="1"/>
  <c r="L57" i="1"/>
  <c r="M57" i="1" s="1"/>
  <c r="K57" i="1"/>
  <c r="N56" i="1"/>
  <c r="L56" i="1"/>
  <c r="M56" i="1" s="1"/>
  <c r="P56" i="1" s="1"/>
  <c r="K56" i="1"/>
  <c r="P55" i="1"/>
  <c r="N55" i="1"/>
  <c r="M55" i="1"/>
  <c r="L55" i="1"/>
  <c r="K55" i="1"/>
  <c r="N54" i="1"/>
  <c r="M54" i="1"/>
  <c r="P54" i="1" s="1"/>
  <c r="L54" i="1"/>
  <c r="K54" i="1"/>
  <c r="N53" i="1"/>
  <c r="M53" i="1"/>
  <c r="P53" i="1" s="1"/>
  <c r="L53" i="1"/>
  <c r="K53" i="1"/>
  <c r="N52" i="1"/>
  <c r="L52" i="1"/>
  <c r="M52" i="1" s="1"/>
  <c r="P52" i="1" s="1"/>
  <c r="K52" i="1"/>
  <c r="N51" i="1"/>
  <c r="M51" i="1"/>
  <c r="P51" i="1" s="1"/>
  <c r="L51" i="1"/>
  <c r="K51" i="1"/>
  <c r="N50" i="1"/>
  <c r="M50" i="1"/>
  <c r="L50" i="1"/>
  <c r="K50" i="1"/>
  <c r="N49" i="1"/>
  <c r="L49" i="1"/>
  <c r="M49" i="1" s="1"/>
  <c r="K49" i="1"/>
  <c r="N48" i="1"/>
  <c r="L48" i="1"/>
  <c r="M48" i="1" s="1"/>
  <c r="P48" i="1" s="1"/>
  <c r="K48" i="1"/>
  <c r="P47" i="1"/>
  <c r="N47" i="1"/>
  <c r="M47" i="1"/>
  <c r="L47" i="1"/>
  <c r="K47" i="1"/>
  <c r="N46" i="1"/>
  <c r="M46" i="1"/>
  <c r="P46" i="1" s="1"/>
  <c r="L46" i="1"/>
  <c r="K46" i="1"/>
  <c r="N45" i="1"/>
  <c r="M45" i="1"/>
  <c r="P45" i="1" s="1"/>
  <c r="L45" i="1"/>
  <c r="K45" i="1"/>
  <c r="N44" i="1"/>
  <c r="L44" i="1"/>
  <c r="M44" i="1" s="1"/>
  <c r="P44" i="1" s="1"/>
  <c r="K44" i="1"/>
  <c r="N43" i="1"/>
  <c r="M43" i="1"/>
  <c r="P43" i="1" s="1"/>
  <c r="L43" i="1"/>
  <c r="K43" i="1"/>
  <c r="N42" i="1"/>
  <c r="M42" i="1"/>
  <c r="L42" i="1"/>
  <c r="K42" i="1"/>
  <c r="N41" i="1"/>
  <c r="L41" i="1"/>
  <c r="M41" i="1" s="1"/>
  <c r="K41" i="1"/>
  <c r="N40" i="1"/>
  <c r="L40" i="1"/>
  <c r="M40" i="1" s="1"/>
  <c r="P40" i="1" s="1"/>
  <c r="K40" i="1"/>
  <c r="P39" i="1"/>
  <c r="N39" i="1"/>
  <c r="M39" i="1"/>
  <c r="L39" i="1"/>
  <c r="K39" i="1"/>
  <c r="N38" i="1"/>
  <c r="M38" i="1"/>
  <c r="P38" i="1" s="1"/>
  <c r="L38" i="1"/>
  <c r="K38" i="1"/>
  <c r="N37" i="1"/>
  <c r="M37" i="1"/>
  <c r="P37" i="1" s="1"/>
  <c r="L37" i="1"/>
  <c r="K37" i="1"/>
  <c r="N36" i="1"/>
  <c r="L36" i="1"/>
  <c r="M36" i="1" s="1"/>
  <c r="P36" i="1" s="1"/>
  <c r="K36" i="1"/>
  <c r="N35" i="1"/>
  <c r="M35" i="1"/>
  <c r="P35" i="1" s="1"/>
  <c r="L35" i="1"/>
  <c r="K35" i="1"/>
  <c r="N34" i="1"/>
  <c r="M34" i="1"/>
  <c r="L34" i="1"/>
  <c r="K34" i="1"/>
  <c r="N33" i="1"/>
  <c r="L33" i="1"/>
  <c r="M33" i="1" s="1"/>
  <c r="P33" i="1" s="1"/>
  <c r="K33" i="1"/>
  <c r="N32" i="1"/>
  <c r="L32" i="1"/>
  <c r="M32" i="1" s="1"/>
  <c r="P32" i="1" s="1"/>
  <c r="K32" i="1"/>
  <c r="P31" i="1"/>
  <c r="N31" i="1"/>
  <c r="M31" i="1"/>
  <c r="L31" i="1"/>
  <c r="K31" i="1"/>
  <c r="N30" i="1"/>
  <c r="M30" i="1"/>
  <c r="P30" i="1" s="1"/>
  <c r="L30" i="1"/>
  <c r="K30" i="1"/>
  <c r="N29" i="1"/>
  <c r="M29" i="1"/>
  <c r="P29" i="1" s="1"/>
  <c r="L29" i="1"/>
  <c r="K29" i="1"/>
  <c r="N28" i="1"/>
  <c r="L28" i="1"/>
  <c r="M28" i="1" s="1"/>
  <c r="P28" i="1" s="1"/>
  <c r="K28" i="1"/>
  <c r="N27" i="1"/>
  <c r="M27" i="1"/>
  <c r="P27" i="1" s="1"/>
  <c r="L27" i="1"/>
  <c r="K27" i="1"/>
  <c r="N26" i="1"/>
  <c r="M26" i="1"/>
  <c r="L26" i="1"/>
  <c r="K26" i="1"/>
  <c r="N25" i="1"/>
  <c r="L25" i="1"/>
  <c r="M25" i="1" s="1"/>
  <c r="K25" i="1"/>
  <c r="N24" i="1"/>
  <c r="L24" i="1"/>
  <c r="M24" i="1" s="1"/>
  <c r="P24" i="1" s="1"/>
  <c r="K24" i="1"/>
  <c r="P23" i="1"/>
  <c r="N23" i="1"/>
  <c r="M23" i="1"/>
  <c r="L23" i="1"/>
  <c r="K23" i="1"/>
  <c r="N22" i="1"/>
  <c r="M22" i="1"/>
  <c r="P22" i="1" s="1"/>
  <c r="L22" i="1"/>
  <c r="K22" i="1"/>
  <c r="N21" i="1"/>
  <c r="M21" i="1"/>
  <c r="P21" i="1" s="1"/>
  <c r="L21" i="1"/>
  <c r="K21" i="1"/>
  <c r="N20" i="1"/>
  <c r="L20" i="1"/>
  <c r="M20" i="1" s="1"/>
  <c r="P20" i="1" s="1"/>
  <c r="K20" i="1"/>
  <c r="N19" i="1"/>
  <c r="M19" i="1"/>
  <c r="P19" i="1" s="1"/>
  <c r="L19" i="1"/>
  <c r="K19" i="1"/>
  <c r="N18" i="1"/>
  <c r="M18" i="1"/>
  <c r="L18" i="1"/>
  <c r="K18" i="1"/>
  <c r="N17" i="1"/>
  <c r="L17" i="1"/>
  <c r="M17" i="1" s="1"/>
  <c r="K17" i="1"/>
  <c r="N16" i="1"/>
  <c r="L16" i="1"/>
  <c r="M16" i="1" s="1"/>
  <c r="P16" i="1" s="1"/>
  <c r="K16" i="1"/>
  <c r="P15" i="1"/>
  <c r="N15" i="1"/>
  <c r="M15" i="1"/>
  <c r="L15" i="1"/>
  <c r="K15" i="1"/>
  <c r="N14" i="1"/>
  <c r="M14" i="1"/>
  <c r="P14" i="1" s="1"/>
  <c r="L14" i="1"/>
  <c r="K14" i="1"/>
  <c r="N13" i="1"/>
  <c r="M13" i="1"/>
  <c r="P13" i="1" s="1"/>
  <c r="L13" i="1"/>
  <c r="K13" i="1"/>
  <c r="N12" i="1"/>
  <c r="L12" i="1"/>
  <c r="M12" i="1" s="1"/>
  <c r="P12" i="1" s="1"/>
  <c r="K12" i="1"/>
  <c r="N11" i="1"/>
  <c r="M11" i="1"/>
  <c r="P11" i="1" s="1"/>
  <c r="L11" i="1"/>
  <c r="K11" i="1"/>
  <c r="N10" i="1"/>
  <c r="M10" i="1"/>
  <c r="L10" i="1"/>
  <c r="K10" i="1"/>
  <c r="N9" i="1"/>
  <c r="L9" i="1"/>
  <c r="M9" i="1" s="1"/>
  <c r="K9" i="1"/>
  <c r="N8" i="1"/>
  <c r="L8" i="1"/>
  <c r="M8" i="1" s="1"/>
  <c r="P8" i="1" s="1"/>
  <c r="K8" i="1"/>
  <c r="P7" i="1"/>
  <c r="N7" i="1"/>
  <c r="M7" i="1"/>
  <c r="L7" i="1"/>
  <c r="K7" i="1"/>
  <c r="N6" i="1"/>
  <c r="M6" i="1"/>
  <c r="P6" i="1" s="1"/>
  <c r="L6" i="1"/>
  <c r="K6" i="1"/>
  <c r="N5" i="1"/>
  <c r="M5" i="1"/>
  <c r="P5" i="1" s="1"/>
  <c r="L5" i="1"/>
  <c r="K5" i="1"/>
  <c r="N4" i="1"/>
  <c r="L4" i="1"/>
  <c r="M4" i="1" s="1"/>
  <c r="P4" i="1" s="1"/>
  <c r="K4" i="1"/>
  <c r="N3" i="1"/>
  <c r="M3" i="1"/>
  <c r="P3" i="1" s="1"/>
  <c r="L3" i="1"/>
  <c r="K3" i="1"/>
  <c r="N2" i="1"/>
  <c r="P2" i="1"/>
  <c r="L2" i="1"/>
  <c r="K2" i="1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P72" i="4" s="1"/>
  <c r="Q72" i="4" s="1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P88" i="4" s="1"/>
  <c r="Q88" i="4" s="1"/>
  <c r="O89" i="4"/>
  <c r="O90" i="4"/>
  <c r="O91" i="4"/>
  <c r="O92" i="4"/>
  <c r="O93" i="4"/>
  <c r="O94" i="4"/>
  <c r="O95" i="4"/>
  <c r="O96" i="4"/>
  <c r="O97" i="4"/>
  <c r="P97" i="4" s="1"/>
  <c r="Q97" i="4" s="1"/>
  <c r="O98" i="4"/>
  <c r="O99" i="4"/>
  <c r="O100" i="4"/>
  <c r="O101" i="4"/>
  <c r="O102" i="4"/>
  <c r="O103" i="4"/>
  <c r="O104" i="4"/>
  <c r="P104" i="4" s="1"/>
  <c r="Q104" i="4" s="1"/>
  <c r="O105" i="4"/>
  <c r="O106" i="4"/>
  <c r="O107" i="4"/>
  <c r="O108" i="4"/>
  <c r="O109" i="4"/>
  <c r="O110" i="4"/>
  <c r="O111" i="4"/>
  <c r="O112" i="4"/>
  <c r="P112" i="4" s="1"/>
  <c r="Q112" i="4" s="1"/>
  <c r="O2" i="4"/>
  <c r="AC21" i="4"/>
  <c r="P2" i="4"/>
  <c r="AA127" i="4"/>
  <c r="AE123" i="4"/>
  <c r="AC123" i="4"/>
  <c r="AE116" i="4"/>
  <c r="AD116" i="4"/>
  <c r="AD115" i="4"/>
  <c r="W112" i="4"/>
  <c r="S112" i="4"/>
  <c r="N112" i="4"/>
  <c r="L112" i="4"/>
  <c r="M112" i="4" s="1"/>
  <c r="K112" i="4"/>
  <c r="W111" i="4"/>
  <c r="S111" i="4"/>
  <c r="P111" i="4"/>
  <c r="Q111" i="4" s="1"/>
  <c r="N111" i="4"/>
  <c r="L111" i="4"/>
  <c r="M111" i="4" s="1"/>
  <c r="K111" i="4"/>
  <c r="W110" i="4"/>
  <c r="S110" i="4"/>
  <c r="N110" i="4"/>
  <c r="L110" i="4"/>
  <c r="M110" i="4" s="1"/>
  <c r="P110" i="4" s="1"/>
  <c r="Q110" i="4" s="1"/>
  <c r="K110" i="4"/>
  <c r="W109" i="4"/>
  <c r="S109" i="4"/>
  <c r="N109" i="4"/>
  <c r="L109" i="4"/>
  <c r="M109" i="4" s="1"/>
  <c r="P109" i="4" s="1"/>
  <c r="Q109" i="4" s="1"/>
  <c r="K109" i="4"/>
  <c r="W108" i="4"/>
  <c r="S108" i="4"/>
  <c r="N108" i="4"/>
  <c r="L108" i="4"/>
  <c r="M108" i="4" s="1"/>
  <c r="P108" i="4" s="1"/>
  <c r="Q108" i="4" s="1"/>
  <c r="K108" i="4"/>
  <c r="W107" i="4"/>
  <c r="S107" i="4"/>
  <c r="N107" i="4"/>
  <c r="L107" i="4"/>
  <c r="M107" i="4" s="1"/>
  <c r="P107" i="4" s="1"/>
  <c r="Q107" i="4" s="1"/>
  <c r="K107" i="4"/>
  <c r="W106" i="4"/>
  <c r="S106" i="4"/>
  <c r="N106" i="4"/>
  <c r="L106" i="4"/>
  <c r="M106" i="4" s="1"/>
  <c r="P106" i="4" s="1"/>
  <c r="Q106" i="4" s="1"/>
  <c r="K106" i="4"/>
  <c r="W105" i="4"/>
  <c r="S105" i="4"/>
  <c r="N105" i="4"/>
  <c r="L105" i="4"/>
  <c r="M105" i="4" s="1"/>
  <c r="K105" i="4"/>
  <c r="W104" i="4"/>
  <c r="S104" i="4"/>
  <c r="N104" i="4"/>
  <c r="L104" i="4"/>
  <c r="M104" i="4" s="1"/>
  <c r="K104" i="4"/>
  <c r="W103" i="4"/>
  <c r="S103" i="4"/>
  <c r="P103" i="4"/>
  <c r="Q103" i="4" s="1"/>
  <c r="N103" i="4"/>
  <c r="L103" i="4"/>
  <c r="M103" i="4" s="1"/>
  <c r="K103" i="4"/>
  <c r="W102" i="4"/>
  <c r="S102" i="4"/>
  <c r="N102" i="4"/>
  <c r="L102" i="4"/>
  <c r="M102" i="4" s="1"/>
  <c r="P102" i="4" s="1"/>
  <c r="Q102" i="4" s="1"/>
  <c r="K102" i="4"/>
  <c r="W101" i="4"/>
  <c r="S101" i="4"/>
  <c r="N101" i="4"/>
  <c r="L101" i="4"/>
  <c r="M101" i="4" s="1"/>
  <c r="P101" i="4" s="1"/>
  <c r="Q101" i="4" s="1"/>
  <c r="K101" i="4"/>
  <c r="W100" i="4"/>
  <c r="S100" i="4"/>
  <c r="N100" i="4"/>
  <c r="L100" i="4"/>
  <c r="M100" i="4" s="1"/>
  <c r="P100" i="4" s="1"/>
  <c r="Q100" i="4" s="1"/>
  <c r="K100" i="4"/>
  <c r="W99" i="4"/>
  <c r="S99" i="4"/>
  <c r="N99" i="4"/>
  <c r="L99" i="4"/>
  <c r="M99" i="4" s="1"/>
  <c r="P99" i="4" s="1"/>
  <c r="Q99" i="4" s="1"/>
  <c r="K99" i="4"/>
  <c r="W98" i="4"/>
  <c r="S98" i="4"/>
  <c r="N98" i="4"/>
  <c r="L98" i="4"/>
  <c r="M98" i="4" s="1"/>
  <c r="P98" i="4" s="1"/>
  <c r="Q98" i="4" s="1"/>
  <c r="K98" i="4"/>
  <c r="W97" i="4"/>
  <c r="S97" i="4"/>
  <c r="N97" i="4"/>
  <c r="L97" i="4"/>
  <c r="M97" i="4" s="1"/>
  <c r="K97" i="4"/>
  <c r="W96" i="4"/>
  <c r="S96" i="4"/>
  <c r="N96" i="4"/>
  <c r="L96" i="4"/>
  <c r="M96" i="4" s="1"/>
  <c r="K96" i="4"/>
  <c r="W95" i="4"/>
  <c r="S95" i="4"/>
  <c r="N95" i="4"/>
  <c r="L95" i="4"/>
  <c r="M95" i="4" s="1"/>
  <c r="P95" i="4" s="1"/>
  <c r="Q95" i="4" s="1"/>
  <c r="K95" i="4"/>
  <c r="W94" i="4"/>
  <c r="S94" i="4"/>
  <c r="N94" i="4"/>
  <c r="L94" i="4"/>
  <c r="M94" i="4" s="1"/>
  <c r="P94" i="4" s="1"/>
  <c r="Q94" i="4" s="1"/>
  <c r="K94" i="4"/>
  <c r="W93" i="4"/>
  <c r="S93" i="4"/>
  <c r="P93" i="4"/>
  <c r="Q93" i="4" s="1"/>
  <c r="N93" i="4"/>
  <c r="L93" i="4"/>
  <c r="M93" i="4" s="1"/>
  <c r="K93" i="4"/>
  <c r="W92" i="4"/>
  <c r="S92" i="4"/>
  <c r="N92" i="4"/>
  <c r="L92" i="4"/>
  <c r="M92" i="4" s="1"/>
  <c r="P92" i="4" s="1"/>
  <c r="Q92" i="4" s="1"/>
  <c r="K92" i="4"/>
  <c r="W91" i="4"/>
  <c r="S91" i="4"/>
  <c r="P91" i="4"/>
  <c r="Q91" i="4" s="1"/>
  <c r="N91" i="4"/>
  <c r="L91" i="4"/>
  <c r="M91" i="4" s="1"/>
  <c r="K91" i="4"/>
  <c r="W90" i="4"/>
  <c r="S90" i="4"/>
  <c r="N90" i="4"/>
  <c r="L90" i="4"/>
  <c r="M90" i="4" s="1"/>
  <c r="P90" i="4" s="1"/>
  <c r="Q90" i="4" s="1"/>
  <c r="K90" i="4"/>
  <c r="W89" i="4"/>
  <c r="S89" i="4"/>
  <c r="N89" i="4"/>
  <c r="L89" i="4"/>
  <c r="M89" i="4" s="1"/>
  <c r="K89" i="4"/>
  <c r="W88" i="4"/>
  <c r="S88" i="4"/>
  <c r="N88" i="4"/>
  <c r="L88" i="4"/>
  <c r="M88" i="4" s="1"/>
  <c r="K88" i="4"/>
  <c r="W87" i="4"/>
  <c r="S87" i="4"/>
  <c r="N87" i="4"/>
  <c r="L87" i="4"/>
  <c r="M87" i="4" s="1"/>
  <c r="P87" i="4" s="1"/>
  <c r="Q87" i="4" s="1"/>
  <c r="K87" i="4"/>
  <c r="W86" i="4"/>
  <c r="S86" i="4"/>
  <c r="N86" i="4"/>
  <c r="L86" i="4"/>
  <c r="M86" i="4" s="1"/>
  <c r="P86" i="4" s="1"/>
  <c r="Q86" i="4" s="1"/>
  <c r="K86" i="4"/>
  <c r="W85" i="4"/>
  <c r="S85" i="4"/>
  <c r="P85" i="4"/>
  <c r="Q85" i="4" s="1"/>
  <c r="N85" i="4"/>
  <c r="L85" i="4"/>
  <c r="M85" i="4" s="1"/>
  <c r="K85" i="4"/>
  <c r="W84" i="4"/>
  <c r="S84" i="4"/>
  <c r="N84" i="4"/>
  <c r="L84" i="4"/>
  <c r="M84" i="4" s="1"/>
  <c r="P84" i="4" s="1"/>
  <c r="Q84" i="4" s="1"/>
  <c r="K84" i="4"/>
  <c r="W83" i="4"/>
  <c r="S83" i="4"/>
  <c r="N83" i="4"/>
  <c r="L83" i="4"/>
  <c r="M83" i="4" s="1"/>
  <c r="P83" i="4" s="1"/>
  <c r="Q83" i="4" s="1"/>
  <c r="K83" i="4"/>
  <c r="W82" i="4"/>
  <c r="S82" i="4"/>
  <c r="P82" i="4"/>
  <c r="Q82" i="4" s="1"/>
  <c r="N82" i="4"/>
  <c r="L82" i="4"/>
  <c r="M82" i="4" s="1"/>
  <c r="K82" i="4"/>
  <c r="W81" i="4"/>
  <c r="S81" i="4"/>
  <c r="N81" i="4"/>
  <c r="L81" i="4"/>
  <c r="M81" i="4" s="1"/>
  <c r="K81" i="4"/>
  <c r="W80" i="4"/>
  <c r="S80" i="4"/>
  <c r="P80" i="4"/>
  <c r="Q80" i="4" s="1"/>
  <c r="N80" i="4"/>
  <c r="L80" i="4"/>
  <c r="M80" i="4" s="1"/>
  <c r="K80" i="4"/>
  <c r="W79" i="4"/>
  <c r="S79" i="4"/>
  <c r="N79" i="4"/>
  <c r="L79" i="4"/>
  <c r="M79" i="4" s="1"/>
  <c r="P79" i="4" s="1"/>
  <c r="Q79" i="4" s="1"/>
  <c r="K79" i="4"/>
  <c r="W78" i="4"/>
  <c r="S78" i="4"/>
  <c r="N78" i="4"/>
  <c r="L78" i="4"/>
  <c r="M78" i="4" s="1"/>
  <c r="P78" i="4" s="1"/>
  <c r="Q78" i="4" s="1"/>
  <c r="K78" i="4"/>
  <c r="W77" i="4"/>
  <c r="S77" i="4"/>
  <c r="P77" i="4"/>
  <c r="Q77" i="4" s="1"/>
  <c r="N77" i="4"/>
  <c r="L77" i="4"/>
  <c r="M77" i="4" s="1"/>
  <c r="K77" i="4"/>
  <c r="W76" i="4"/>
  <c r="S76" i="4"/>
  <c r="N76" i="4"/>
  <c r="L76" i="4"/>
  <c r="M76" i="4" s="1"/>
  <c r="P76" i="4" s="1"/>
  <c r="Q76" i="4" s="1"/>
  <c r="K76" i="4"/>
  <c r="W75" i="4"/>
  <c r="S75" i="4"/>
  <c r="N75" i="4"/>
  <c r="L75" i="4"/>
  <c r="M75" i="4" s="1"/>
  <c r="P75" i="4" s="1"/>
  <c r="Q75" i="4" s="1"/>
  <c r="K75" i="4"/>
  <c r="W74" i="4"/>
  <c r="S74" i="4"/>
  <c r="N74" i="4"/>
  <c r="L74" i="4"/>
  <c r="M74" i="4" s="1"/>
  <c r="P74" i="4" s="1"/>
  <c r="Q74" i="4" s="1"/>
  <c r="K74" i="4"/>
  <c r="W73" i="4"/>
  <c r="S73" i="4"/>
  <c r="N73" i="4"/>
  <c r="L73" i="4"/>
  <c r="M73" i="4" s="1"/>
  <c r="K73" i="4"/>
  <c r="W72" i="4"/>
  <c r="S72" i="4"/>
  <c r="N72" i="4"/>
  <c r="L72" i="4"/>
  <c r="M72" i="4" s="1"/>
  <c r="K72" i="4"/>
  <c r="W71" i="4"/>
  <c r="S71" i="4"/>
  <c r="N71" i="4"/>
  <c r="M71" i="4"/>
  <c r="P71" i="4" s="1"/>
  <c r="Q71" i="4" s="1"/>
  <c r="L71" i="4"/>
  <c r="K71" i="4"/>
  <c r="W70" i="4"/>
  <c r="S70" i="4"/>
  <c r="N70" i="4"/>
  <c r="L70" i="4"/>
  <c r="M70" i="4" s="1"/>
  <c r="P70" i="4" s="1"/>
  <c r="Q70" i="4" s="1"/>
  <c r="K70" i="4"/>
  <c r="W69" i="4"/>
  <c r="S69" i="4"/>
  <c r="N69" i="4"/>
  <c r="M69" i="4"/>
  <c r="P69" i="4" s="1"/>
  <c r="Q69" i="4" s="1"/>
  <c r="L69" i="4"/>
  <c r="K69" i="4"/>
  <c r="W68" i="4"/>
  <c r="S68" i="4"/>
  <c r="N68" i="4"/>
  <c r="L68" i="4"/>
  <c r="M68" i="4" s="1"/>
  <c r="P68" i="4" s="1"/>
  <c r="Q68" i="4" s="1"/>
  <c r="K68" i="4"/>
  <c r="W67" i="4"/>
  <c r="S67" i="4"/>
  <c r="N67" i="4"/>
  <c r="M67" i="4"/>
  <c r="P67" i="4" s="1"/>
  <c r="Q67" i="4" s="1"/>
  <c r="L67" i="4"/>
  <c r="K67" i="4"/>
  <c r="W66" i="4"/>
  <c r="S66" i="4"/>
  <c r="N66" i="4"/>
  <c r="M66" i="4"/>
  <c r="P66" i="4" s="1"/>
  <c r="Q66" i="4" s="1"/>
  <c r="L66" i="4"/>
  <c r="K66" i="4"/>
  <c r="W65" i="4"/>
  <c r="S65" i="4"/>
  <c r="N65" i="4"/>
  <c r="M65" i="4"/>
  <c r="L65" i="4"/>
  <c r="K65" i="4"/>
  <c r="W64" i="4"/>
  <c r="S64" i="4"/>
  <c r="N64" i="4"/>
  <c r="L64" i="4"/>
  <c r="M64" i="4" s="1"/>
  <c r="P64" i="4" s="1"/>
  <c r="Q64" i="4" s="1"/>
  <c r="K64" i="4"/>
  <c r="W63" i="4"/>
  <c r="S63" i="4"/>
  <c r="N63" i="4"/>
  <c r="M63" i="4"/>
  <c r="P63" i="4" s="1"/>
  <c r="Q63" i="4" s="1"/>
  <c r="L63" i="4"/>
  <c r="K63" i="4"/>
  <c r="W62" i="4"/>
  <c r="S62" i="4"/>
  <c r="N62" i="4"/>
  <c r="L62" i="4"/>
  <c r="M62" i="4" s="1"/>
  <c r="P62" i="4" s="1"/>
  <c r="Q62" i="4" s="1"/>
  <c r="K62" i="4"/>
  <c r="W61" i="4"/>
  <c r="S61" i="4"/>
  <c r="N61" i="4"/>
  <c r="M61" i="4"/>
  <c r="P61" i="4" s="1"/>
  <c r="Q61" i="4" s="1"/>
  <c r="L61" i="4"/>
  <c r="K61" i="4"/>
  <c r="W60" i="4"/>
  <c r="S60" i="4"/>
  <c r="N60" i="4"/>
  <c r="L60" i="4"/>
  <c r="M60" i="4" s="1"/>
  <c r="P60" i="4" s="1"/>
  <c r="Q60" i="4" s="1"/>
  <c r="K60" i="4"/>
  <c r="W59" i="4"/>
  <c r="S59" i="4"/>
  <c r="N59" i="4"/>
  <c r="L59" i="4"/>
  <c r="M59" i="4" s="1"/>
  <c r="P59" i="4" s="1"/>
  <c r="Q59" i="4" s="1"/>
  <c r="K59" i="4"/>
  <c r="W58" i="4"/>
  <c r="S58" i="4"/>
  <c r="N58" i="4"/>
  <c r="M58" i="4"/>
  <c r="L58" i="4"/>
  <c r="K58" i="4"/>
  <c r="W57" i="4"/>
  <c r="S57" i="4"/>
  <c r="N57" i="4"/>
  <c r="M57" i="4"/>
  <c r="L57" i="4"/>
  <c r="K57" i="4"/>
  <c r="W56" i="4"/>
  <c r="S56" i="4"/>
  <c r="N56" i="4"/>
  <c r="M56" i="4"/>
  <c r="L56" i="4"/>
  <c r="K56" i="4"/>
  <c r="W55" i="4"/>
  <c r="S55" i="4"/>
  <c r="N55" i="4"/>
  <c r="M55" i="4"/>
  <c r="P55" i="4" s="1"/>
  <c r="Q55" i="4" s="1"/>
  <c r="L55" i="4"/>
  <c r="K55" i="4"/>
  <c r="W54" i="4"/>
  <c r="S54" i="4"/>
  <c r="N54" i="4"/>
  <c r="L54" i="4"/>
  <c r="M54" i="4" s="1"/>
  <c r="P54" i="4" s="1"/>
  <c r="Q54" i="4" s="1"/>
  <c r="K54" i="4"/>
  <c r="W53" i="4"/>
  <c r="S53" i="4"/>
  <c r="P53" i="4"/>
  <c r="Q53" i="4" s="1"/>
  <c r="N53" i="4"/>
  <c r="M53" i="4"/>
  <c r="L53" i="4"/>
  <c r="K53" i="4"/>
  <c r="W52" i="4"/>
  <c r="S52" i="4"/>
  <c r="N52" i="4"/>
  <c r="M52" i="4"/>
  <c r="P52" i="4" s="1"/>
  <c r="Q52" i="4" s="1"/>
  <c r="L52" i="4"/>
  <c r="K52" i="4"/>
  <c r="W51" i="4"/>
  <c r="S51" i="4"/>
  <c r="N51" i="4"/>
  <c r="M51" i="4"/>
  <c r="P51" i="4" s="1"/>
  <c r="Q51" i="4" s="1"/>
  <c r="L51" i="4"/>
  <c r="K51" i="4"/>
  <c r="W50" i="4"/>
  <c r="S50" i="4"/>
  <c r="N50" i="4"/>
  <c r="M50" i="4"/>
  <c r="P50" i="4" s="1"/>
  <c r="Q50" i="4" s="1"/>
  <c r="L50" i="4"/>
  <c r="K50" i="4"/>
  <c r="W49" i="4"/>
  <c r="S49" i="4"/>
  <c r="N49" i="4"/>
  <c r="M49" i="4"/>
  <c r="L49" i="4"/>
  <c r="K49" i="4"/>
  <c r="W48" i="4"/>
  <c r="S48" i="4"/>
  <c r="N48" i="4"/>
  <c r="M48" i="4"/>
  <c r="L48" i="4"/>
  <c r="K48" i="4"/>
  <c r="W47" i="4"/>
  <c r="S47" i="4"/>
  <c r="N47" i="4"/>
  <c r="M47" i="4"/>
  <c r="P47" i="4" s="1"/>
  <c r="Q47" i="4" s="1"/>
  <c r="L47" i="4"/>
  <c r="K47" i="4"/>
  <c r="W46" i="4"/>
  <c r="S46" i="4"/>
  <c r="N46" i="4"/>
  <c r="M46" i="4"/>
  <c r="P46" i="4" s="1"/>
  <c r="Q46" i="4" s="1"/>
  <c r="L46" i="4"/>
  <c r="K46" i="4"/>
  <c r="W45" i="4"/>
  <c r="S45" i="4"/>
  <c r="N45" i="4"/>
  <c r="M45" i="4"/>
  <c r="P45" i="4" s="1"/>
  <c r="Q45" i="4" s="1"/>
  <c r="L45" i="4"/>
  <c r="K45" i="4"/>
  <c r="W44" i="4"/>
  <c r="S44" i="4"/>
  <c r="N44" i="4"/>
  <c r="M44" i="4"/>
  <c r="P44" i="4" s="1"/>
  <c r="Q44" i="4" s="1"/>
  <c r="L44" i="4"/>
  <c r="K44" i="4"/>
  <c r="W43" i="4"/>
  <c r="S43" i="4"/>
  <c r="N43" i="4"/>
  <c r="M43" i="4"/>
  <c r="P43" i="4" s="1"/>
  <c r="Q43" i="4" s="1"/>
  <c r="L43" i="4"/>
  <c r="K43" i="4"/>
  <c r="W42" i="4"/>
  <c r="S42" i="4"/>
  <c r="N42" i="4"/>
  <c r="M42" i="4"/>
  <c r="P42" i="4" s="1"/>
  <c r="Q42" i="4" s="1"/>
  <c r="L42" i="4"/>
  <c r="K42" i="4"/>
  <c r="W41" i="4"/>
  <c r="S41" i="4"/>
  <c r="N41" i="4"/>
  <c r="L41" i="4"/>
  <c r="M41" i="4" s="1"/>
  <c r="K41" i="4"/>
  <c r="W40" i="4"/>
  <c r="S40" i="4"/>
  <c r="N40" i="4"/>
  <c r="M40" i="4"/>
  <c r="L40" i="4"/>
  <c r="K40" i="4"/>
  <c r="W39" i="4"/>
  <c r="S39" i="4"/>
  <c r="N39" i="4"/>
  <c r="M39" i="4"/>
  <c r="P39" i="4" s="1"/>
  <c r="Q39" i="4" s="1"/>
  <c r="L39" i="4"/>
  <c r="K39" i="4"/>
  <c r="W38" i="4"/>
  <c r="S38" i="4"/>
  <c r="N38" i="4"/>
  <c r="L38" i="4"/>
  <c r="M38" i="4" s="1"/>
  <c r="P38" i="4" s="1"/>
  <c r="Q38" i="4" s="1"/>
  <c r="K38" i="4"/>
  <c r="W37" i="4"/>
  <c r="S37" i="4"/>
  <c r="N37" i="4"/>
  <c r="L37" i="4"/>
  <c r="M37" i="4" s="1"/>
  <c r="P37" i="4" s="1"/>
  <c r="Q37" i="4" s="1"/>
  <c r="K37" i="4"/>
  <c r="W36" i="4"/>
  <c r="S36" i="4"/>
  <c r="N36" i="4"/>
  <c r="L36" i="4"/>
  <c r="M36" i="4" s="1"/>
  <c r="P36" i="4" s="1"/>
  <c r="Q36" i="4" s="1"/>
  <c r="K36" i="4"/>
  <c r="W35" i="4"/>
  <c r="S35" i="4"/>
  <c r="N35" i="4"/>
  <c r="L35" i="4"/>
  <c r="M35" i="4" s="1"/>
  <c r="P35" i="4" s="1"/>
  <c r="Q35" i="4" s="1"/>
  <c r="K35" i="4"/>
  <c r="W34" i="4"/>
  <c r="S34" i="4"/>
  <c r="N34" i="4"/>
  <c r="L34" i="4"/>
  <c r="M34" i="4" s="1"/>
  <c r="P34" i="4" s="1"/>
  <c r="Q34" i="4" s="1"/>
  <c r="K34" i="4"/>
  <c r="W33" i="4"/>
  <c r="S33" i="4"/>
  <c r="N33" i="4"/>
  <c r="L33" i="4"/>
  <c r="M33" i="4" s="1"/>
  <c r="P33" i="4" s="1"/>
  <c r="Q33" i="4" s="1"/>
  <c r="K33" i="4"/>
  <c r="W32" i="4"/>
  <c r="S32" i="4"/>
  <c r="N32" i="4"/>
  <c r="M32" i="4"/>
  <c r="L32" i="4"/>
  <c r="K32" i="4"/>
  <c r="W31" i="4"/>
  <c r="S31" i="4"/>
  <c r="N31" i="4"/>
  <c r="L31" i="4"/>
  <c r="M31" i="4" s="1"/>
  <c r="P31" i="4" s="1"/>
  <c r="Q31" i="4" s="1"/>
  <c r="K31" i="4"/>
  <c r="W30" i="4"/>
  <c r="S30" i="4"/>
  <c r="N30" i="4"/>
  <c r="M30" i="4"/>
  <c r="P30" i="4" s="1"/>
  <c r="Q30" i="4" s="1"/>
  <c r="L30" i="4"/>
  <c r="K30" i="4"/>
  <c r="W29" i="4"/>
  <c r="S29" i="4"/>
  <c r="N29" i="4"/>
  <c r="M29" i="4"/>
  <c r="P29" i="4" s="1"/>
  <c r="Q29" i="4" s="1"/>
  <c r="L29" i="4"/>
  <c r="K29" i="4"/>
  <c r="W28" i="4"/>
  <c r="S28" i="4"/>
  <c r="N28" i="4"/>
  <c r="L28" i="4"/>
  <c r="M28" i="4" s="1"/>
  <c r="P28" i="4" s="1"/>
  <c r="Q28" i="4" s="1"/>
  <c r="K28" i="4"/>
  <c r="W27" i="4"/>
  <c r="S27" i="4"/>
  <c r="N27" i="4"/>
  <c r="L27" i="4"/>
  <c r="M27" i="4" s="1"/>
  <c r="P27" i="4" s="1"/>
  <c r="Q27" i="4" s="1"/>
  <c r="K27" i="4"/>
  <c r="W26" i="4"/>
  <c r="S26" i="4"/>
  <c r="N26" i="4"/>
  <c r="L26" i="4"/>
  <c r="M26" i="4" s="1"/>
  <c r="P26" i="4" s="1"/>
  <c r="Q26" i="4" s="1"/>
  <c r="K26" i="4"/>
  <c r="W25" i="4"/>
  <c r="S25" i="4"/>
  <c r="N25" i="4"/>
  <c r="L25" i="4"/>
  <c r="M25" i="4" s="1"/>
  <c r="K25" i="4"/>
  <c r="W24" i="4"/>
  <c r="S24" i="4"/>
  <c r="N24" i="4"/>
  <c r="M24" i="4"/>
  <c r="P24" i="4" s="1"/>
  <c r="Q24" i="4" s="1"/>
  <c r="L24" i="4"/>
  <c r="K24" i="4"/>
  <c r="W23" i="4"/>
  <c r="S23" i="4"/>
  <c r="N23" i="4"/>
  <c r="L23" i="4"/>
  <c r="M23" i="4" s="1"/>
  <c r="P23" i="4" s="1"/>
  <c r="Q23" i="4" s="1"/>
  <c r="K23" i="4"/>
  <c r="W22" i="4"/>
  <c r="S22" i="4"/>
  <c r="N22" i="4"/>
  <c r="M22" i="4"/>
  <c r="P22" i="4" s="1"/>
  <c r="Q22" i="4" s="1"/>
  <c r="L22" i="4"/>
  <c r="K22" i="4"/>
  <c r="W21" i="4"/>
  <c r="S21" i="4"/>
  <c r="P21" i="4"/>
  <c r="Q21" i="4" s="1"/>
  <c r="N21" i="4"/>
  <c r="M21" i="4"/>
  <c r="L21" i="4"/>
  <c r="K21" i="4"/>
  <c r="W20" i="4"/>
  <c r="S20" i="4"/>
  <c r="N20" i="4"/>
  <c r="M20" i="4"/>
  <c r="P20" i="4" s="1"/>
  <c r="Q20" i="4" s="1"/>
  <c r="L20" i="4"/>
  <c r="K20" i="4"/>
  <c r="W19" i="4"/>
  <c r="S19" i="4"/>
  <c r="P19" i="4"/>
  <c r="Q19" i="4" s="1"/>
  <c r="N19" i="4"/>
  <c r="M19" i="4"/>
  <c r="L19" i="4"/>
  <c r="K19" i="4"/>
  <c r="W18" i="4"/>
  <c r="S18" i="4"/>
  <c r="N18" i="4"/>
  <c r="M18" i="4"/>
  <c r="P18" i="4" s="1"/>
  <c r="Q18" i="4" s="1"/>
  <c r="L18" i="4"/>
  <c r="K18" i="4"/>
  <c r="W17" i="4"/>
  <c r="S17" i="4"/>
  <c r="N17" i="4"/>
  <c r="M17" i="4"/>
  <c r="L17" i="4"/>
  <c r="K17" i="4"/>
  <c r="W16" i="4"/>
  <c r="S16" i="4"/>
  <c r="N16" i="4"/>
  <c r="M16" i="4"/>
  <c r="L16" i="4"/>
  <c r="K16" i="4"/>
  <c r="W15" i="4"/>
  <c r="S15" i="4"/>
  <c r="N15" i="4"/>
  <c r="M15" i="4"/>
  <c r="P15" i="4" s="1"/>
  <c r="Q15" i="4" s="1"/>
  <c r="L15" i="4"/>
  <c r="K15" i="4"/>
  <c r="W14" i="4"/>
  <c r="S14" i="4"/>
  <c r="P14" i="4"/>
  <c r="Q14" i="4" s="1"/>
  <c r="N14" i="4"/>
  <c r="M14" i="4"/>
  <c r="L14" i="4"/>
  <c r="K14" i="4"/>
  <c r="W13" i="4"/>
  <c r="S13" i="4"/>
  <c r="P13" i="4"/>
  <c r="Q13" i="4" s="1"/>
  <c r="N13" i="4"/>
  <c r="M13" i="4"/>
  <c r="L13" i="4"/>
  <c r="K13" i="4"/>
  <c r="W12" i="4"/>
  <c r="S12" i="4"/>
  <c r="N12" i="4"/>
  <c r="L12" i="4"/>
  <c r="M12" i="4" s="1"/>
  <c r="P12" i="4" s="1"/>
  <c r="Q12" i="4" s="1"/>
  <c r="K12" i="4"/>
  <c r="W11" i="4"/>
  <c r="S11" i="4"/>
  <c r="N11" i="4"/>
  <c r="L11" i="4"/>
  <c r="M11" i="4" s="1"/>
  <c r="P11" i="4" s="1"/>
  <c r="Q11" i="4" s="1"/>
  <c r="K11" i="4"/>
  <c r="W10" i="4"/>
  <c r="S10" i="4"/>
  <c r="N10" i="4"/>
  <c r="L10" i="4"/>
  <c r="M10" i="4" s="1"/>
  <c r="P10" i="4" s="1"/>
  <c r="Q10" i="4" s="1"/>
  <c r="K10" i="4"/>
  <c r="W9" i="4"/>
  <c r="S9" i="4"/>
  <c r="N9" i="4"/>
  <c r="L9" i="4"/>
  <c r="M9" i="4" s="1"/>
  <c r="K9" i="4"/>
  <c r="W8" i="4"/>
  <c r="S8" i="4"/>
  <c r="N8" i="4"/>
  <c r="L8" i="4"/>
  <c r="M8" i="4" s="1"/>
  <c r="P8" i="4" s="1"/>
  <c r="Q8" i="4" s="1"/>
  <c r="K8" i="4"/>
  <c r="W7" i="4"/>
  <c r="S7" i="4"/>
  <c r="N7" i="4"/>
  <c r="L7" i="4"/>
  <c r="M7" i="4" s="1"/>
  <c r="P7" i="4" s="1"/>
  <c r="Q7" i="4" s="1"/>
  <c r="K7" i="4"/>
  <c r="W6" i="4"/>
  <c r="S6" i="4"/>
  <c r="N6" i="4"/>
  <c r="L6" i="4"/>
  <c r="M6" i="4" s="1"/>
  <c r="P6" i="4" s="1"/>
  <c r="Q6" i="4" s="1"/>
  <c r="K6" i="4"/>
  <c r="W5" i="4"/>
  <c r="S5" i="4"/>
  <c r="N5" i="4"/>
  <c r="L5" i="4"/>
  <c r="M5" i="4" s="1"/>
  <c r="P5" i="4" s="1"/>
  <c r="Q5" i="4" s="1"/>
  <c r="K5" i="4"/>
  <c r="W4" i="4"/>
  <c r="S4" i="4"/>
  <c r="N4" i="4"/>
  <c r="L4" i="4"/>
  <c r="M4" i="4" s="1"/>
  <c r="P4" i="4" s="1"/>
  <c r="Q4" i="4" s="1"/>
  <c r="K4" i="4"/>
  <c r="W3" i="4"/>
  <c r="S3" i="4"/>
  <c r="N3" i="4"/>
  <c r="L3" i="4"/>
  <c r="M3" i="4" s="1"/>
  <c r="P3" i="4" s="1"/>
  <c r="Q3" i="4" s="1"/>
  <c r="K3" i="4"/>
  <c r="W2" i="4"/>
  <c r="S2" i="4"/>
  <c r="U2" i="4" s="1"/>
  <c r="N2" i="4"/>
  <c r="L2" i="4"/>
  <c r="M2" i="4" s="1"/>
  <c r="Q2" i="4" s="1"/>
  <c r="R2" i="4" s="1"/>
  <c r="K2" i="4"/>
  <c r="K22" i="3"/>
  <c r="L22" i="3"/>
  <c r="M22" i="3" s="1"/>
  <c r="O22" i="3" s="1"/>
  <c r="P22" i="3" s="1"/>
  <c r="Q22" i="3" s="1"/>
  <c r="N22" i="3"/>
  <c r="K23" i="3"/>
  <c r="L23" i="3"/>
  <c r="M23" i="3" s="1"/>
  <c r="O23" i="3" s="1"/>
  <c r="P23" i="3" s="1"/>
  <c r="Q23" i="3" s="1"/>
  <c r="N23" i="3"/>
  <c r="K24" i="3"/>
  <c r="L24" i="3"/>
  <c r="M24" i="3" s="1"/>
  <c r="O24" i="3" s="1"/>
  <c r="P24" i="3" s="1"/>
  <c r="Q24" i="3" s="1"/>
  <c r="N24" i="3"/>
  <c r="K25" i="3"/>
  <c r="L25" i="3"/>
  <c r="M25" i="3" s="1"/>
  <c r="O25" i="3" s="1"/>
  <c r="P25" i="3" s="1"/>
  <c r="Q25" i="3" s="1"/>
  <c r="N25" i="3"/>
  <c r="K26" i="3"/>
  <c r="L26" i="3"/>
  <c r="M26" i="3" s="1"/>
  <c r="O26" i="3" s="1"/>
  <c r="P26" i="3" s="1"/>
  <c r="Q26" i="3" s="1"/>
  <c r="N26" i="3"/>
  <c r="K27" i="3"/>
  <c r="L27" i="3"/>
  <c r="M27" i="3" s="1"/>
  <c r="O27" i="3" s="1"/>
  <c r="P27" i="3" s="1"/>
  <c r="Q27" i="3" s="1"/>
  <c r="N27" i="3"/>
  <c r="K28" i="3"/>
  <c r="L28" i="3"/>
  <c r="M28" i="3" s="1"/>
  <c r="O28" i="3" s="1"/>
  <c r="P28" i="3" s="1"/>
  <c r="Q28" i="3" s="1"/>
  <c r="N28" i="3"/>
  <c r="K29" i="3"/>
  <c r="L29" i="3"/>
  <c r="M29" i="3" s="1"/>
  <c r="O29" i="3" s="1"/>
  <c r="P29" i="3" s="1"/>
  <c r="Q29" i="3" s="1"/>
  <c r="N29" i="3"/>
  <c r="K30" i="3"/>
  <c r="L30" i="3"/>
  <c r="M30" i="3" s="1"/>
  <c r="O30" i="3" s="1"/>
  <c r="P30" i="3" s="1"/>
  <c r="Q30" i="3" s="1"/>
  <c r="N30" i="3"/>
  <c r="K31" i="3"/>
  <c r="L31" i="3"/>
  <c r="M31" i="3" s="1"/>
  <c r="O31" i="3" s="1"/>
  <c r="P31" i="3" s="1"/>
  <c r="Q31" i="3" s="1"/>
  <c r="N31" i="3"/>
  <c r="K32" i="3"/>
  <c r="L32" i="3"/>
  <c r="M32" i="3" s="1"/>
  <c r="O32" i="3" s="1"/>
  <c r="P32" i="3" s="1"/>
  <c r="Q32" i="3" s="1"/>
  <c r="N32" i="3"/>
  <c r="K33" i="3"/>
  <c r="L33" i="3"/>
  <c r="M33" i="3" s="1"/>
  <c r="O33" i="3" s="1"/>
  <c r="P33" i="3" s="1"/>
  <c r="Q33" i="3" s="1"/>
  <c r="N33" i="3"/>
  <c r="K34" i="3"/>
  <c r="L34" i="3"/>
  <c r="M34" i="3" s="1"/>
  <c r="O34" i="3" s="1"/>
  <c r="P34" i="3" s="1"/>
  <c r="Q34" i="3" s="1"/>
  <c r="N34" i="3"/>
  <c r="K35" i="3"/>
  <c r="L35" i="3"/>
  <c r="M35" i="3" s="1"/>
  <c r="O35" i="3" s="1"/>
  <c r="P35" i="3" s="1"/>
  <c r="Q35" i="3" s="1"/>
  <c r="N35" i="3"/>
  <c r="K36" i="3"/>
  <c r="L36" i="3"/>
  <c r="M36" i="3" s="1"/>
  <c r="O36" i="3" s="1"/>
  <c r="P36" i="3" s="1"/>
  <c r="Q36" i="3" s="1"/>
  <c r="N36" i="3"/>
  <c r="K37" i="3"/>
  <c r="L37" i="3"/>
  <c r="M37" i="3" s="1"/>
  <c r="O37" i="3" s="1"/>
  <c r="P37" i="3" s="1"/>
  <c r="Q37" i="3" s="1"/>
  <c r="N37" i="3"/>
  <c r="K38" i="3"/>
  <c r="L38" i="3"/>
  <c r="M38" i="3" s="1"/>
  <c r="O38" i="3" s="1"/>
  <c r="P38" i="3" s="1"/>
  <c r="Q38" i="3" s="1"/>
  <c r="N38" i="3"/>
  <c r="K39" i="3"/>
  <c r="L39" i="3"/>
  <c r="M39" i="3" s="1"/>
  <c r="O39" i="3" s="1"/>
  <c r="P39" i="3" s="1"/>
  <c r="Q39" i="3" s="1"/>
  <c r="N39" i="3"/>
  <c r="K40" i="3"/>
  <c r="L40" i="3"/>
  <c r="M40" i="3" s="1"/>
  <c r="O40" i="3" s="1"/>
  <c r="P40" i="3" s="1"/>
  <c r="Q40" i="3" s="1"/>
  <c r="N40" i="3"/>
  <c r="K41" i="3"/>
  <c r="L41" i="3"/>
  <c r="M41" i="3" s="1"/>
  <c r="O41" i="3" s="1"/>
  <c r="P41" i="3" s="1"/>
  <c r="Q41" i="3" s="1"/>
  <c r="N41" i="3"/>
  <c r="K42" i="3"/>
  <c r="L42" i="3"/>
  <c r="M42" i="3" s="1"/>
  <c r="O42" i="3" s="1"/>
  <c r="P42" i="3" s="1"/>
  <c r="Q42" i="3" s="1"/>
  <c r="N42" i="3"/>
  <c r="K43" i="3"/>
  <c r="L43" i="3"/>
  <c r="M43" i="3" s="1"/>
  <c r="O43" i="3" s="1"/>
  <c r="P43" i="3" s="1"/>
  <c r="Q43" i="3" s="1"/>
  <c r="N43" i="3"/>
  <c r="K44" i="3"/>
  <c r="L44" i="3"/>
  <c r="M44" i="3" s="1"/>
  <c r="O44" i="3" s="1"/>
  <c r="P44" i="3" s="1"/>
  <c r="Q44" i="3" s="1"/>
  <c r="N44" i="3"/>
  <c r="K45" i="3"/>
  <c r="L45" i="3"/>
  <c r="M45" i="3" s="1"/>
  <c r="O45" i="3" s="1"/>
  <c r="P45" i="3" s="1"/>
  <c r="Q45" i="3" s="1"/>
  <c r="N45" i="3"/>
  <c r="K46" i="3"/>
  <c r="L46" i="3"/>
  <c r="M46" i="3" s="1"/>
  <c r="O46" i="3" s="1"/>
  <c r="P46" i="3" s="1"/>
  <c r="Q46" i="3" s="1"/>
  <c r="N46" i="3"/>
  <c r="K47" i="3"/>
  <c r="L47" i="3"/>
  <c r="M47" i="3" s="1"/>
  <c r="O47" i="3" s="1"/>
  <c r="P47" i="3" s="1"/>
  <c r="Q47" i="3" s="1"/>
  <c r="N47" i="3"/>
  <c r="K48" i="3"/>
  <c r="L48" i="3"/>
  <c r="M48" i="3" s="1"/>
  <c r="O48" i="3" s="1"/>
  <c r="P48" i="3" s="1"/>
  <c r="Q48" i="3" s="1"/>
  <c r="N48" i="3"/>
  <c r="K49" i="3"/>
  <c r="L49" i="3"/>
  <c r="M49" i="3" s="1"/>
  <c r="O49" i="3" s="1"/>
  <c r="P49" i="3" s="1"/>
  <c r="Q49" i="3" s="1"/>
  <c r="N49" i="3"/>
  <c r="K50" i="3"/>
  <c r="L50" i="3"/>
  <c r="M50" i="3" s="1"/>
  <c r="O50" i="3" s="1"/>
  <c r="P50" i="3" s="1"/>
  <c r="Q50" i="3" s="1"/>
  <c r="N50" i="3"/>
  <c r="K51" i="3"/>
  <c r="L51" i="3"/>
  <c r="M51" i="3" s="1"/>
  <c r="O51" i="3" s="1"/>
  <c r="P51" i="3" s="1"/>
  <c r="Q51" i="3" s="1"/>
  <c r="N51" i="3"/>
  <c r="K52" i="3"/>
  <c r="L52" i="3"/>
  <c r="M52" i="3" s="1"/>
  <c r="O52" i="3" s="1"/>
  <c r="P52" i="3" s="1"/>
  <c r="Q52" i="3" s="1"/>
  <c r="N52" i="3"/>
  <c r="K53" i="3"/>
  <c r="L53" i="3"/>
  <c r="M53" i="3" s="1"/>
  <c r="O53" i="3" s="1"/>
  <c r="P53" i="3" s="1"/>
  <c r="Q53" i="3" s="1"/>
  <c r="N53" i="3"/>
  <c r="K54" i="3"/>
  <c r="L54" i="3"/>
  <c r="M54" i="3" s="1"/>
  <c r="O54" i="3" s="1"/>
  <c r="P54" i="3" s="1"/>
  <c r="Q54" i="3" s="1"/>
  <c r="N54" i="3"/>
  <c r="K55" i="3"/>
  <c r="L55" i="3"/>
  <c r="M55" i="3" s="1"/>
  <c r="O55" i="3" s="1"/>
  <c r="N55" i="3"/>
  <c r="K56" i="3"/>
  <c r="L56" i="3"/>
  <c r="M56" i="3" s="1"/>
  <c r="O56" i="3" s="1"/>
  <c r="P56" i="3" s="1"/>
  <c r="Q56" i="3" s="1"/>
  <c r="N56" i="3"/>
  <c r="K57" i="3"/>
  <c r="L57" i="3"/>
  <c r="M57" i="3" s="1"/>
  <c r="O57" i="3" s="1"/>
  <c r="N57" i="3"/>
  <c r="K58" i="3"/>
  <c r="L58" i="3"/>
  <c r="M58" i="3" s="1"/>
  <c r="O58" i="3" s="1"/>
  <c r="P58" i="3" s="1"/>
  <c r="Q58" i="3" s="1"/>
  <c r="N58" i="3"/>
  <c r="K59" i="3"/>
  <c r="L59" i="3"/>
  <c r="M59" i="3" s="1"/>
  <c r="O59" i="3" s="1"/>
  <c r="N59" i="3"/>
  <c r="K60" i="3"/>
  <c r="L60" i="3"/>
  <c r="M60" i="3" s="1"/>
  <c r="O60" i="3" s="1"/>
  <c r="P60" i="3" s="1"/>
  <c r="Q60" i="3" s="1"/>
  <c r="N60" i="3"/>
  <c r="K61" i="3"/>
  <c r="L61" i="3"/>
  <c r="M61" i="3" s="1"/>
  <c r="O61" i="3" s="1"/>
  <c r="N61" i="3"/>
  <c r="K62" i="3"/>
  <c r="L62" i="3"/>
  <c r="M62" i="3" s="1"/>
  <c r="O62" i="3" s="1"/>
  <c r="P62" i="3" s="1"/>
  <c r="Q62" i="3" s="1"/>
  <c r="N62" i="3"/>
  <c r="K63" i="3"/>
  <c r="L63" i="3"/>
  <c r="M63" i="3" s="1"/>
  <c r="O63" i="3" s="1"/>
  <c r="N63" i="3"/>
  <c r="K64" i="3"/>
  <c r="L64" i="3"/>
  <c r="M64" i="3" s="1"/>
  <c r="O64" i="3" s="1"/>
  <c r="P64" i="3" s="1"/>
  <c r="Q64" i="3" s="1"/>
  <c r="N64" i="3"/>
  <c r="K65" i="3"/>
  <c r="L65" i="3"/>
  <c r="M65" i="3" s="1"/>
  <c r="O65" i="3" s="1"/>
  <c r="N65" i="3"/>
  <c r="K66" i="3"/>
  <c r="L66" i="3"/>
  <c r="M66" i="3" s="1"/>
  <c r="O66" i="3" s="1"/>
  <c r="P66" i="3" s="1"/>
  <c r="Q66" i="3" s="1"/>
  <c r="N66" i="3"/>
  <c r="K67" i="3"/>
  <c r="L67" i="3"/>
  <c r="M67" i="3" s="1"/>
  <c r="O67" i="3" s="1"/>
  <c r="N67" i="3"/>
  <c r="K68" i="3"/>
  <c r="L68" i="3"/>
  <c r="M68" i="3" s="1"/>
  <c r="O68" i="3" s="1"/>
  <c r="P68" i="3" s="1"/>
  <c r="Q68" i="3" s="1"/>
  <c r="N68" i="3"/>
  <c r="K69" i="3"/>
  <c r="L69" i="3"/>
  <c r="M69" i="3" s="1"/>
  <c r="O69" i="3" s="1"/>
  <c r="N69" i="3"/>
  <c r="K70" i="3"/>
  <c r="L70" i="3"/>
  <c r="M70" i="3" s="1"/>
  <c r="O70" i="3" s="1"/>
  <c r="P70" i="3" s="1"/>
  <c r="Q70" i="3" s="1"/>
  <c r="N70" i="3"/>
  <c r="K71" i="3"/>
  <c r="L71" i="3"/>
  <c r="M71" i="3" s="1"/>
  <c r="O71" i="3" s="1"/>
  <c r="N71" i="3"/>
  <c r="K72" i="3"/>
  <c r="L72" i="3"/>
  <c r="M72" i="3" s="1"/>
  <c r="O72" i="3" s="1"/>
  <c r="P72" i="3" s="1"/>
  <c r="Q72" i="3" s="1"/>
  <c r="N72" i="3"/>
  <c r="K73" i="3"/>
  <c r="L73" i="3"/>
  <c r="M73" i="3" s="1"/>
  <c r="O73" i="3" s="1"/>
  <c r="N73" i="3"/>
  <c r="K74" i="3"/>
  <c r="L74" i="3"/>
  <c r="M74" i="3" s="1"/>
  <c r="O74" i="3" s="1"/>
  <c r="P74" i="3" s="1"/>
  <c r="Q74" i="3" s="1"/>
  <c r="N74" i="3"/>
  <c r="K75" i="3"/>
  <c r="L75" i="3"/>
  <c r="M75" i="3" s="1"/>
  <c r="O75" i="3" s="1"/>
  <c r="N75" i="3"/>
  <c r="K76" i="3"/>
  <c r="L76" i="3"/>
  <c r="M76" i="3" s="1"/>
  <c r="O76" i="3" s="1"/>
  <c r="P76" i="3" s="1"/>
  <c r="Q76" i="3" s="1"/>
  <c r="N76" i="3"/>
  <c r="K77" i="3"/>
  <c r="L77" i="3"/>
  <c r="M77" i="3" s="1"/>
  <c r="O77" i="3" s="1"/>
  <c r="N77" i="3"/>
  <c r="K78" i="3"/>
  <c r="L78" i="3"/>
  <c r="M78" i="3" s="1"/>
  <c r="O78" i="3" s="1"/>
  <c r="P78" i="3" s="1"/>
  <c r="Q78" i="3" s="1"/>
  <c r="N78" i="3"/>
  <c r="K79" i="3"/>
  <c r="L79" i="3"/>
  <c r="M79" i="3" s="1"/>
  <c r="O79" i="3" s="1"/>
  <c r="N79" i="3"/>
  <c r="K80" i="3"/>
  <c r="L80" i="3"/>
  <c r="M80" i="3" s="1"/>
  <c r="O80" i="3" s="1"/>
  <c r="P80" i="3" s="1"/>
  <c r="Q80" i="3" s="1"/>
  <c r="N80" i="3"/>
  <c r="K81" i="3"/>
  <c r="L81" i="3"/>
  <c r="M81" i="3" s="1"/>
  <c r="O81" i="3" s="1"/>
  <c r="N81" i="3"/>
  <c r="K82" i="3"/>
  <c r="L82" i="3"/>
  <c r="M82" i="3" s="1"/>
  <c r="O82" i="3" s="1"/>
  <c r="P82" i="3" s="1"/>
  <c r="Q82" i="3" s="1"/>
  <c r="N82" i="3"/>
  <c r="K83" i="3"/>
  <c r="L83" i="3"/>
  <c r="M83" i="3" s="1"/>
  <c r="O83" i="3" s="1"/>
  <c r="N83" i="3"/>
  <c r="K84" i="3"/>
  <c r="L84" i="3"/>
  <c r="M84" i="3" s="1"/>
  <c r="O84" i="3" s="1"/>
  <c r="P84" i="3" s="1"/>
  <c r="Q84" i="3" s="1"/>
  <c r="N84" i="3"/>
  <c r="K85" i="3"/>
  <c r="L85" i="3"/>
  <c r="M85" i="3" s="1"/>
  <c r="O85" i="3" s="1"/>
  <c r="N85" i="3"/>
  <c r="K86" i="3"/>
  <c r="L86" i="3"/>
  <c r="M86" i="3" s="1"/>
  <c r="O86" i="3" s="1"/>
  <c r="P86" i="3" s="1"/>
  <c r="Q86" i="3" s="1"/>
  <c r="N86" i="3"/>
  <c r="K87" i="3"/>
  <c r="L87" i="3"/>
  <c r="M87" i="3" s="1"/>
  <c r="O87" i="3" s="1"/>
  <c r="N87" i="3"/>
  <c r="K88" i="3"/>
  <c r="L88" i="3"/>
  <c r="M88" i="3" s="1"/>
  <c r="O88" i="3" s="1"/>
  <c r="P88" i="3" s="1"/>
  <c r="Q88" i="3" s="1"/>
  <c r="N88" i="3"/>
  <c r="K89" i="3"/>
  <c r="L89" i="3"/>
  <c r="M89" i="3" s="1"/>
  <c r="O89" i="3" s="1"/>
  <c r="N89" i="3"/>
  <c r="K90" i="3"/>
  <c r="L90" i="3"/>
  <c r="M90" i="3" s="1"/>
  <c r="O90" i="3" s="1"/>
  <c r="P90" i="3" s="1"/>
  <c r="Q90" i="3" s="1"/>
  <c r="N90" i="3"/>
  <c r="K91" i="3"/>
  <c r="L91" i="3"/>
  <c r="M91" i="3" s="1"/>
  <c r="O91" i="3" s="1"/>
  <c r="N91" i="3"/>
  <c r="K92" i="3"/>
  <c r="L92" i="3"/>
  <c r="M92" i="3" s="1"/>
  <c r="O92" i="3" s="1"/>
  <c r="P92" i="3" s="1"/>
  <c r="Q92" i="3" s="1"/>
  <c r="N92" i="3"/>
  <c r="K93" i="3"/>
  <c r="L93" i="3"/>
  <c r="M93" i="3" s="1"/>
  <c r="O93" i="3" s="1"/>
  <c r="N93" i="3"/>
  <c r="K94" i="3"/>
  <c r="L94" i="3"/>
  <c r="M94" i="3" s="1"/>
  <c r="O94" i="3" s="1"/>
  <c r="P94" i="3" s="1"/>
  <c r="Q94" i="3" s="1"/>
  <c r="N94" i="3"/>
  <c r="K95" i="3"/>
  <c r="L95" i="3"/>
  <c r="M95" i="3" s="1"/>
  <c r="O95" i="3" s="1"/>
  <c r="N95" i="3"/>
  <c r="K96" i="3"/>
  <c r="L96" i="3"/>
  <c r="M96" i="3" s="1"/>
  <c r="O96" i="3" s="1"/>
  <c r="P96" i="3" s="1"/>
  <c r="Q96" i="3" s="1"/>
  <c r="N96" i="3"/>
  <c r="K97" i="3"/>
  <c r="L97" i="3"/>
  <c r="M97" i="3" s="1"/>
  <c r="O97" i="3" s="1"/>
  <c r="N97" i="3"/>
  <c r="K98" i="3"/>
  <c r="L98" i="3"/>
  <c r="M98" i="3" s="1"/>
  <c r="O98" i="3" s="1"/>
  <c r="P98" i="3" s="1"/>
  <c r="Q98" i="3" s="1"/>
  <c r="N98" i="3"/>
  <c r="K99" i="3"/>
  <c r="L99" i="3"/>
  <c r="M99" i="3" s="1"/>
  <c r="O99" i="3" s="1"/>
  <c r="P99" i="3" s="1"/>
  <c r="Q99" i="3" s="1"/>
  <c r="N99" i="3"/>
  <c r="K100" i="3"/>
  <c r="L100" i="3"/>
  <c r="M100" i="3" s="1"/>
  <c r="O100" i="3" s="1"/>
  <c r="P100" i="3" s="1"/>
  <c r="Q100" i="3" s="1"/>
  <c r="N100" i="3"/>
  <c r="K101" i="3"/>
  <c r="L101" i="3"/>
  <c r="M101" i="3" s="1"/>
  <c r="O101" i="3" s="1"/>
  <c r="N101" i="3"/>
  <c r="P101" i="3"/>
  <c r="Q101" i="3" s="1"/>
  <c r="K102" i="3"/>
  <c r="L102" i="3"/>
  <c r="M102" i="3" s="1"/>
  <c r="O102" i="3" s="1"/>
  <c r="N102" i="3"/>
  <c r="P102" i="3"/>
  <c r="Q102" i="3" s="1"/>
  <c r="K103" i="3"/>
  <c r="L103" i="3"/>
  <c r="M103" i="3" s="1"/>
  <c r="O103" i="3" s="1"/>
  <c r="P103" i="3" s="1"/>
  <c r="Q103" i="3" s="1"/>
  <c r="N103" i="3"/>
  <c r="K104" i="3"/>
  <c r="L104" i="3"/>
  <c r="M104" i="3" s="1"/>
  <c r="O104" i="3" s="1"/>
  <c r="P104" i="3" s="1"/>
  <c r="Q104" i="3" s="1"/>
  <c r="N104" i="3"/>
  <c r="K105" i="3"/>
  <c r="L105" i="3"/>
  <c r="M105" i="3" s="1"/>
  <c r="O105" i="3" s="1"/>
  <c r="P105" i="3" s="1"/>
  <c r="Q105" i="3" s="1"/>
  <c r="N105" i="3"/>
  <c r="K106" i="3"/>
  <c r="L106" i="3"/>
  <c r="M106" i="3"/>
  <c r="O106" i="3" s="1"/>
  <c r="N106" i="3"/>
  <c r="P106" i="3"/>
  <c r="Q106" i="3"/>
  <c r="K107" i="3"/>
  <c r="L107" i="3"/>
  <c r="M107" i="3" s="1"/>
  <c r="O107" i="3" s="1"/>
  <c r="P107" i="3" s="1"/>
  <c r="Q107" i="3" s="1"/>
  <c r="N107" i="3"/>
  <c r="K108" i="3"/>
  <c r="L108" i="3"/>
  <c r="M108" i="3" s="1"/>
  <c r="O108" i="3" s="1"/>
  <c r="P108" i="3" s="1"/>
  <c r="Q108" i="3" s="1"/>
  <c r="N108" i="3"/>
  <c r="K109" i="3"/>
  <c r="L109" i="3"/>
  <c r="M109" i="3" s="1"/>
  <c r="O109" i="3" s="1"/>
  <c r="P109" i="3" s="1"/>
  <c r="Q109" i="3" s="1"/>
  <c r="N109" i="3"/>
  <c r="K110" i="3"/>
  <c r="L110" i="3"/>
  <c r="M110" i="3" s="1"/>
  <c r="O110" i="3" s="1"/>
  <c r="P110" i="3" s="1"/>
  <c r="Q110" i="3" s="1"/>
  <c r="N110" i="3"/>
  <c r="K111" i="3"/>
  <c r="L111" i="3"/>
  <c r="M111" i="3" s="1"/>
  <c r="O111" i="3" s="1"/>
  <c r="P111" i="3" s="1"/>
  <c r="Q111" i="3" s="1"/>
  <c r="N111" i="3"/>
  <c r="K112" i="3"/>
  <c r="L112" i="3"/>
  <c r="M112" i="3" s="1"/>
  <c r="O112" i="3" s="1"/>
  <c r="P112" i="3" s="1"/>
  <c r="Q112" i="3" s="1"/>
  <c r="N112" i="3"/>
  <c r="K113" i="3"/>
  <c r="L113" i="3"/>
  <c r="M113" i="3" s="1"/>
  <c r="O113" i="3" s="1"/>
  <c r="P113" i="3" s="1"/>
  <c r="Q113" i="3" s="1"/>
  <c r="N113" i="3"/>
  <c r="K114" i="3"/>
  <c r="L114" i="3"/>
  <c r="M114" i="3" s="1"/>
  <c r="O114" i="3" s="1"/>
  <c r="P114" i="3" s="1"/>
  <c r="Q114" i="3" s="1"/>
  <c r="N114" i="3"/>
  <c r="K115" i="3"/>
  <c r="L115" i="3"/>
  <c r="M115" i="3" s="1"/>
  <c r="O115" i="3" s="1"/>
  <c r="P115" i="3" s="1"/>
  <c r="Q115" i="3" s="1"/>
  <c r="N115" i="3"/>
  <c r="K116" i="3"/>
  <c r="L116" i="3"/>
  <c r="M116" i="3" s="1"/>
  <c r="O116" i="3" s="1"/>
  <c r="P116" i="3" s="1"/>
  <c r="Q116" i="3" s="1"/>
  <c r="N116" i="3"/>
  <c r="K117" i="3"/>
  <c r="L117" i="3"/>
  <c r="M117" i="3" s="1"/>
  <c r="O117" i="3" s="1"/>
  <c r="P117" i="3" s="1"/>
  <c r="Q117" i="3" s="1"/>
  <c r="N117" i="3"/>
  <c r="K118" i="3"/>
  <c r="L118" i="3"/>
  <c r="M118" i="3" s="1"/>
  <c r="O118" i="3" s="1"/>
  <c r="P118" i="3" s="1"/>
  <c r="Q118" i="3" s="1"/>
  <c r="N118" i="3"/>
  <c r="K119" i="3"/>
  <c r="L119" i="3"/>
  <c r="M119" i="3" s="1"/>
  <c r="O119" i="3" s="1"/>
  <c r="P119" i="3" s="1"/>
  <c r="Q119" i="3" s="1"/>
  <c r="N119" i="3"/>
  <c r="K120" i="3"/>
  <c r="L120" i="3"/>
  <c r="M120" i="3" s="1"/>
  <c r="O120" i="3" s="1"/>
  <c r="P120" i="3" s="1"/>
  <c r="Q120" i="3" s="1"/>
  <c r="N120" i="3"/>
  <c r="K121" i="3"/>
  <c r="L121" i="3"/>
  <c r="M121" i="3" s="1"/>
  <c r="O121" i="3" s="1"/>
  <c r="P121" i="3" s="1"/>
  <c r="Q121" i="3" s="1"/>
  <c r="N121" i="3"/>
  <c r="K122" i="3"/>
  <c r="L122" i="3"/>
  <c r="M122" i="3" s="1"/>
  <c r="O122" i="3" s="1"/>
  <c r="P122" i="3" s="1"/>
  <c r="Q122" i="3" s="1"/>
  <c r="N122" i="3"/>
  <c r="K123" i="3"/>
  <c r="L123" i="3"/>
  <c r="M123" i="3" s="1"/>
  <c r="O123" i="3" s="1"/>
  <c r="P123" i="3" s="1"/>
  <c r="Q123" i="3" s="1"/>
  <c r="N123" i="3"/>
  <c r="K124" i="3"/>
  <c r="L124" i="3"/>
  <c r="M124" i="3" s="1"/>
  <c r="O124" i="3" s="1"/>
  <c r="P124" i="3" s="1"/>
  <c r="Q124" i="3" s="1"/>
  <c r="N124" i="3"/>
  <c r="K125" i="3"/>
  <c r="L125" i="3"/>
  <c r="M125" i="3" s="1"/>
  <c r="O125" i="3" s="1"/>
  <c r="P125" i="3" s="1"/>
  <c r="Q125" i="3" s="1"/>
  <c r="N125" i="3"/>
  <c r="K126" i="3"/>
  <c r="L126" i="3"/>
  <c r="M126" i="3" s="1"/>
  <c r="O126" i="3" s="1"/>
  <c r="P126" i="3" s="1"/>
  <c r="Q126" i="3" s="1"/>
  <c r="N126" i="3"/>
  <c r="K127" i="3"/>
  <c r="L127" i="3"/>
  <c r="M127" i="3" s="1"/>
  <c r="O127" i="3" s="1"/>
  <c r="P127" i="3" s="1"/>
  <c r="Q127" i="3" s="1"/>
  <c r="N127" i="3"/>
  <c r="K128" i="3"/>
  <c r="L128" i="3"/>
  <c r="M128" i="3" s="1"/>
  <c r="O128" i="3" s="1"/>
  <c r="P128" i="3" s="1"/>
  <c r="Q128" i="3" s="1"/>
  <c r="N128" i="3"/>
  <c r="K129" i="3"/>
  <c r="L129" i="3"/>
  <c r="M129" i="3" s="1"/>
  <c r="O129" i="3" s="1"/>
  <c r="P129" i="3" s="1"/>
  <c r="Q129" i="3" s="1"/>
  <c r="N129" i="3"/>
  <c r="K130" i="3"/>
  <c r="L130" i="3"/>
  <c r="M130" i="3" s="1"/>
  <c r="O130" i="3" s="1"/>
  <c r="P130" i="3" s="1"/>
  <c r="Q130" i="3" s="1"/>
  <c r="N130" i="3"/>
  <c r="K131" i="3"/>
  <c r="L131" i="3"/>
  <c r="M131" i="3" s="1"/>
  <c r="O131" i="3" s="1"/>
  <c r="P131" i="3" s="1"/>
  <c r="Q131" i="3" s="1"/>
  <c r="N131" i="3"/>
  <c r="K132" i="3"/>
  <c r="L132" i="3"/>
  <c r="M132" i="3" s="1"/>
  <c r="O132" i="3" s="1"/>
  <c r="P132" i="3" s="1"/>
  <c r="Q132" i="3" s="1"/>
  <c r="N132" i="3"/>
  <c r="K133" i="3"/>
  <c r="L133" i="3"/>
  <c r="M133" i="3" s="1"/>
  <c r="O133" i="3" s="1"/>
  <c r="P133" i="3" s="1"/>
  <c r="Q133" i="3" s="1"/>
  <c r="N133" i="3"/>
  <c r="K134" i="3"/>
  <c r="L134" i="3"/>
  <c r="M134" i="3" s="1"/>
  <c r="O134" i="3" s="1"/>
  <c r="P134" i="3" s="1"/>
  <c r="Q134" i="3" s="1"/>
  <c r="N134" i="3"/>
  <c r="K135" i="3"/>
  <c r="L135" i="3"/>
  <c r="M135" i="3" s="1"/>
  <c r="O135" i="3" s="1"/>
  <c r="P135" i="3" s="1"/>
  <c r="Q135" i="3" s="1"/>
  <c r="N135" i="3"/>
  <c r="K136" i="3"/>
  <c r="L136" i="3"/>
  <c r="M136" i="3" s="1"/>
  <c r="O136" i="3" s="1"/>
  <c r="P136" i="3" s="1"/>
  <c r="Q136" i="3" s="1"/>
  <c r="N136" i="3"/>
  <c r="K137" i="3"/>
  <c r="L137" i="3"/>
  <c r="M137" i="3" s="1"/>
  <c r="O137" i="3" s="1"/>
  <c r="P137" i="3" s="1"/>
  <c r="Q137" i="3" s="1"/>
  <c r="N137" i="3"/>
  <c r="K138" i="3"/>
  <c r="L138" i="3"/>
  <c r="M138" i="3" s="1"/>
  <c r="O138" i="3" s="1"/>
  <c r="P138" i="3" s="1"/>
  <c r="Q138" i="3" s="1"/>
  <c r="N138" i="3"/>
  <c r="K139" i="3"/>
  <c r="L139" i="3"/>
  <c r="M139" i="3" s="1"/>
  <c r="O139" i="3" s="1"/>
  <c r="P139" i="3" s="1"/>
  <c r="Q139" i="3" s="1"/>
  <c r="N139" i="3"/>
  <c r="K140" i="3"/>
  <c r="L140" i="3"/>
  <c r="M140" i="3" s="1"/>
  <c r="O140" i="3" s="1"/>
  <c r="P140" i="3" s="1"/>
  <c r="Q140" i="3" s="1"/>
  <c r="N140" i="3"/>
  <c r="K141" i="3"/>
  <c r="L141" i="3"/>
  <c r="M141" i="3" s="1"/>
  <c r="O141" i="3" s="1"/>
  <c r="P141" i="3" s="1"/>
  <c r="Q141" i="3" s="1"/>
  <c r="N141" i="3"/>
  <c r="K142" i="3"/>
  <c r="L142" i="3"/>
  <c r="M142" i="3" s="1"/>
  <c r="O142" i="3" s="1"/>
  <c r="P142" i="3" s="1"/>
  <c r="Q142" i="3" s="1"/>
  <c r="N142" i="3"/>
  <c r="K143" i="3"/>
  <c r="L143" i="3"/>
  <c r="M143" i="3" s="1"/>
  <c r="O143" i="3" s="1"/>
  <c r="P143" i="3" s="1"/>
  <c r="Q143" i="3" s="1"/>
  <c r="N143" i="3"/>
  <c r="K144" i="3"/>
  <c r="L144" i="3"/>
  <c r="M144" i="3" s="1"/>
  <c r="O144" i="3" s="1"/>
  <c r="P144" i="3" s="1"/>
  <c r="Q144" i="3" s="1"/>
  <c r="N144" i="3"/>
  <c r="K145" i="3"/>
  <c r="L145" i="3"/>
  <c r="M145" i="3" s="1"/>
  <c r="O145" i="3" s="1"/>
  <c r="P145" i="3" s="1"/>
  <c r="Q145" i="3" s="1"/>
  <c r="N145" i="3"/>
  <c r="K146" i="3"/>
  <c r="L146" i="3"/>
  <c r="M146" i="3" s="1"/>
  <c r="O146" i="3" s="1"/>
  <c r="P146" i="3" s="1"/>
  <c r="Q146" i="3" s="1"/>
  <c r="N146" i="3"/>
  <c r="K147" i="3"/>
  <c r="L147" i="3"/>
  <c r="M147" i="3" s="1"/>
  <c r="O147" i="3" s="1"/>
  <c r="P147" i="3" s="1"/>
  <c r="Q147" i="3" s="1"/>
  <c r="N147" i="3"/>
  <c r="K148" i="3"/>
  <c r="L148" i="3"/>
  <c r="M148" i="3" s="1"/>
  <c r="O148" i="3" s="1"/>
  <c r="P148" i="3" s="1"/>
  <c r="Q148" i="3" s="1"/>
  <c r="N148" i="3"/>
  <c r="U21" i="3"/>
  <c r="P40" i="6" l="1"/>
  <c r="R40" i="6" s="1"/>
  <c r="P72" i="6"/>
  <c r="R72" i="6" s="1"/>
  <c r="P65" i="6"/>
  <c r="R65" i="6" s="1"/>
  <c r="P89" i="6"/>
  <c r="R89" i="6" s="1"/>
  <c r="P9" i="6"/>
  <c r="R9" i="6" s="1"/>
  <c r="P24" i="6"/>
  <c r="R24" i="6" s="1"/>
  <c r="P33" i="6"/>
  <c r="R33" i="6" s="1"/>
  <c r="P80" i="6"/>
  <c r="R80" i="6" s="1"/>
  <c r="P41" i="6"/>
  <c r="R41" i="6" s="1"/>
  <c r="P56" i="6"/>
  <c r="R56" i="6" s="1"/>
  <c r="P73" i="6"/>
  <c r="R73" i="6" s="1"/>
  <c r="P120" i="6"/>
  <c r="R120" i="6" s="1"/>
  <c r="P8" i="6"/>
  <c r="R8" i="6" s="1"/>
  <c r="P17" i="6"/>
  <c r="R17" i="6" s="1"/>
  <c r="P32" i="6"/>
  <c r="R32" i="6" s="1"/>
  <c r="P64" i="6"/>
  <c r="R64" i="6" s="1"/>
  <c r="P88" i="6"/>
  <c r="R88" i="6" s="1"/>
  <c r="P105" i="6"/>
  <c r="R105" i="6" s="1"/>
  <c r="P25" i="6"/>
  <c r="R25" i="6" s="1"/>
  <c r="P96" i="6"/>
  <c r="R96" i="6" s="1"/>
  <c r="P113" i="6"/>
  <c r="R113" i="6" s="1"/>
  <c r="R2" i="6"/>
  <c r="S2" i="6" s="1"/>
  <c r="S3" i="6" s="1"/>
  <c r="P81" i="6"/>
  <c r="R81" i="6" s="1"/>
  <c r="P121" i="6"/>
  <c r="R121" i="6" s="1"/>
  <c r="P49" i="6"/>
  <c r="R49" i="6" s="1"/>
  <c r="P97" i="6"/>
  <c r="R97" i="6" s="1"/>
  <c r="P13" i="5"/>
  <c r="P12" i="5"/>
  <c r="O12" i="5"/>
  <c r="O11" i="5"/>
  <c r="P11" i="5" s="1"/>
  <c r="O5" i="5"/>
  <c r="P5" i="5" s="1"/>
  <c r="O4" i="5"/>
  <c r="P4" i="5" s="1"/>
  <c r="P2" i="5"/>
  <c r="P15" i="5"/>
  <c r="P10" i="5"/>
  <c r="P6" i="5"/>
  <c r="P3" i="5"/>
  <c r="P8" i="5"/>
  <c r="P7" i="5"/>
  <c r="P9" i="5"/>
  <c r="P16" i="5"/>
  <c r="P14" i="5"/>
  <c r="AB78" i="2"/>
  <c r="AC78" i="2" s="1"/>
  <c r="AB109" i="2"/>
  <c r="AC109" i="2" s="1"/>
  <c r="M44" i="2"/>
  <c r="AB83" i="2"/>
  <c r="AC83" i="2" s="1"/>
  <c r="M41" i="2"/>
  <c r="M84" i="2"/>
  <c r="Y39" i="2"/>
  <c r="Y63" i="2"/>
  <c r="Q78" i="2"/>
  <c r="AA84" i="2"/>
  <c r="K86" i="2"/>
  <c r="L86" i="2" s="1"/>
  <c r="Y86" i="2"/>
  <c r="S88" i="2"/>
  <c r="Q90" i="2"/>
  <c r="AA92" i="2"/>
  <c r="K94" i="2"/>
  <c r="L94" i="2" s="1"/>
  <c r="Y94" i="2"/>
  <c r="S96" i="2"/>
  <c r="Q98" i="2"/>
  <c r="Q100" i="2"/>
  <c r="K103" i="2"/>
  <c r="L103" i="2" s="1"/>
  <c r="Y103" i="2"/>
  <c r="Q105" i="2"/>
  <c r="Q106" i="2"/>
  <c r="S107" i="2"/>
  <c r="K108" i="2"/>
  <c r="L108" i="2" s="1"/>
  <c r="Y114" i="2"/>
  <c r="S115" i="2"/>
  <c r="S116" i="2"/>
  <c r="S117" i="2"/>
  <c r="Q118" i="2"/>
  <c r="K121" i="2"/>
  <c r="L121" i="2" s="1"/>
  <c r="M150" i="2" s="1"/>
  <c r="K122" i="2"/>
  <c r="L122" i="2" s="1"/>
  <c r="K123" i="2"/>
  <c r="L123" i="2" s="1"/>
  <c r="Q124" i="2"/>
  <c r="K125" i="2"/>
  <c r="L125" i="2" s="1"/>
  <c r="M153" i="2" s="1"/>
  <c r="AA135" i="2"/>
  <c r="Y148" i="2"/>
  <c r="Q210" i="2"/>
  <c r="Q197" i="2"/>
  <c r="Q43" i="2"/>
  <c r="K47" i="2"/>
  <c r="L47" i="2" s="1"/>
  <c r="M76" i="2" s="1"/>
  <c r="S49" i="2"/>
  <c r="AA69" i="2"/>
  <c r="AB93" i="2" s="1"/>
  <c r="AC93" i="2" s="1"/>
  <c r="Q72" i="2"/>
  <c r="AA31" i="2"/>
  <c r="Q37" i="2"/>
  <c r="K79" i="2"/>
  <c r="L79" i="2" s="1"/>
  <c r="Y79" i="2"/>
  <c r="S81" i="2"/>
  <c r="Q53" i="2"/>
  <c r="Q83" i="2"/>
  <c r="AA85" i="2"/>
  <c r="AB112" i="2" s="1"/>
  <c r="AC112" i="2" s="1"/>
  <c r="K87" i="2"/>
  <c r="L87" i="2" s="1"/>
  <c r="Y87" i="2"/>
  <c r="S89" i="2"/>
  <c r="Q91" i="2"/>
  <c r="AA93" i="2"/>
  <c r="K95" i="2"/>
  <c r="L95" i="2" s="1"/>
  <c r="Y95" i="2"/>
  <c r="S97" i="2"/>
  <c r="Q99" i="2"/>
  <c r="Y102" i="2"/>
  <c r="S106" i="2"/>
  <c r="K110" i="2"/>
  <c r="L110" i="2" s="1"/>
  <c r="S111" i="2"/>
  <c r="K112" i="2"/>
  <c r="L112" i="2" s="1"/>
  <c r="AA114" i="2"/>
  <c r="Y115" i="2"/>
  <c r="Y116" i="2"/>
  <c r="Y117" i="2"/>
  <c r="S118" i="2"/>
  <c r="Q119" i="2"/>
  <c r="Q120" i="2"/>
  <c r="Q121" i="2"/>
  <c r="Q125" i="2"/>
  <c r="K128" i="2"/>
  <c r="L128" i="2" s="1"/>
  <c r="K132" i="2"/>
  <c r="L132" i="2" s="1"/>
  <c r="AA136" i="2"/>
  <c r="Y146" i="2"/>
  <c r="Q123" i="2"/>
  <c r="K130" i="2"/>
  <c r="L130" i="2" s="1"/>
  <c r="AA53" i="2"/>
  <c r="AA76" i="2"/>
  <c r="S85" i="2"/>
  <c r="Q115" i="2"/>
  <c r="AA40" i="2"/>
  <c r="AB62" i="2" s="1"/>
  <c r="AC62" i="2" s="1"/>
  <c r="AA48" i="2"/>
  <c r="AB75" i="2" s="1"/>
  <c r="AC75" i="2" s="1"/>
  <c r="AA86" i="2"/>
  <c r="K88" i="2"/>
  <c r="L88" i="2" s="1"/>
  <c r="Y88" i="2"/>
  <c r="S90" i="2"/>
  <c r="Q92" i="2"/>
  <c r="AA94" i="2"/>
  <c r="K96" i="2"/>
  <c r="L96" i="2" s="1"/>
  <c r="Y96" i="2"/>
  <c r="S98" i="2"/>
  <c r="S100" i="2"/>
  <c r="Y101" i="2"/>
  <c r="AA102" i="2"/>
  <c r="AA103" i="2"/>
  <c r="Q104" i="2"/>
  <c r="Q108" i="2"/>
  <c r="Y109" i="2"/>
  <c r="AA115" i="2"/>
  <c r="AA117" i="2"/>
  <c r="S119" i="2"/>
  <c r="S121" i="2"/>
  <c r="S122" i="2"/>
  <c r="S123" i="2"/>
  <c r="Q126" i="2"/>
  <c r="AA113" i="2"/>
  <c r="AA120" i="2"/>
  <c r="S124" i="2"/>
  <c r="AA166" i="2"/>
  <c r="AA165" i="2"/>
  <c r="K31" i="2"/>
  <c r="L31" i="2" s="1"/>
  <c r="M58" i="2" s="1"/>
  <c r="S33" i="2"/>
  <c r="AA61" i="2"/>
  <c r="AB88" i="2" s="1"/>
  <c r="AC88" i="2" s="1"/>
  <c r="K63" i="2"/>
  <c r="L63" i="2" s="1"/>
  <c r="M91" i="2" s="1"/>
  <c r="S65" i="2"/>
  <c r="Q67" i="2"/>
  <c r="S74" i="2"/>
  <c r="AA71" i="2"/>
  <c r="AB95" i="2" s="1"/>
  <c r="AC95" i="2" s="1"/>
  <c r="K43" i="2"/>
  <c r="L43" i="2" s="1"/>
  <c r="M62" i="2" s="1"/>
  <c r="K73" i="2"/>
  <c r="L73" i="2" s="1"/>
  <c r="M97" i="2" s="1"/>
  <c r="Y73" i="2"/>
  <c r="S75" i="2"/>
  <c r="Q77" i="2"/>
  <c r="AA79" i="2"/>
  <c r="AB108" i="2" s="1"/>
  <c r="AC108" i="2" s="1"/>
  <c r="K81" i="2"/>
  <c r="L81" i="2" s="1"/>
  <c r="Y81" i="2"/>
  <c r="S83" i="2"/>
  <c r="Q85" i="2"/>
  <c r="AA87" i="2"/>
  <c r="K59" i="2"/>
  <c r="L59" i="2" s="1"/>
  <c r="K89" i="2"/>
  <c r="L89" i="2" s="1"/>
  <c r="Y89" i="2"/>
  <c r="S91" i="2"/>
  <c r="Q93" i="2"/>
  <c r="AA95" i="2"/>
  <c r="K97" i="2"/>
  <c r="L97" i="2" s="1"/>
  <c r="Y97" i="2"/>
  <c r="S99" i="2"/>
  <c r="Y100" i="2"/>
  <c r="K101" i="2"/>
  <c r="L101" i="2" s="1"/>
  <c r="K102" i="2"/>
  <c r="L102" i="2" s="1"/>
  <c r="AA107" i="2"/>
  <c r="Y111" i="2"/>
  <c r="Q112" i="2"/>
  <c r="Q113" i="2"/>
  <c r="AA118" i="2"/>
  <c r="Y119" i="2"/>
  <c r="Y120" i="2"/>
  <c r="Y121" i="2"/>
  <c r="Y123" i="2"/>
  <c r="Y124" i="2"/>
  <c r="Y125" i="2"/>
  <c r="S126" i="2"/>
  <c r="Q128" i="2"/>
  <c r="Q129" i="2"/>
  <c r="Q103" i="2"/>
  <c r="Q133" i="2"/>
  <c r="S46" i="2"/>
  <c r="S84" i="2"/>
  <c r="Q86" i="2"/>
  <c r="AA88" i="2"/>
  <c r="K90" i="2"/>
  <c r="L90" i="2" s="1"/>
  <c r="Y90" i="2"/>
  <c r="S92" i="2"/>
  <c r="Q94" i="2"/>
  <c r="AA96" i="2"/>
  <c r="K98" i="2"/>
  <c r="L98" i="2" s="1"/>
  <c r="AA101" i="2"/>
  <c r="AA106" i="2"/>
  <c r="AA109" i="2"/>
  <c r="Q110" i="2"/>
  <c r="Y122" i="2"/>
  <c r="S130" i="2"/>
  <c r="S131" i="2"/>
  <c r="S132" i="2"/>
  <c r="Q134" i="2"/>
  <c r="K107" i="2"/>
  <c r="L107" i="2" s="1"/>
  <c r="Y160" i="2"/>
  <c r="Y159" i="2"/>
  <c r="S63" i="2"/>
  <c r="Q65" i="2"/>
  <c r="K100" i="2"/>
  <c r="L100" i="2" s="1"/>
  <c r="M128" i="2" s="1"/>
  <c r="AA100" i="2"/>
  <c r="Y104" i="2"/>
  <c r="K105" i="2"/>
  <c r="L105" i="2" s="1"/>
  <c r="K106" i="2"/>
  <c r="L106" i="2" s="1"/>
  <c r="Y108" i="2"/>
  <c r="S110" i="2"/>
  <c r="AA111" i="2"/>
  <c r="AB139" i="2" s="1"/>
  <c r="AC139" i="2" s="1"/>
  <c r="Y112" i="2"/>
  <c r="S113" i="2"/>
  <c r="Q114" i="2"/>
  <c r="K116" i="2"/>
  <c r="L116" i="2" s="1"/>
  <c r="AA122" i="2"/>
  <c r="AA126" i="2"/>
  <c r="AB154" i="2" s="1"/>
  <c r="AC154" i="2" s="1"/>
  <c r="Y128" i="2"/>
  <c r="Y129" i="2"/>
  <c r="S101" i="2"/>
  <c r="Y132" i="2"/>
  <c r="S134" i="2"/>
  <c r="Q136" i="2"/>
  <c r="Q111" i="2"/>
  <c r="Q141" i="2"/>
  <c r="K120" i="2"/>
  <c r="L120" i="2" s="1"/>
  <c r="M148" i="2" s="1"/>
  <c r="Q87" i="2"/>
  <c r="S78" i="2"/>
  <c r="Q80" i="2"/>
  <c r="AA82" i="2"/>
  <c r="AB110" i="2" s="1"/>
  <c r="AC110" i="2" s="1"/>
  <c r="K84" i="2"/>
  <c r="L84" i="2" s="1"/>
  <c r="M112" i="2" s="1"/>
  <c r="Y84" i="2"/>
  <c r="S86" i="2"/>
  <c r="Q88" i="2"/>
  <c r="AA90" i="2"/>
  <c r="AB118" i="2" s="1"/>
  <c r="AC118" i="2" s="1"/>
  <c r="K92" i="2"/>
  <c r="L92" i="2" s="1"/>
  <c r="Y92" i="2"/>
  <c r="S94" i="2"/>
  <c r="Q96" i="2"/>
  <c r="AA98" i="2"/>
  <c r="Q101" i="2"/>
  <c r="Q102" i="2"/>
  <c r="S103" i="2"/>
  <c r="Q107" i="2"/>
  <c r="AA108" i="2"/>
  <c r="AB133" i="2" s="1"/>
  <c r="AC133" i="2" s="1"/>
  <c r="Y110" i="2"/>
  <c r="Y113" i="2"/>
  <c r="Q116" i="2"/>
  <c r="Y99" i="2"/>
  <c r="Y130" i="2"/>
  <c r="S139" i="2"/>
  <c r="S140" i="2"/>
  <c r="Q142" i="2"/>
  <c r="K115" i="2"/>
  <c r="L115" i="2" s="1"/>
  <c r="M144" i="2" s="1"/>
  <c r="AA130" i="2"/>
  <c r="K136" i="2"/>
  <c r="L136" i="2" s="1"/>
  <c r="K176" i="2"/>
  <c r="L176" i="2" s="1"/>
  <c r="K169" i="2"/>
  <c r="L169" i="2" s="1"/>
  <c r="Q145" i="2"/>
  <c r="S146" i="2"/>
  <c r="K148" i="2"/>
  <c r="L148" i="2" s="1"/>
  <c r="Q151" i="2"/>
  <c r="S152" i="2"/>
  <c r="Y153" i="2"/>
  <c r="K154" i="2"/>
  <c r="L154" i="2" s="1"/>
  <c r="Q155" i="2"/>
  <c r="Q157" i="2"/>
  <c r="AA158" i="2"/>
  <c r="AA160" i="2"/>
  <c r="S161" i="2"/>
  <c r="K162" i="2"/>
  <c r="L162" i="2" s="1"/>
  <c r="S164" i="2"/>
  <c r="Y168" i="2"/>
  <c r="Q181" i="2"/>
  <c r="Q182" i="2"/>
  <c r="Q187" i="2"/>
  <c r="S125" i="2"/>
  <c r="Q127" i="2"/>
  <c r="AA129" i="2"/>
  <c r="K131" i="2"/>
  <c r="L131" i="2" s="1"/>
  <c r="M158" i="2" s="1"/>
  <c r="Y131" i="2"/>
  <c r="S133" i="2"/>
  <c r="Q135" i="2"/>
  <c r="AA137" i="2"/>
  <c r="AB163" i="2" s="1"/>
  <c r="AC163" i="2" s="1"/>
  <c r="K139" i="2"/>
  <c r="L139" i="2" s="1"/>
  <c r="M166" i="2" s="1"/>
  <c r="Y139" i="2"/>
  <c r="S141" i="2"/>
  <c r="Q143" i="2"/>
  <c r="Y147" i="2"/>
  <c r="AA148" i="2"/>
  <c r="Q149" i="2"/>
  <c r="S151" i="2"/>
  <c r="Y152" i="2"/>
  <c r="K153" i="2"/>
  <c r="L153" i="2" s="1"/>
  <c r="AA156" i="2"/>
  <c r="Q159" i="2"/>
  <c r="Q162" i="2"/>
  <c r="K163" i="2"/>
  <c r="L163" i="2" s="1"/>
  <c r="Q165" i="2"/>
  <c r="Y169" i="2"/>
  <c r="S179" i="2"/>
  <c r="Q184" i="2"/>
  <c r="AA167" i="2"/>
  <c r="AA138" i="2"/>
  <c r="Y140" i="2"/>
  <c r="S142" i="2"/>
  <c r="Q144" i="2"/>
  <c r="S145" i="2"/>
  <c r="K147" i="2"/>
  <c r="L147" i="2" s="1"/>
  <c r="AA147" i="2"/>
  <c r="S150" i="2"/>
  <c r="K152" i="2"/>
  <c r="L152" i="2" s="1"/>
  <c r="AA153" i="2"/>
  <c r="S155" i="2"/>
  <c r="S157" i="2"/>
  <c r="K158" i="2"/>
  <c r="L158" i="2" s="1"/>
  <c r="S162" i="2"/>
  <c r="AA164" i="2"/>
  <c r="Y163" i="2"/>
  <c r="AA131" i="2"/>
  <c r="K133" i="2"/>
  <c r="L133" i="2" s="1"/>
  <c r="Y133" i="2"/>
  <c r="S135" i="2"/>
  <c r="Q137" i="2"/>
  <c r="AA139" i="2"/>
  <c r="K141" i="2"/>
  <c r="L141" i="2" s="1"/>
  <c r="Y141" i="2"/>
  <c r="S143" i="2"/>
  <c r="Q148" i="2"/>
  <c r="S149" i="2"/>
  <c r="Y151" i="2"/>
  <c r="AA152" i="2"/>
  <c r="Q154" i="2"/>
  <c r="K160" i="2"/>
  <c r="L160" i="2" s="1"/>
  <c r="Q163" i="2"/>
  <c r="S165" i="2"/>
  <c r="S203" i="2"/>
  <c r="Y177" i="2"/>
  <c r="AA116" i="2"/>
  <c r="K118" i="2"/>
  <c r="L118" i="2" s="1"/>
  <c r="Y118" i="2"/>
  <c r="S120" i="2"/>
  <c r="Q122" i="2"/>
  <c r="AA124" i="2"/>
  <c r="AB152" i="2" s="1"/>
  <c r="AC152" i="2" s="1"/>
  <c r="K126" i="2"/>
  <c r="L126" i="2" s="1"/>
  <c r="Y126" i="2"/>
  <c r="S128" i="2"/>
  <c r="Q130" i="2"/>
  <c r="AA132" i="2"/>
  <c r="K134" i="2"/>
  <c r="L134" i="2" s="1"/>
  <c r="Y134" i="2"/>
  <c r="S136" i="2"/>
  <c r="Q138" i="2"/>
  <c r="AA140" i="2"/>
  <c r="Y142" i="2"/>
  <c r="S144" i="2"/>
  <c r="Y145" i="2"/>
  <c r="AA146" i="2"/>
  <c r="Y149" i="2"/>
  <c r="Y150" i="2"/>
  <c r="K151" i="2"/>
  <c r="L151" i="2" s="1"/>
  <c r="Q153" i="2"/>
  <c r="S154" i="2"/>
  <c r="Y155" i="2"/>
  <c r="Q158" i="2"/>
  <c r="K161" i="2"/>
  <c r="L161" i="2" s="1"/>
  <c r="AA161" i="2"/>
  <c r="Q166" i="2"/>
  <c r="AA157" i="2"/>
  <c r="AA205" i="2"/>
  <c r="K127" i="2"/>
  <c r="L127" i="2" s="1"/>
  <c r="Y127" i="2"/>
  <c r="S129" i="2"/>
  <c r="Q131" i="2"/>
  <c r="AA133" i="2"/>
  <c r="K135" i="2"/>
  <c r="L135" i="2" s="1"/>
  <c r="Y135" i="2"/>
  <c r="S137" i="2"/>
  <c r="Q139" i="2"/>
  <c r="AA141" i="2"/>
  <c r="K143" i="2"/>
  <c r="L143" i="2" s="1"/>
  <c r="Y143" i="2"/>
  <c r="Y144" i="2"/>
  <c r="K145" i="2"/>
  <c r="L145" i="2" s="1"/>
  <c r="Q147" i="2"/>
  <c r="K150" i="2"/>
  <c r="L150" i="2" s="1"/>
  <c r="AA150" i="2"/>
  <c r="AB179" i="2" s="1"/>
  <c r="AC179" i="2" s="1"/>
  <c r="AA151" i="2"/>
  <c r="Y154" i="2"/>
  <c r="K155" i="2"/>
  <c r="L155" i="2" s="1"/>
  <c r="AA155" i="2"/>
  <c r="AB183" i="2" s="1"/>
  <c r="AC183" i="2" s="1"/>
  <c r="Q156" i="2"/>
  <c r="S163" i="2"/>
  <c r="K168" i="2"/>
  <c r="L168" i="2" s="1"/>
  <c r="AA204" i="2"/>
  <c r="Y136" i="2"/>
  <c r="S138" i="2"/>
  <c r="Q140" i="2"/>
  <c r="AA142" i="2"/>
  <c r="AB171" i="2" s="1"/>
  <c r="AC171" i="2" s="1"/>
  <c r="AA145" i="2"/>
  <c r="AB172" i="2" s="1"/>
  <c r="AC172" i="2" s="1"/>
  <c r="K149" i="2"/>
  <c r="L149" i="2" s="1"/>
  <c r="AA149" i="2"/>
  <c r="Q152" i="2"/>
  <c r="S153" i="2"/>
  <c r="S156" i="2"/>
  <c r="K159" i="2"/>
  <c r="L159" i="2" s="1"/>
  <c r="AA159" i="2"/>
  <c r="S160" i="2"/>
  <c r="Q194" i="2"/>
  <c r="Q195" i="2"/>
  <c r="K167" i="2"/>
  <c r="L167" i="2" s="1"/>
  <c r="Y167" i="2"/>
  <c r="S169" i="2"/>
  <c r="Q171" i="2"/>
  <c r="AA173" i="2"/>
  <c r="K175" i="2"/>
  <c r="L175" i="2" s="1"/>
  <c r="Y175" i="2"/>
  <c r="S177" i="2"/>
  <c r="Q179" i="2"/>
  <c r="AA186" i="2"/>
  <c r="Y188" i="2"/>
  <c r="AA194" i="2"/>
  <c r="AA196" i="2"/>
  <c r="AA200" i="2"/>
  <c r="Y202" i="2"/>
  <c r="Q203" i="2"/>
  <c r="Y206" i="2"/>
  <c r="Q183" i="2"/>
  <c r="Y185" i="2"/>
  <c r="S187" i="2"/>
  <c r="AA188" i="2"/>
  <c r="Q189" i="2"/>
  <c r="Q191" i="2"/>
  <c r="AA192" i="2"/>
  <c r="Q198" i="2"/>
  <c r="Y207" i="2"/>
  <c r="AA228" i="2"/>
  <c r="S247" i="2"/>
  <c r="AA168" i="2"/>
  <c r="K170" i="2"/>
  <c r="L170" i="2" s="1"/>
  <c r="Y170" i="2"/>
  <c r="S172" i="2"/>
  <c r="Q174" i="2"/>
  <c r="AA176" i="2"/>
  <c r="Y178" i="2"/>
  <c r="S180" i="2"/>
  <c r="S181" i="2"/>
  <c r="S182" i="2"/>
  <c r="S183" i="2"/>
  <c r="AA185" i="2"/>
  <c r="Q186" i="2"/>
  <c r="Y187" i="2"/>
  <c r="S189" i="2"/>
  <c r="S191" i="2"/>
  <c r="AA193" i="2"/>
  <c r="AA207" i="2"/>
  <c r="K186" i="2"/>
  <c r="L186" i="2" s="1"/>
  <c r="AA169" i="2"/>
  <c r="K171" i="2"/>
  <c r="L171" i="2" s="1"/>
  <c r="Y171" i="2"/>
  <c r="S173" i="2"/>
  <c r="Q175" i="2"/>
  <c r="AA177" i="2"/>
  <c r="Y179" i="2"/>
  <c r="Y181" i="2"/>
  <c r="AA187" i="2"/>
  <c r="Y189" i="2"/>
  <c r="Q192" i="2"/>
  <c r="AA197" i="2"/>
  <c r="S204" i="2"/>
  <c r="S235" i="2"/>
  <c r="K156" i="2"/>
  <c r="L156" i="2" s="1"/>
  <c r="Y156" i="2"/>
  <c r="S158" i="2"/>
  <c r="Q160" i="2"/>
  <c r="AA162" i="2"/>
  <c r="K164" i="2"/>
  <c r="L164" i="2" s="1"/>
  <c r="Y164" i="2"/>
  <c r="S166" i="2"/>
  <c r="Q168" i="2"/>
  <c r="AA170" i="2"/>
  <c r="K172" i="2"/>
  <c r="L172" i="2" s="1"/>
  <c r="Y172" i="2"/>
  <c r="S174" i="2"/>
  <c r="Q176" i="2"/>
  <c r="AA178" i="2"/>
  <c r="K180" i="2"/>
  <c r="L180" i="2" s="1"/>
  <c r="Y180" i="2"/>
  <c r="K181" i="2"/>
  <c r="L181" i="2" s="1"/>
  <c r="K182" i="2"/>
  <c r="L182" i="2" s="1"/>
  <c r="Y182" i="2"/>
  <c r="Y183" i="2"/>
  <c r="K184" i="2"/>
  <c r="L184" i="2" s="1"/>
  <c r="Y184" i="2"/>
  <c r="K185" i="2"/>
  <c r="L185" i="2" s="1"/>
  <c r="Y191" i="2"/>
  <c r="S200" i="2"/>
  <c r="Q202" i="2"/>
  <c r="Q205" i="2"/>
  <c r="S211" i="2"/>
  <c r="S212" i="2"/>
  <c r="K157" i="2"/>
  <c r="L157" i="2" s="1"/>
  <c r="M186" i="2" s="1"/>
  <c r="Y157" i="2"/>
  <c r="S159" i="2"/>
  <c r="Q161" i="2"/>
  <c r="AA163" i="2"/>
  <c r="K165" i="2"/>
  <c r="L165" i="2" s="1"/>
  <c r="Y165" i="2"/>
  <c r="S167" i="2"/>
  <c r="Q169" i="2"/>
  <c r="AA171" i="2"/>
  <c r="K173" i="2"/>
  <c r="L173" i="2" s="1"/>
  <c r="Y173" i="2"/>
  <c r="S175" i="2"/>
  <c r="Q177" i="2"/>
  <c r="AA179" i="2"/>
  <c r="AA181" i="2"/>
  <c r="K183" i="2"/>
  <c r="L183" i="2" s="1"/>
  <c r="K187" i="2"/>
  <c r="L187" i="2" s="1"/>
  <c r="AA189" i="2"/>
  <c r="Q190" i="2"/>
  <c r="S192" i="2"/>
  <c r="S196" i="2"/>
  <c r="S201" i="2"/>
  <c r="Y214" i="2"/>
  <c r="K166" i="2"/>
  <c r="L166" i="2" s="1"/>
  <c r="Y166" i="2"/>
  <c r="S168" i="2"/>
  <c r="Q170" i="2"/>
  <c r="AA172" i="2"/>
  <c r="K174" i="2"/>
  <c r="L174" i="2" s="1"/>
  <c r="Y174" i="2"/>
  <c r="S176" i="2"/>
  <c r="Q178" i="2"/>
  <c r="AA180" i="2"/>
  <c r="AA182" i="2"/>
  <c r="AA183" i="2"/>
  <c r="AA184" i="2"/>
  <c r="Q185" i="2"/>
  <c r="Y186" i="2"/>
  <c r="S188" i="2"/>
  <c r="S190" i="2"/>
  <c r="Q193" i="2"/>
  <c r="AA199" i="2"/>
  <c r="AA215" i="2"/>
  <c r="Y231" i="2"/>
  <c r="Y230" i="2"/>
  <c r="Y212" i="2"/>
  <c r="Y213" i="2"/>
  <c r="Q216" i="2"/>
  <c r="S217" i="2"/>
  <c r="Q221" i="2"/>
  <c r="Q222" i="2"/>
  <c r="S223" i="2"/>
  <c r="Y224" i="2"/>
  <c r="S226" i="2"/>
  <c r="Q227" i="2"/>
  <c r="Q229" i="2"/>
  <c r="S243" i="2"/>
  <c r="S246" i="2"/>
  <c r="S186" i="2"/>
  <c r="Q188" i="2"/>
  <c r="AA190" i="2"/>
  <c r="K192" i="2"/>
  <c r="L192" i="2" s="1"/>
  <c r="Y192" i="2"/>
  <c r="S194" i="2"/>
  <c r="Q196" i="2"/>
  <c r="AA198" i="2"/>
  <c r="K200" i="2"/>
  <c r="L200" i="2" s="1"/>
  <c r="M228" i="2" s="1"/>
  <c r="Y200" i="2"/>
  <c r="S202" i="2"/>
  <c r="Q204" i="2"/>
  <c r="AA206" i="2"/>
  <c r="AB235" i="2" s="1"/>
  <c r="AC235" i="2" s="1"/>
  <c r="K208" i="2"/>
  <c r="L208" i="2" s="1"/>
  <c r="M235" i="2" s="1"/>
  <c r="Y208" i="2"/>
  <c r="S210" i="2"/>
  <c r="K213" i="2"/>
  <c r="L213" i="2" s="1"/>
  <c r="AA213" i="2"/>
  <c r="AA214" i="2"/>
  <c r="Y218" i="2"/>
  <c r="AA219" i="2"/>
  <c r="Q220" i="2"/>
  <c r="S222" i="2"/>
  <c r="Y223" i="2"/>
  <c r="K224" i="2"/>
  <c r="L224" i="2" s="1"/>
  <c r="AA231" i="2"/>
  <c r="AB259" i="2" s="1"/>
  <c r="AC259" i="2" s="1"/>
  <c r="AA212" i="2"/>
  <c r="S216" i="2"/>
  <c r="Y217" i="2"/>
  <c r="AA218" i="2"/>
  <c r="AA224" i="2"/>
  <c r="AA226" i="2"/>
  <c r="S227" i="2"/>
  <c r="S241" i="2"/>
  <c r="S288" i="2"/>
  <c r="S283" i="2"/>
  <c r="S287" i="2"/>
  <c r="Q206" i="2"/>
  <c r="AA208" i="2"/>
  <c r="K210" i="2"/>
  <c r="L210" i="2" s="1"/>
  <c r="Y210" i="2"/>
  <c r="Y211" i="2"/>
  <c r="Q219" i="2"/>
  <c r="S220" i="2"/>
  <c r="Y222" i="2"/>
  <c r="AA223" i="2"/>
  <c r="Q225" i="2"/>
  <c r="S233" i="2"/>
  <c r="S197" i="2"/>
  <c r="Q199" i="2"/>
  <c r="AA201" i="2"/>
  <c r="K203" i="2"/>
  <c r="L203" i="2" s="1"/>
  <c r="Y203" i="2"/>
  <c r="S205" i="2"/>
  <c r="Q207" i="2"/>
  <c r="AA209" i="2"/>
  <c r="K211" i="2"/>
  <c r="L211" i="2" s="1"/>
  <c r="Q214" i="2"/>
  <c r="S215" i="2"/>
  <c r="Y216" i="2"/>
  <c r="K217" i="2"/>
  <c r="L217" i="2" s="1"/>
  <c r="Y220" i="2"/>
  <c r="Y221" i="2"/>
  <c r="Q224" i="2"/>
  <c r="S225" i="2"/>
  <c r="K226" i="2"/>
  <c r="L226" i="2" s="1"/>
  <c r="Q228" i="2"/>
  <c r="AA229" i="2"/>
  <c r="S230" i="2"/>
  <c r="S198" i="2"/>
  <c r="Q200" i="2"/>
  <c r="AA202" i="2"/>
  <c r="K204" i="2"/>
  <c r="L204" i="2" s="1"/>
  <c r="Y204" i="2"/>
  <c r="S206" i="2"/>
  <c r="Q208" i="2"/>
  <c r="AA210" i="2"/>
  <c r="AA211" i="2"/>
  <c r="Q212" i="2"/>
  <c r="S214" i="2"/>
  <c r="Y215" i="2"/>
  <c r="K216" i="2"/>
  <c r="L216" i="2" s="1"/>
  <c r="M241" i="2" s="1"/>
  <c r="Q218" i="2"/>
  <c r="K221" i="2"/>
  <c r="L221" i="2" s="1"/>
  <c r="AA221" i="2"/>
  <c r="AA222" i="2"/>
  <c r="Y233" i="2"/>
  <c r="K247" i="2"/>
  <c r="L247" i="2" s="1"/>
  <c r="K248" i="2"/>
  <c r="L248" i="2" s="1"/>
  <c r="K249" i="2"/>
  <c r="L249" i="2" s="1"/>
  <c r="K222" i="2"/>
  <c r="L222" i="2" s="1"/>
  <c r="AA262" i="2"/>
  <c r="AA195" i="2"/>
  <c r="K197" i="2"/>
  <c r="L197" i="2" s="1"/>
  <c r="M223" i="2" s="1"/>
  <c r="Y197" i="2"/>
  <c r="S199" i="2"/>
  <c r="Q201" i="2"/>
  <c r="AA203" i="2"/>
  <c r="K205" i="2"/>
  <c r="L205" i="2" s="1"/>
  <c r="Y205" i="2"/>
  <c r="S207" i="2"/>
  <c r="Q209" i="2"/>
  <c r="K215" i="2"/>
  <c r="L215" i="2" s="1"/>
  <c r="AA216" i="2"/>
  <c r="K220" i="2"/>
  <c r="L220" i="2" s="1"/>
  <c r="AA220" i="2"/>
  <c r="S224" i="2"/>
  <c r="Y225" i="2"/>
  <c r="Q226" i="2"/>
  <c r="Y228" i="2"/>
  <c r="S254" i="2"/>
  <c r="S251" i="2"/>
  <c r="S232" i="2"/>
  <c r="Q234" i="2"/>
  <c r="AA236" i="2"/>
  <c r="K238" i="2"/>
  <c r="L238" i="2" s="1"/>
  <c r="Y238" i="2"/>
  <c r="S240" i="2"/>
  <c r="Q242" i="2"/>
  <c r="Q246" i="2"/>
  <c r="AA247" i="2"/>
  <c r="S248" i="2"/>
  <c r="AA251" i="2"/>
  <c r="Q252" i="2"/>
  <c r="Y253" i="2"/>
  <c r="K255" i="2"/>
  <c r="L255" i="2" s="1"/>
  <c r="S257" i="2"/>
  <c r="Q270" i="2"/>
  <c r="S271" i="2"/>
  <c r="Y273" i="2"/>
  <c r="S234" i="2"/>
  <c r="AA238" i="2"/>
  <c r="K240" i="2"/>
  <c r="L240" i="2" s="1"/>
  <c r="S242" i="2"/>
  <c r="K244" i="2"/>
  <c r="L244" i="2" s="1"/>
  <c r="K253" i="2"/>
  <c r="L253" i="2" s="1"/>
  <c r="K256" i="2"/>
  <c r="L256" i="2" s="1"/>
  <c r="AA259" i="2"/>
  <c r="Q237" i="2"/>
  <c r="AA239" i="2"/>
  <c r="K241" i="2"/>
  <c r="L241" i="2" s="1"/>
  <c r="Y241" i="2"/>
  <c r="Y242" i="2"/>
  <c r="Y246" i="2"/>
  <c r="Q249" i="2"/>
  <c r="AA250" i="2"/>
  <c r="Q251" i="2"/>
  <c r="S255" i="2"/>
  <c r="Q256" i="2"/>
  <c r="AA270" i="2"/>
  <c r="Y226" i="2"/>
  <c r="S228" i="2"/>
  <c r="Q230" i="2"/>
  <c r="AA232" i="2"/>
  <c r="K234" i="2"/>
  <c r="L234" i="2" s="1"/>
  <c r="M262" i="2" s="1"/>
  <c r="Y234" i="2"/>
  <c r="S236" i="2"/>
  <c r="Q238" i="2"/>
  <c r="AA240" i="2"/>
  <c r="K242" i="2"/>
  <c r="L242" i="2" s="1"/>
  <c r="S249" i="2"/>
  <c r="AA252" i="2"/>
  <c r="S258" i="2"/>
  <c r="K263" i="2"/>
  <c r="L263" i="2" s="1"/>
  <c r="AA267" i="2"/>
  <c r="AA268" i="2"/>
  <c r="AA269" i="2"/>
  <c r="Y286" i="2"/>
  <c r="Y284" i="2"/>
  <c r="K264" i="2"/>
  <c r="L264" i="2" s="1"/>
  <c r="S213" i="2"/>
  <c r="Q215" i="2"/>
  <c r="AA217" i="2"/>
  <c r="K219" i="2"/>
  <c r="L219" i="2" s="1"/>
  <c r="Y219" i="2"/>
  <c r="S221" i="2"/>
  <c r="Q223" i="2"/>
  <c r="AA225" i="2"/>
  <c r="K227" i="2"/>
  <c r="L227" i="2" s="1"/>
  <c r="Y227" i="2"/>
  <c r="S229" i="2"/>
  <c r="Q231" i="2"/>
  <c r="AA233" i="2"/>
  <c r="K235" i="2"/>
  <c r="L235" i="2" s="1"/>
  <c r="Y235" i="2"/>
  <c r="S237" i="2"/>
  <c r="Q239" i="2"/>
  <c r="AA241" i="2"/>
  <c r="AA242" i="2"/>
  <c r="AA243" i="2"/>
  <c r="Q244" i="2"/>
  <c r="K246" i="2"/>
  <c r="L246" i="2" s="1"/>
  <c r="AA246" i="2"/>
  <c r="K252" i="2"/>
  <c r="L252" i="2" s="1"/>
  <c r="Q253" i="2"/>
  <c r="AA254" i="2"/>
  <c r="AA255" i="2"/>
  <c r="K257" i="2"/>
  <c r="L257" i="2" s="1"/>
  <c r="Y261" i="2"/>
  <c r="K272" i="2"/>
  <c r="L272" i="2" s="1"/>
  <c r="K273" i="2"/>
  <c r="L273" i="2" s="1"/>
  <c r="Y256" i="2"/>
  <c r="S238" i="2"/>
  <c r="S244" i="2"/>
  <c r="K254" i="2"/>
  <c r="L254" i="2" s="1"/>
  <c r="AA258" i="2"/>
  <c r="K260" i="2"/>
  <c r="L260" i="2" s="1"/>
  <c r="AA261" i="2"/>
  <c r="S263" i="2"/>
  <c r="AA227" i="2"/>
  <c r="K229" i="2"/>
  <c r="L229" i="2" s="1"/>
  <c r="M257" i="2" s="1"/>
  <c r="Y229" i="2"/>
  <c r="S231" i="2"/>
  <c r="Q233" i="2"/>
  <c r="AA235" i="2"/>
  <c r="K237" i="2"/>
  <c r="L237" i="2" s="1"/>
  <c r="Y237" i="2"/>
  <c r="S239" i="2"/>
  <c r="Q241" i="2"/>
  <c r="Q243" i="2"/>
  <c r="Y244" i="2"/>
  <c r="AA245" i="2"/>
  <c r="Q250" i="2"/>
  <c r="Q257" i="2"/>
  <c r="Q265" i="2"/>
  <c r="S274" i="2"/>
  <c r="S256" i="2"/>
  <c r="Q258" i="2"/>
  <c r="AA260" i="2"/>
  <c r="K262" i="2"/>
  <c r="L262" i="2" s="1"/>
  <c r="M290" i="2" s="1"/>
  <c r="Y262" i="2"/>
  <c r="S264" i="2"/>
  <c r="Q266" i="2"/>
  <c r="S275" i="2"/>
  <c r="Y276" i="2"/>
  <c r="Q279" i="2"/>
  <c r="Y280" i="2"/>
  <c r="Y283" i="2"/>
  <c r="AA285" i="2"/>
  <c r="Y288" i="2"/>
  <c r="Y289" i="2"/>
  <c r="S291" i="2"/>
  <c r="Q295" i="2"/>
  <c r="Q298" i="2"/>
  <c r="K300" i="2"/>
  <c r="L300" i="2" s="1"/>
  <c r="K301" i="2"/>
  <c r="L301" i="2" s="1"/>
  <c r="S265" i="2"/>
  <c r="Q267" i="2"/>
  <c r="Q269" i="2"/>
  <c r="S270" i="2"/>
  <c r="Y271" i="2"/>
  <c r="AA272" i="2"/>
  <c r="AA273" i="2"/>
  <c r="Q274" i="2"/>
  <c r="AA276" i="2"/>
  <c r="AA280" i="2"/>
  <c r="S281" i="2"/>
  <c r="AA286" i="2"/>
  <c r="AA289" i="2"/>
  <c r="AA365" i="2"/>
  <c r="AA359" i="2"/>
  <c r="Y270" i="2"/>
  <c r="K271" i="2"/>
  <c r="L271" i="2" s="1"/>
  <c r="Y275" i="2"/>
  <c r="K276" i="2"/>
  <c r="L276" i="2" s="1"/>
  <c r="S279" i="2"/>
  <c r="Y281" i="2"/>
  <c r="AA283" i="2"/>
  <c r="AA287" i="2"/>
  <c r="AA291" i="2"/>
  <c r="Q276" i="2"/>
  <c r="Q306" i="2"/>
  <c r="Q289" i="2"/>
  <c r="S259" i="2"/>
  <c r="Q261" i="2"/>
  <c r="AA263" i="2"/>
  <c r="K265" i="2"/>
  <c r="L265" i="2" s="1"/>
  <c r="Y265" i="2"/>
  <c r="S267" i="2"/>
  <c r="S269" i="2"/>
  <c r="AA271" i="2"/>
  <c r="Q273" i="2"/>
  <c r="S277" i="2"/>
  <c r="K278" i="2"/>
  <c r="L278" i="2" s="1"/>
  <c r="K280" i="2"/>
  <c r="L280" i="2" s="1"/>
  <c r="AA281" i="2"/>
  <c r="K283" i="2"/>
  <c r="L283" i="2" s="1"/>
  <c r="K286" i="2"/>
  <c r="L286" i="2" s="1"/>
  <c r="AA292" i="2"/>
  <c r="AA297" i="2"/>
  <c r="K285" i="2"/>
  <c r="L285" i="2" s="1"/>
  <c r="Q315" i="2"/>
  <c r="AA338" i="2"/>
  <c r="AA248" i="2"/>
  <c r="K250" i="2"/>
  <c r="L250" i="2" s="1"/>
  <c r="Y250" i="2"/>
  <c r="S252" i="2"/>
  <c r="Q254" i="2"/>
  <c r="AA256" i="2"/>
  <c r="K258" i="2"/>
  <c r="L258" i="2" s="1"/>
  <c r="Y258" i="2"/>
  <c r="S260" i="2"/>
  <c r="Q262" i="2"/>
  <c r="AA264" i="2"/>
  <c r="K266" i="2"/>
  <c r="L266" i="2" s="1"/>
  <c r="Y266" i="2"/>
  <c r="S268" i="2"/>
  <c r="K270" i="2"/>
  <c r="L270" i="2" s="1"/>
  <c r="Y274" i="2"/>
  <c r="K275" i="2"/>
  <c r="L275" i="2" s="1"/>
  <c r="AA275" i="2"/>
  <c r="Y279" i="2"/>
  <c r="S282" i="2"/>
  <c r="Q285" i="2"/>
  <c r="K289" i="2"/>
  <c r="L289" i="2" s="1"/>
  <c r="K243" i="2"/>
  <c r="L243" i="2" s="1"/>
  <c r="Y243" i="2"/>
  <c r="S245" i="2"/>
  <c r="Q247" i="2"/>
  <c r="AA249" i="2"/>
  <c r="AB278" i="2" s="1"/>
  <c r="AC278" i="2" s="1"/>
  <c r="K251" i="2"/>
  <c r="L251" i="2" s="1"/>
  <c r="Y251" i="2"/>
  <c r="S253" i="2"/>
  <c r="Q255" i="2"/>
  <c r="AA257" i="2"/>
  <c r="K259" i="2"/>
  <c r="L259" i="2" s="1"/>
  <c r="Y259" i="2"/>
  <c r="S261" i="2"/>
  <c r="Q263" i="2"/>
  <c r="AA265" i="2"/>
  <c r="K267" i="2"/>
  <c r="L267" i="2" s="1"/>
  <c r="Y267" i="2"/>
  <c r="K269" i="2"/>
  <c r="L269" i="2" s="1"/>
  <c r="Y269" i="2"/>
  <c r="Q271" i="2"/>
  <c r="Q272" i="2"/>
  <c r="S273" i="2"/>
  <c r="Y277" i="2"/>
  <c r="Q278" i="2"/>
  <c r="AA279" i="2"/>
  <c r="Q280" i="2"/>
  <c r="K281" i="2"/>
  <c r="L281" i="2" s="1"/>
  <c r="AA284" i="2"/>
  <c r="S285" i="2"/>
  <c r="K288" i="2"/>
  <c r="L288" i="2" s="1"/>
  <c r="K291" i="2"/>
  <c r="L291" i="2" s="1"/>
  <c r="AA300" i="2"/>
  <c r="Q281" i="2"/>
  <c r="AA317" i="2"/>
  <c r="S262" i="2"/>
  <c r="Q264" i="2"/>
  <c r="AA266" i="2"/>
  <c r="K268" i="2"/>
  <c r="L268" i="2" s="1"/>
  <c r="Y268" i="2"/>
  <c r="S272" i="2"/>
  <c r="K274" i="2"/>
  <c r="L274" i="2" s="1"/>
  <c r="M303" i="2" s="1"/>
  <c r="AA274" i="2"/>
  <c r="S276" i="2"/>
  <c r="K277" i="2"/>
  <c r="L277" i="2" s="1"/>
  <c r="S278" i="2"/>
  <c r="K279" i="2"/>
  <c r="L279" i="2" s="1"/>
  <c r="S280" i="2"/>
  <c r="AA282" i="2"/>
  <c r="Y285" i="2"/>
  <c r="K293" i="2"/>
  <c r="L293" i="2" s="1"/>
  <c r="S295" i="2"/>
  <c r="Q297" i="2"/>
  <c r="AA299" i="2"/>
  <c r="S303" i="2"/>
  <c r="Q305" i="2"/>
  <c r="AA307" i="2"/>
  <c r="AA309" i="2"/>
  <c r="AB337" i="2" s="1"/>
  <c r="AC337" i="2" s="1"/>
  <c r="Q310" i="2"/>
  <c r="S312" i="2"/>
  <c r="Y313" i="2"/>
  <c r="K314" i="2"/>
  <c r="L314" i="2" s="1"/>
  <c r="M342" i="2" s="1"/>
  <c r="AA319" i="2"/>
  <c r="Y321" i="2"/>
  <c r="K331" i="2"/>
  <c r="L331" i="2" s="1"/>
  <c r="AA339" i="2"/>
  <c r="K337" i="2"/>
  <c r="L337" i="2" s="1"/>
  <c r="S345" i="2"/>
  <c r="S339" i="2"/>
  <c r="AA351" i="2"/>
  <c r="K287" i="2"/>
  <c r="L287" i="2" s="1"/>
  <c r="Y287" i="2"/>
  <c r="S289" i="2"/>
  <c r="Q291" i="2"/>
  <c r="AA293" i="2"/>
  <c r="K295" i="2"/>
  <c r="L295" i="2" s="1"/>
  <c r="M323" i="2" s="1"/>
  <c r="Y295" i="2"/>
  <c r="S297" i="2"/>
  <c r="Q299" i="2"/>
  <c r="AA301" i="2"/>
  <c r="K303" i="2"/>
  <c r="L303" i="2" s="1"/>
  <c r="Q307" i="2"/>
  <c r="Q309" i="2"/>
  <c r="AA313" i="2"/>
  <c r="AA337" i="2"/>
  <c r="K351" i="2"/>
  <c r="L351" i="2" s="1"/>
  <c r="K345" i="2"/>
  <c r="L345" i="2" s="1"/>
  <c r="S290" i="2"/>
  <c r="Q292" i="2"/>
  <c r="AA294" i="2"/>
  <c r="K296" i="2"/>
  <c r="L296" i="2" s="1"/>
  <c r="Y296" i="2"/>
  <c r="S298" i="2"/>
  <c r="Q300" i="2"/>
  <c r="AA302" i="2"/>
  <c r="K304" i="2"/>
  <c r="L304" i="2" s="1"/>
  <c r="Y304" i="2"/>
  <c r="S306" i="2"/>
  <c r="Q308" i="2"/>
  <c r="Y310" i="2"/>
  <c r="Y311" i="2"/>
  <c r="Q314" i="2"/>
  <c r="Y315" i="2"/>
  <c r="K316" i="2"/>
  <c r="L316" i="2" s="1"/>
  <c r="M344" i="2" s="1"/>
  <c r="AA316" i="2"/>
  <c r="Y318" i="2"/>
  <c r="Q293" i="2"/>
  <c r="AA295" i="2"/>
  <c r="K297" i="2"/>
  <c r="L297" i="2" s="1"/>
  <c r="Y297" i="2"/>
  <c r="S299" i="2"/>
  <c r="Q301" i="2"/>
  <c r="AA303" i="2"/>
  <c r="K305" i="2"/>
  <c r="L305" i="2" s="1"/>
  <c r="S307" i="2"/>
  <c r="S309" i="2"/>
  <c r="K311" i="2"/>
  <c r="L311" i="2" s="1"/>
  <c r="AA311" i="2"/>
  <c r="AA312" i="2"/>
  <c r="Q317" i="2"/>
  <c r="Q319" i="2"/>
  <c r="S341" i="2"/>
  <c r="K361" i="2"/>
  <c r="L361" i="2" s="1"/>
  <c r="K282" i="2"/>
  <c r="L282" i="2" s="1"/>
  <c r="Y282" i="2"/>
  <c r="S284" i="2"/>
  <c r="Q286" i="2"/>
  <c r="AA288" i="2"/>
  <c r="K290" i="2"/>
  <c r="L290" i="2" s="1"/>
  <c r="Y290" i="2"/>
  <c r="S292" i="2"/>
  <c r="Q294" i="2"/>
  <c r="AA296" i="2"/>
  <c r="K298" i="2"/>
  <c r="L298" i="2" s="1"/>
  <c r="Y298" i="2"/>
  <c r="S300" i="2"/>
  <c r="Q302" i="2"/>
  <c r="AA304" i="2"/>
  <c r="K306" i="2"/>
  <c r="L306" i="2" s="1"/>
  <c r="Y306" i="2"/>
  <c r="S308" i="2"/>
  <c r="K310" i="2"/>
  <c r="L310" i="2" s="1"/>
  <c r="K356" i="2"/>
  <c r="L356" i="2" s="1"/>
  <c r="S301" i="2"/>
  <c r="Q303" i="2"/>
  <c r="AA305" i="2"/>
  <c r="K307" i="2"/>
  <c r="L307" i="2" s="1"/>
  <c r="Y307" i="2"/>
  <c r="S286" i="2"/>
  <c r="Q288" i="2"/>
  <c r="AA290" i="2"/>
  <c r="K292" i="2"/>
  <c r="L292" i="2" s="1"/>
  <c r="Y292" i="2"/>
  <c r="S294" i="2"/>
  <c r="Q296" i="2"/>
  <c r="AA298" i="2"/>
  <c r="AB327" i="2" s="1"/>
  <c r="AC327" i="2" s="1"/>
  <c r="Y300" i="2"/>
  <c r="S302" i="2"/>
  <c r="Q304" i="2"/>
  <c r="AA306" i="2"/>
  <c r="K308" i="2"/>
  <c r="L308" i="2" s="1"/>
  <c r="K309" i="2"/>
  <c r="L309" i="2" s="1"/>
  <c r="Q311" i="2"/>
  <c r="Q312" i="2"/>
  <c r="S316" i="2"/>
  <c r="Q318" i="2"/>
  <c r="AA320" i="2"/>
  <c r="K322" i="2"/>
  <c r="L322" i="2" s="1"/>
  <c r="Y322" i="2"/>
  <c r="S324" i="2"/>
  <c r="Q326" i="2"/>
  <c r="AA328" i="2"/>
  <c r="AB356" i="2" s="1"/>
  <c r="AC356" i="2" s="1"/>
  <c r="AA330" i="2"/>
  <c r="AA331" i="2"/>
  <c r="K333" i="2"/>
  <c r="L333" i="2" s="1"/>
  <c r="AA334" i="2"/>
  <c r="AA336" i="2"/>
  <c r="AA340" i="2"/>
  <c r="Y341" i="2"/>
  <c r="Y342" i="2"/>
  <c r="Y343" i="2"/>
  <c r="Y346" i="2"/>
  <c r="Y347" i="2"/>
  <c r="S348" i="2"/>
  <c r="K357" i="2"/>
  <c r="L357" i="2" s="1"/>
  <c r="K358" i="2"/>
  <c r="L358" i="2" s="1"/>
  <c r="K362" i="2"/>
  <c r="L362" i="2" s="1"/>
  <c r="AA366" i="2"/>
  <c r="Q357" i="2"/>
  <c r="K323" i="2"/>
  <c r="L323" i="2" s="1"/>
  <c r="Y323" i="2"/>
  <c r="S325" i="2"/>
  <c r="Q327" i="2"/>
  <c r="AA341" i="2"/>
  <c r="AA345" i="2"/>
  <c r="AA346" i="2"/>
  <c r="AA347" i="2"/>
  <c r="S349" i="2"/>
  <c r="S350" i="2"/>
  <c r="S351" i="2"/>
  <c r="S352" i="2"/>
  <c r="S353" i="2"/>
  <c r="S354" i="2"/>
  <c r="K359" i="2"/>
  <c r="L359" i="2" s="1"/>
  <c r="K360" i="2"/>
  <c r="L360" i="2" s="1"/>
  <c r="K363" i="2"/>
  <c r="L363" i="2" s="1"/>
  <c r="K364" i="2"/>
  <c r="L364" i="2" s="1"/>
  <c r="AA343" i="2"/>
  <c r="Y345" i="2"/>
  <c r="S326" i="2"/>
  <c r="S332" i="2"/>
  <c r="K334" i="2"/>
  <c r="L334" i="2" s="1"/>
  <c r="K338" i="2"/>
  <c r="L338" i="2" s="1"/>
  <c r="AA342" i="2"/>
  <c r="AA344" i="2"/>
  <c r="AA348" i="2"/>
  <c r="S356" i="2"/>
  <c r="Q333" i="2"/>
  <c r="K365" i="2"/>
  <c r="L365" i="2" s="1"/>
  <c r="K366" i="2"/>
  <c r="L366" i="2" s="1"/>
  <c r="Y309" i="2"/>
  <c r="S311" i="2"/>
  <c r="Q313" i="2"/>
  <c r="AA315" i="2"/>
  <c r="K317" i="2"/>
  <c r="L317" i="2" s="1"/>
  <c r="Y317" i="2"/>
  <c r="S319" i="2"/>
  <c r="Q321" i="2"/>
  <c r="AA323" i="2"/>
  <c r="K325" i="2"/>
  <c r="L325" i="2" s="1"/>
  <c r="M353" i="2" s="1"/>
  <c r="Y325" i="2"/>
  <c r="S327" i="2"/>
  <c r="Q331" i="2"/>
  <c r="Y332" i="2"/>
  <c r="K335" i="2"/>
  <c r="L335" i="2" s="1"/>
  <c r="M364" i="2" s="1"/>
  <c r="K336" i="2"/>
  <c r="L336" i="2" s="1"/>
  <c r="Q338" i="2"/>
  <c r="K339" i="2"/>
  <c r="L339" i="2" s="1"/>
  <c r="K340" i="2"/>
  <c r="L340" i="2" s="1"/>
  <c r="AA349" i="2"/>
  <c r="Y352" i="2"/>
  <c r="AA353" i="2"/>
  <c r="AA354" i="2"/>
  <c r="AA355" i="2"/>
  <c r="Y356" i="2"/>
  <c r="S357" i="2"/>
  <c r="S358" i="2"/>
  <c r="S359" i="2"/>
  <c r="S360" i="2"/>
  <c r="S361" i="2"/>
  <c r="S362" i="2"/>
  <c r="Q364" i="2"/>
  <c r="K367" i="2"/>
  <c r="L367" i="2" s="1"/>
  <c r="Y353" i="2"/>
  <c r="S320" i="2"/>
  <c r="Q322" i="2"/>
  <c r="AA324" i="2"/>
  <c r="K326" i="2"/>
  <c r="L326" i="2" s="1"/>
  <c r="Y326" i="2"/>
  <c r="S328" i="2"/>
  <c r="S329" i="2"/>
  <c r="S330" i="2"/>
  <c r="AA332" i="2"/>
  <c r="S333" i="2"/>
  <c r="K341" i="2"/>
  <c r="L341" i="2" s="1"/>
  <c r="K342" i="2"/>
  <c r="L342" i="2" s="1"/>
  <c r="K346" i="2"/>
  <c r="L346" i="2" s="1"/>
  <c r="AA350" i="2"/>
  <c r="AA352" i="2"/>
  <c r="AA356" i="2"/>
  <c r="S364" i="2"/>
  <c r="Q323" i="2"/>
  <c r="AA325" i="2"/>
  <c r="K327" i="2"/>
  <c r="L327" i="2" s="1"/>
  <c r="K332" i="2"/>
  <c r="L332" i="2" s="1"/>
  <c r="S334" i="2"/>
  <c r="S335" i="2"/>
  <c r="S336" i="2"/>
  <c r="S337" i="2"/>
  <c r="S338" i="2"/>
  <c r="K343" i="2"/>
  <c r="L343" i="2" s="1"/>
  <c r="K344" i="2"/>
  <c r="L344" i="2" s="1"/>
  <c r="K347" i="2"/>
  <c r="L347" i="2" s="1"/>
  <c r="K348" i="2"/>
  <c r="L348" i="2" s="1"/>
  <c r="AA357" i="2"/>
  <c r="AA361" i="2"/>
  <c r="AA362" i="2"/>
  <c r="AA363" i="2"/>
  <c r="S365" i="2"/>
  <c r="S366" i="2"/>
  <c r="S367" i="2"/>
  <c r="AA310" i="2"/>
  <c r="K312" i="2"/>
  <c r="L312" i="2" s="1"/>
  <c r="Y312" i="2"/>
  <c r="S314" i="2"/>
  <c r="Q316" i="2"/>
  <c r="AA318" i="2"/>
  <c r="K320" i="2"/>
  <c r="L320" i="2" s="1"/>
  <c r="Y320" i="2"/>
  <c r="S322" i="2"/>
  <c r="Q324" i="2"/>
  <c r="AA326" i="2"/>
  <c r="K328" i="2"/>
  <c r="L328" i="2" s="1"/>
  <c r="Y328" i="2"/>
  <c r="K330" i="2"/>
  <c r="L330" i="2" s="1"/>
  <c r="Y330" i="2"/>
  <c r="Y331" i="2"/>
  <c r="AA333" i="2"/>
  <c r="Y334" i="2"/>
  <c r="Y335" i="2"/>
  <c r="Y338" i="2"/>
  <c r="Y339" i="2"/>
  <c r="S340" i="2"/>
  <c r="Q342" i="2"/>
  <c r="Q343" i="2"/>
  <c r="Q344" i="2"/>
  <c r="Q345" i="2"/>
  <c r="Q347" i="2"/>
  <c r="K349" i="2"/>
  <c r="L349" i="2" s="1"/>
  <c r="K350" i="2"/>
  <c r="L350" i="2" s="1"/>
  <c r="K354" i="2"/>
  <c r="L354" i="2" s="1"/>
  <c r="AA358" i="2"/>
  <c r="AA360" i="2"/>
  <c r="AA364" i="2"/>
  <c r="Y365" i="2"/>
  <c r="Y366" i="2"/>
  <c r="Y367" i="2"/>
  <c r="Q349" i="2"/>
  <c r="P97" i="1"/>
  <c r="P137" i="1"/>
  <c r="P273" i="1"/>
  <c r="P321" i="1"/>
  <c r="P337" i="1"/>
  <c r="P177" i="1"/>
  <c r="P193" i="1"/>
  <c r="P265" i="1"/>
  <c r="P361" i="1"/>
  <c r="P25" i="1"/>
  <c r="P57" i="1"/>
  <c r="P121" i="1"/>
  <c r="P289" i="1"/>
  <c r="P153" i="1"/>
  <c r="P241" i="1"/>
  <c r="P313" i="1"/>
  <c r="P329" i="1"/>
  <c r="P345" i="1"/>
  <c r="P17" i="1"/>
  <c r="P49" i="1"/>
  <c r="P113" i="1"/>
  <c r="P185" i="1"/>
  <c r="P201" i="1"/>
  <c r="P217" i="1"/>
  <c r="P257" i="1"/>
  <c r="P169" i="1"/>
  <c r="P233" i="1"/>
  <c r="P281" i="1"/>
  <c r="P367" i="1"/>
  <c r="P9" i="1"/>
  <c r="P41" i="1"/>
  <c r="P73" i="1"/>
  <c r="P81" i="1"/>
  <c r="P145" i="1"/>
  <c r="P305" i="1"/>
  <c r="P353" i="1"/>
  <c r="P18" i="1"/>
  <c r="P50" i="1"/>
  <c r="P170" i="1"/>
  <c r="P258" i="1"/>
  <c r="P146" i="1"/>
  <c r="P282" i="1"/>
  <c r="P10" i="1"/>
  <c r="P42" i="1"/>
  <c r="P74" i="1"/>
  <c r="P82" i="1"/>
  <c r="P90" i="1"/>
  <c r="P98" i="1"/>
  <c r="P234" i="1"/>
  <c r="P306" i="1"/>
  <c r="P130" i="1"/>
  <c r="P162" i="1"/>
  <c r="P274" i="1"/>
  <c r="P338" i="1"/>
  <c r="P34" i="1"/>
  <c r="P66" i="1"/>
  <c r="P178" i="1"/>
  <c r="P194" i="1"/>
  <c r="P298" i="1"/>
  <c r="P122" i="1"/>
  <c r="P226" i="1"/>
  <c r="P362" i="1"/>
  <c r="P26" i="1"/>
  <c r="P58" i="1"/>
  <c r="P154" i="1"/>
  <c r="P202" i="1"/>
  <c r="P173" i="1"/>
  <c r="P125" i="1"/>
  <c r="P149" i="1"/>
  <c r="P157" i="1"/>
  <c r="P165" i="1"/>
  <c r="P210" i="1"/>
  <c r="P138" i="1"/>
  <c r="P189" i="1"/>
  <c r="P206" i="1"/>
  <c r="P266" i="1"/>
  <c r="P322" i="1"/>
  <c r="P346" i="1"/>
  <c r="P251" i="1"/>
  <c r="P290" i="1"/>
  <c r="P219" i="1"/>
  <c r="P227" i="1"/>
  <c r="P250" i="1"/>
  <c r="P354" i="1"/>
  <c r="P16" i="4"/>
  <c r="Q16" i="4" s="1"/>
  <c r="P89" i="4"/>
  <c r="Q89" i="4" s="1"/>
  <c r="P41" i="4"/>
  <c r="Q41" i="4" s="1"/>
  <c r="P32" i="4"/>
  <c r="Q32" i="4" s="1"/>
  <c r="P73" i="4"/>
  <c r="Q73" i="4" s="1"/>
  <c r="P48" i="4"/>
  <c r="Q48" i="4" s="1"/>
  <c r="P56" i="4"/>
  <c r="Q56" i="4" s="1"/>
  <c r="P17" i="4"/>
  <c r="Q17" i="4" s="1"/>
  <c r="P25" i="4"/>
  <c r="Q25" i="4" s="1"/>
  <c r="P40" i="4"/>
  <c r="Q40" i="4" s="1"/>
  <c r="P81" i="4"/>
  <c r="Q81" i="4" s="1"/>
  <c r="P9" i="4"/>
  <c r="Q9" i="4" s="1"/>
  <c r="P96" i="4"/>
  <c r="Q96" i="4" s="1"/>
  <c r="P105" i="4"/>
  <c r="Q105" i="4" s="1"/>
  <c r="Y2" i="4"/>
  <c r="R3" i="4"/>
  <c r="R4" i="4" s="1"/>
  <c r="T2" i="4"/>
  <c r="V2" i="4"/>
  <c r="P58" i="4"/>
  <c r="Q58" i="4" s="1"/>
  <c r="X2" i="4"/>
  <c r="Z2" i="4"/>
  <c r="P49" i="4"/>
  <c r="Q49" i="4" s="1"/>
  <c r="P57" i="4"/>
  <c r="Q57" i="4" s="1"/>
  <c r="P65" i="4"/>
  <c r="Q65" i="4" s="1"/>
  <c r="P95" i="3"/>
  <c r="Q95" i="3" s="1"/>
  <c r="P87" i="3"/>
  <c r="Q87" i="3" s="1"/>
  <c r="P79" i="3"/>
  <c r="Q79" i="3" s="1"/>
  <c r="P73" i="3"/>
  <c r="Q73" i="3" s="1"/>
  <c r="P65" i="3"/>
  <c r="Q65" i="3" s="1"/>
  <c r="P57" i="3"/>
  <c r="Q57" i="3" s="1"/>
  <c r="P55" i="3"/>
  <c r="Q55" i="3" s="1"/>
  <c r="P93" i="3"/>
  <c r="Q93" i="3" s="1"/>
  <c r="P85" i="3"/>
  <c r="Q85" i="3" s="1"/>
  <c r="P77" i="3"/>
  <c r="Q77" i="3" s="1"/>
  <c r="P69" i="3"/>
  <c r="Q69" i="3" s="1"/>
  <c r="P59" i="3"/>
  <c r="Q59" i="3" s="1"/>
  <c r="P97" i="3"/>
  <c r="Q97" i="3" s="1"/>
  <c r="P91" i="3"/>
  <c r="Q91" i="3" s="1"/>
  <c r="P83" i="3"/>
  <c r="Q83" i="3" s="1"/>
  <c r="P75" i="3"/>
  <c r="Q75" i="3" s="1"/>
  <c r="P67" i="3"/>
  <c r="Q67" i="3" s="1"/>
  <c r="P61" i="3"/>
  <c r="Q61" i="3" s="1"/>
  <c r="P89" i="3"/>
  <c r="Q89" i="3" s="1"/>
  <c r="P81" i="3"/>
  <c r="Q81" i="3" s="1"/>
  <c r="P71" i="3"/>
  <c r="Q71" i="3" s="1"/>
  <c r="P63" i="3"/>
  <c r="Q63" i="3" s="1"/>
  <c r="N21" i="3"/>
  <c r="L21" i="3"/>
  <c r="M21" i="3" s="1"/>
  <c r="O21" i="3" s="1"/>
  <c r="K21" i="3"/>
  <c r="N20" i="3"/>
  <c r="L20" i="3"/>
  <c r="M20" i="3" s="1"/>
  <c r="O20" i="3" s="1"/>
  <c r="K20" i="3"/>
  <c r="N19" i="3"/>
  <c r="L19" i="3"/>
  <c r="M19" i="3" s="1"/>
  <c r="O19" i="3" s="1"/>
  <c r="K19" i="3"/>
  <c r="N18" i="3"/>
  <c r="L18" i="3"/>
  <c r="M18" i="3" s="1"/>
  <c r="O18" i="3" s="1"/>
  <c r="K18" i="3"/>
  <c r="N17" i="3"/>
  <c r="L17" i="3"/>
  <c r="M17" i="3" s="1"/>
  <c r="K17" i="3"/>
  <c r="N16" i="3"/>
  <c r="L16" i="3"/>
  <c r="M16" i="3" s="1"/>
  <c r="O16" i="3" s="1"/>
  <c r="K16" i="3"/>
  <c r="N15" i="3"/>
  <c r="M15" i="3"/>
  <c r="O15" i="3" s="1"/>
  <c r="L15" i="3"/>
  <c r="K15" i="3"/>
  <c r="N14" i="3"/>
  <c r="L14" i="3"/>
  <c r="M14" i="3" s="1"/>
  <c r="O14" i="3" s="1"/>
  <c r="K14" i="3"/>
  <c r="N13" i="3"/>
  <c r="M13" i="3"/>
  <c r="O13" i="3" s="1"/>
  <c r="L13" i="3"/>
  <c r="K13" i="3"/>
  <c r="N12" i="3"/>
  <c r="L12" i="3"/>
  <c r="M12" i="3" s="1"/>
  <c r="O12" i="3" s="1"/>
  <c r="K12" i="3"/>
  <c r="W11" i="3"/>
  <c r="N11" i="3"/>
  <c r="M11" i="3"/>
  <c r="O11" i="3" s="1"/>
  <c r="L11" i="3"/>
  <c r="K11" i="3"/>
  <c r="N10" i="3"/>
  <c r="L10" i="3"/>
  <c r="M10" i="3" s="1"/>
  <c r="K10" i="3"/>
  <c r="N9" i="3"/>
  <c r="M9" i="3"/>
  <c r="O9" i="3" s="1"/>
  <c r="L9" i="3"/>
  <c r="K9" i="3"/>
  <c r="N8" i="3"/>
  <c r="L8" i="3"/>
  <c r="M8" i="3" s="1"/>
  <c r="O8" i="3" s="1"/>
  <c r="K8" i="3"/>
  <c r="N7" i="3"/>
  <c r="L7" i="3"/>
  <c r="M7" i="3" s="1"/>
  <c r="O7" i="3" s="1"/>
  <c r="K7" i="3"/>
  <c r="N6" i="3"/>
  <c r="L6" i="3"/>
  <c r="M6" i="3" s="1"/>
  <c r="O6" i="3" s="1"/>
  <c r="K6" i="3"/>
  <c r="N5" i="3"/>
  <c r="L5" i="3"/>
  <c r="M5" i="3" s="1"/>
  <c r="O5" i="3" s="1"/>
  <c r="K5" i="3"/>
  <c r="N4" i="3"/>
  <c r="L4" i="3"/>
  <c r="M4" i="3" s="1"/>
  <c r="O4" i="3" s="1"/>
  <c r="K4" i="3"/>
  <c r="N3" i="3"/>
  <c r="L3" i="3"/>
  <c r="M3" i="3" s="1"/>
  <c r="O3" i="3" s="1"/>
  <c r="K3" i="3"/>
  <c r="N2" i="3"/>
  <c r="L2" i="3"/>
  <c r="M2" i="3" s="1"/>
  <c r="O2" i="3" s="1"/>
  <c r="K2" i="3"/>
  <c r="T3" i="6" l="1"/>
  <c r="U3" i="6"/>
  <c r="S4" i="6"/>
  <c r="U4" i="6" s="1"/>
  <c r="T2" i="6"/>
  <c r="U2" i="6"/>
  <c r="S5" i="6"/>
  <c r="T4" i="6"/>
  <c r="AB365" i="2"/>
  <c r="AC365" i="2" s="1"/>
  <c r="AB351" i="2"/>
  <c r="AC351" i="2" s="1"/>
  <c r="AB324" i="2"/>
  <c r="AC324" i="2" s="1"/>
  <c r="AB350" i="2"/>
  <c r="AC350" i="2" s="1"/>
  <c r="AB279" i="2"/>
  <c r="AC279" i="2" s="1"/>
  <c r="AB291" i="2"/>
  <c r="AC291" i="2" s="1"/>
  <c r="M188" i="2"/>
  <c r="AB193" i="2"/>
  <c r="AC193" i="2" s="1"/>
  <c r="AB189" i="2"/>
  <c r="AC189" i="2" s="1"/>
  <c r="M130" i="2"/>
  <c r="M139" i="2"/>
  <c r="M349" i="2"/>
  <c r="M361" i="2"/>
  <c r="AB363" i="2"/>
  <c r="AC363" i="2" s="1"/>
  <c r="M332" i="2"/>
  <c r="M360" i="2"/>
  <c r="AB311" i="2"/>
  <c r="AC311" i="2" s="1"/>
  <c r="AB329" i="2"/>
  <c r="AC329" i="2" s="1"/>
  <c r="M310" i="2"/>
  <c r="AB285" i="2"/>
  <c r="AC285" i="2" s="1"/>
  <c r="M309" i="2"/>
  <c r="AB264" i="2"/>
  <c r="AC264" i="2" s="1"/>
  <c r="M275" i="2"/>
  <c r="M264" i="2"/>
  <c r="AB281" i="2"/>
  <c r="AC281" i="2" s="1"/>
  <c r="M269" i="2"/>
  <c r="M234" i="2"/>
  <c r="M251" i="2"/>
  <c r="AB258" i="2"/>
  <c r="AC258" i="2" s="1"/>
  <c r="M232" i="2"/>
  <c r="AB237" i="2"/>
  <c r="AC237" i="2" s="1"/>
  <c r="AB243" i="2"/>
  <c r="AC243" i="2" s="1"/>
  <c r="M221" i="2"/>
  <c r="AB263" i="2"/>
  <c r="AC263" i="2" s="1"/>
  <c r="AB211" i="2"/>
  <c r="AC211" i="2" s="1"/>
  <c r="M224" i="2"/>
  <c r="AB210" i="2"/>
  <c r="AC210" i="2" s="1"/>
  <c r="M210" i="2"/>
  <c r="AB199" i="2"/>
  <c r="AC199" i="2" s="1"/>
  <c r="AB206" i="2"/>
  <c r="AC206" i="2" s="1"/>
  <c r="AB236" i="2"/>
  <c r="AC236" i="2" s="1"/>
  <c r="AB214" i="2"/>
  <c r="AC214" i="2" s="1"/>
  <c r="AB225" i="2"/>
  <c r="AC225" i="2" s="1"/>
  <c r="M204" i="2"/>
  <c r="M217" i="2"/>
  <c r="M179" i="2"/>
  <c r="M156" i="2"/>
  <c r="M163" i="2"/>
  <c r="AB176" i="2"/>
  <c r="AC176" i="2" s="1"/>
  <c r="AB196" i="2"/>
  <c r="AC196" i="2" s="1"/>
  <c r="AB177" i="2"/>
  <c r="AC177" i="2" s="1"/>
  <c r="AB187" i="2"/>
  <c r="AC187" i="2" s="1"/>
  <c r="M177" i="2"/>
  <c r="M121" i="2"/>
  <c r="AB151" i="2"/>
  <c r="AC151" i="2" s="1"/>
  <c r="M127" i="2"/>
  <c r="M118" i="2"/>
  <c r="AB195" i="2"/>
  <c r="AC195" i="2" s="1"/>
  <c r="M142" i="2"/>
  <c r="M161" i="2"/>
  <c r="M108" i="2"/>
  <c r="M45" i="2"/>
  <c r="M137" i="2"/>
  <c r="AB113" i="2"/>
  <c r="AC113" i="2" s="1"/>
  <c r="M54" i="2"/>
  <c r="M99" i="2"/>
  <c r="M75" i="2"/>
  <c r="M33" i="2"/>
  <c r="AB73" i="2"/>
  <c r="AC73" i="2" s="1"/>
  <c r="AB97" i="2"/>
  <c r="AC97" i="2" s="1"/>
  <c r="M69" i="2"/>
  <c r="M50" i="2"/>
  <c r="M63" i="2"/>
  <c r="M59" i="2"/>
  <c r="AB68" i="2"/>
  <c r="AC68" i="2" s="1"/>
  <c r="M105" i="2"/>
  <c r="M73" i="2"/>
  <c r="AB275" i="2"/>
  <c r="AC275" i="2" s="1"/>
  <c r="M239" i="2"/>
  <c r="AB212" i="2"/>
  <c r="AC212" i="2" s="1"/>
  <c r="M215" i="2"/>
  <c r="AB175" i="2"/>
  <c r="AC175" i="2" s="1"/>
  <c r="AB203" i="2"/>
  <c r="AC203" i="2" s="1"/>
  <c r="AB194" i="2"/>
  <c r="AC194" i="2" s="1"/>
  <c r="M115" i="2"/>
  <c r="M47" i="2"/>
  <c r="M359" i="2"/>
  <c r="AB347" i="2"/>
  <c r="AC347" i="2" s="1"/>
  <c r="M367" i="2"/>
  <c r="M362" i="2"/>
  <c r="M351" i="2"/>
  <c r="M338" i="2"/>
  <c r="M339" i="2"/>
  <c r="M327" i="2"/>
  <c r="M334" i="2"/>
  <c r="AB366" i="2"/>
  <c r="AC366" i="2" s="1"/>
  <c r="AB330" i="2"/>
  <c r="AC330" i="2" s="1"/>
  <c r="AB338" i="2"/>
  <c r="AC338" i="2" s="1"/>
  <c r="M288" i="2"/>
  <c r="M314" i="2"/>
  <c r="AB302" i="2"/>
  <c r="AC302" i="2" s="1"/>
  <c r="AB274" i="2"/>
  <c r="AC274" i="2" s="1"/>
  <c r="AB290" i="2"/>
  <c r="AC290" i="2" s="1"/>
  <c r="AB262" i="2"/>
  <c r="AC262" i="2" s="1"/>
  <c r="M313" i="2"/>
  <c r="AB267" i="2"/>
  <c r="AC267" i="2" s="1"/>
  <c r="AB249" i="2"/>
  <c r="AC249" i="2" s="1"/>
  <c r="AB232" i="2"/>
  <c r="AC232" i="2" s="1"/>
  <c r="M278" i="2"/>
  <c r="M233" i="2"/>
  <c r="AB230" i="2"/>
  <c r="AC230" i="2" s="1"/>
  <c r="AB252" i="2"/>
  <c r="AC252" i="2" s="1"/>
  <c r="AB241" i="2"/>
  <c r="AC241" i="2" s="1"/>
  <c r="M253" i="2"/>
  <c r="AB242" i="2"/>
  <c r="AC242" i="2" s="1"/>
  <c r="AB219" i="2"/>
  <c r="AC219" i="2" s="1"/>
  <c r="M218" i="2"/>
  <c r="AB209" i="2"/>
  <c r="AC209" i="2" s="1"/>
  <c r="M222" i="2"/>
  <c r="AB208" i="2"/>
  <c r="AC208" i="2" s="1"/>
  <c r="M185" i="2"/>
  <c r="M230" i="2"/>
  <c r="AB223" i="2"/>
  <c r="AC223" i="2" s="1"/>
  <c r="AB202" i="2"/>
  <c r="AC202" i="2" s="1"/>
  <c r="AB161" i="2"/>
  <c r="AC161" i="2" s="1"/>
  <c r="M176" i="2"/>
  <c r="AB119" i="2"/>
  <c r="AC119" i="2" s="1"/>
  <c r="M140" i="2"/>
  <c r="AB125" i="2"/>
  <c r="AC125" i="2" s="1"/>
  <c r="AB147" i="2"/>
  <c r="AC147" i="2" s="1"/>
  <c r="M88" i="2"/>
  <c r="M117" i="2"/>
  <c r="AB105" i="2"/>
  <c r="AC105" i="2" s="1"/>
  <c r="M82" i="2"/>
  <c r="AB85" i="2"/>
  <c r="AC85" i="2" s="1"/>
  <c r="AB72" i="2"/>
  <c r="AC72" i="2" s="1"/>
  <c r="M40" i="2"/>
  <c r="M93" i="2"/>
  <c r="M31" i="2"/>
  <c r="M78" i="2"/>
  <c r="M143" i="2"/>
  <c r="M87" i="2"/>
  <c r="M35" i="2"/>
  <c r="AB101" i="2"/>
  <c r="AC101" i="2" s="1"/>
  <c r="AB70" i="2"/>
  <c r="AC70" i="2" s="1"/>
  <c r="M266" i="2"/>
  <c r="M284" i="2"/>
  <c r="M212" i="2"/>
  <c r="AB226" i="2"/>
  <c r="AC226" i="2" s="1"/>
  <c r="AB167" i="2"/>
  <c r="AC167" i="2" s="1"/>
  <c r="AB144" i="2"/>
  <c r="AC144" i="2" s="1"/>
  <c r="AB87" i="2"/>
  <c r="AC87" i="2" s="1"/>
  <c r="AB103" i="2"/>
  <c r="AC103" i="2" s="1"/>
  <c r="M48" i="2"/>
  <c r="M101" i="2"/>
  <c r="AB91" i="2"/>
  <c r="AC91" i="2" s="1"/>
  <c r="M356" i="2"/>
  <c r="M346" i="2"/>
  <c r="AB360" i="2"/>
  <c r="AC360" i="2" s="1"/>
  <c r="AB349" i="2"/>
  <c r="AC349" i="2" s="1"/>
  <c r="M337" i="2"/>
  <c r="M336" i="2"/>
  <c r="AB325" i="2"/>
  <c r="AC325" i="2" s="1"/>
  <c r="AB332" i="2"/>
  <c r="AC332" i="2" s="1"/>
  <c r="M325" i="2"/>
  <c r="M316" i="2"/>
  <c r="AB336" i="2"/>
  <c r="AC336" i="2" s="1"/>
  <c r="M308" i="2"/>
  <c r="M297" i="2"/>
  <c r="AB308" i="2"/>
  <c r="AC308" i="2" s="1"/>
  <c r="M298" i="2"/>
  <c r="AB286" i="2"/>
  <c r="AC286" i="2" s="1"/>
  <c r="M295" i="2"/>
  <c r="AB326" i="2"/>
  <c r="AC326" i="2" s="1"/>
  <c r="M307" i="2"/>
  <c r="M305" i="2"/>
  <c r="M331" i="2"/>
  <c r="AB301" i="2"/>
  <c r="AC301" i="2" s="1"/>
  <c r="M289" i="2"/>
  <c r="M302" i="2"/>
  <c r="M286" i="2"/>
  <c r="AB272" i="2"/>
  <c r="AC272" i="2" s="1"/>
  <c r="M248" i="2"/>
  <c r="AB298" i="2"/>
  <c r="AC298" i="2" s="1"/>
  <c r="M263" i="2"/>
  <c r="AB299" i="2"/>
  <c r="AC299" i="2" s="1"/>
  <c r="AB280" i="2"/>
  <c r="AC280" i="2" s="1"/>
  <c r="M267" i="2"/>
  <c r="M249" i="2"/>
  <c r="M277" i="2"/>
  <c r="AB251" i="2"/>
  <c r="AC251" i="2" s="1"/>
  <c r="AB231" i="2"/>
  <c r="AC231" i="2" s="1"/>
  <c r="M255" i="2"/>
  <c r="AB255" i="2"/>
  <c r="AC255" i="2" s="1"/>
  <c r="M242" i="2"/>
  <c r="M259" i="2"/>
  <c r="AB244" i="2"/>
  <c r="AC244" i="2" s="1"/>
  <c r="M195" i="2"/>
  <c r="M194" i="2"/>
  <c r="M214" i="2"/>
  <c r="M209" i="2"/>
  <c r="AB222" i="2"/>
  <c r="AC222" i="2" s="1"/>
  <c r="M199" i="2"/>
  <c r="AB234" i="2"/>
  <c r="AC234" i="2" s="1"/>
  <c r="M147" i="2"/>
  <c r="M162" i="2"/>
  <c r="M187" i="2"/>
  <c r="AB185" i="2"/>
  <c r="AC185" i="2" s="1"/>
  <c r="M160" i="2"/>
  <c r="M146" i="2"/>
  <c r="AB141" i="2"/>
  <c r="AC141" i="2" s="1"/>
  <c r="M135" i="2"/>
  <c r="AB128" i="2"/>
  <c r="AC128" i="2" s="1"/>
  <c r="AB116" i="2"/>
  <c r="AC116" i="2" s="1"/>
  <c r="AB149" i="2"/>
  <c r="AC149" i="2" s="1"/>
  <c r="AB115" i="2"/>
  <c r="AC115" i="2" s="1"/>
  <c r="AB82" i="2"/>
  <c r="AC82" i="2" s="1"/>
  <c r="M157" i="2"/>
  <c r="M116" i="2"/>
  <c r="AB59" i="2"/>
  <c r="AC59" i="2" s="1"/>
  <c r="AB51" i="2"/>
  <c r="AC51" i="2" s="1"/>
  <c r="AB43" i="2"/>
  <c r="AC43" i="2" s="1"/>
  <c r="AB35" i="2"/>
  <c r="AC35" i="2" s="1"/>
  <c r="AB58" i="2"/>
  <c r="AC58" i="2" s="1"/>
  <c r="AB50" i="2"/>
  <c r="AC50" i="2" s="1"/>
  <c r="AB42" i="2"/>
  <c r="AC42" i="2" s="1"/>
  <c r="AB34" i="2"/>
  <c r="AC34" i="2" s="1"/>
  <c r="AB57" i="2"/>
  <c r="AC57" i="2" s="1"/>
  <c r="AB49" i="2"/>
  <c r="AC49" i="2" s="1"/>
  <c r="AB41" i="2"/>
  <c r="AC41" i="2" s="1"/>
  <c r="AB33" i="2"/>
  <c r="AC33" i="2" s="1"/>
  <c r="AB56" i="2"/>
  <c r="AC56" i="2" s="1"/>
  <c r="AB48" i="2"/>
  <c r="AC48" i="2" s="1"/>
  <c r="AB40" i="2"/>
  <c r="AC40" i="2" s="1"/>
  <c r="AB32" i="2"/>
  <c r="AC32" i="2" s="1"/>
  <c r="AB44" i="2"/>
  <c r="AC44" i="2" s="1"/>
  <c r="AB55" i="2"/>
  <c r="AC55" i="2" s="1"/>
  <c r="AB47" i="2"/>
  <c r="AC47" i="2" s="1"/>
  <c r="AB39" i="2"/>
  <c r="AC39" i="2" s="1"/>
  <c r="AB31" i="2"/>
  <c r="AC31" i="2" s="1"/>
  <c r="AB36" i="2"/>
  <c r="AC36" i="2" s="1"/>
  <c r="AB54" i="2"/>
  <c r="AC54" i="2" s="1"/>
  <c r="AB46" i="2"/>
  <c r="AC46" i="2" s="1"/>
  <c r="AB38" i="2"/>
  <c r="AC38" i="2" s="1"/>
  <c r="AB53" i="2"/>
  <c r="AC53" i="2" s="1"/>
  <c r="AB45" i="2"/>
  <c r="AC45" i="2" s="1"/>
  <c r="AB37" i="2"/>
  <c r="AC37" i="2" s="1"/>
  <c r="AB60" i="2"/>
  <c r="AC60" i="2" s="1"/>
  <c r="AB52" i="2"/>
  <c r="AC52" i="2" s="1"/>
  <c r="M37" i="2"/>
  <c r="M123" i="2"/>
  <c r="M106" i="2"/>
  <c r="AB79" i="2"/>
  <c r="AC79" i="2" s="1"/>
  <c r="M52" i="2"/>
  <c r="M39" i="2"/>
  <c r="AB104" i="2"/>
  <c r="AC104" i="2" s="1"/>
  <c r="AB65" i="2"/>
  <c r="AC65" i="2" s="1"/>
  <c r="AB89" i="2"/>
  <c r="AC89" i="2" s="1"/>
  <c r="M96" i="2"/>
  <c r="M111" i="2"/>
  <c r="AB84" i="2"/>
  <c r="AC84" i="2" s="1"/>
  <c r="M34" i="2"/>
  <c r="M65" i="2"/>
  <c r="AB313" i="2"/>
  <c r="AC313" i="2" s="1"/>
  <c r="M293" i="2"/>
  <c r="M129" i="2"/>
  <c r="M122" i="2"/>
  <c r="M66" i="2"/>
  <c r="M71" i="2"/>
  <c r="M357" i="2"/>
  <c r="AB354" i="2"/>
  <c r="AC354" i="2" s="1"/>
  <c r="M355" i="2"/>
  <c r="AB344" i="2"/>
  <c r="AC344" i="2" s="1"/>
  <c r="AB359" i="2"/>
  <c r="AC359" i="2" s="1"/>
  <c r="AB335" i="2"/>
  <c r="AC335" i="2" s="1"/>
  <c r="M321" i="2"/>
  <c r="AB334" i="2"/>
  <c r="AC334" i="2" s="1"/>
  <c r="M311" i="2"/>
  <c r="AB341" i="2"/>
  <c r="AC341" i="2" s="1"/>
  <c r="AB345" i="2"/>
  <c r="AC345" i="2" s="1"/>
  <c r="AB323" i="2"/>
  <c r="AC323" i="2" s="1"/>
  <c r="AB348" i="2"/>
  <c r="AC348" i="2" s="1"/>
  <c r="AB295" i="2"/>
  <c r="AC295" i="2" s="1"/>
  <c r="M272" i="2"/>
  <c r="AB293" i="2"/>
  <c r="AC293" i="2" s="1"/>
  <c r="AB321" i="2"/>
  <c r="AC321" i="2" s="1"/>
  <c r="M294" i="2"/>
  <c r="AB320" i="2"/>
  <c r="AC320" i="2" s="1"/>
  <c r="AB318" i="2"/>
  <c r="AC318" i="2" s="1"/>
  <c r="AB287" i="2"/>
  <c r="AC287" i="2" s="1"/>
  <c r="M301" i="2"/>
  <c r="AB284" i="2"/>
  <c r="AC284" i="2" s="1"/>
  <c r="AB271" i="2"/>
  <c r="AC271" i="2" s="1"/>
  <c r="AB246" i="2"/>
  <c r="AC246" i="2" s="1"/>
  <c r="AB297" i="2"/>
  <c r="AC297" i="2" s="1"/>
  <c r="AB261" i="2"/>
  <c r="AC261" i="2" s="1"/>
  <c r="AB288" i="2"/>
  <c r="AC288" i="2" s="1"/>
  <c r="AB265" i="2"/>
  <c r="AC265" i="2" s="1"/>
  <c r="M265" i="2"/>
  <c r="AB245" i="2"/>
  <c r="AC245" i="2" s="1"/>
  <c r="M276" i="2"/>
  <c r="AB250" i="2"/>
  <c r="AC250" i="2" s="1"/>
  <c r="M240" i="2"/>
  <c r="AB253" i="2"/>
  <c r="AC253" i="2" s="1"/>
  <c r="M229" i="2"/>
  <c r="M238" i="2"/>
  <c r="AB192" i="2"/>
  <c r="AC192" i="2" s="1"/>
  <c r="AB207" i="2"/>
  <c r="AC207" i="2" s="1"/>
  <c r="AB216" i="2"/>
  <c r="AC216" i="2" s="1"/>
  <c r="AB197" i="2"/>
  <c r="AC197" i="2" s="1"/>
  <c r="AB221" i="2"/>
  <c r="AC221" i="2" s="1"/>
  <c r="AB178" i="2"/>
  <c r="AC178" i="2" s="1"/>
  <c r="AB233" i="2"/>
  <c r="AC233" i="2" s="1"/>
  <c r="AB184" i="2"/>
  <c r="AC184" i="2" s="1"/>
  <c r="M174" i="2"/>
  <c r="M164" i="2"/>
  <c r="M225" i="2"/>
  <c r="M171" i="2"/>
  <c r="AB145" i="2"/>
  <c r="AC145" i="2" s="1"/>
  <c r="M189" i="2"/>
  <c r="AB160" i="2"/>
  <c r="AC160" i="2" s="1"/>
  <c r="M182" i="2"/>
  <c r="AB158" i="2"/>
  <c r="AC158" i="2" s="1"/>
  <c r="M183" i="2"/>
  <c r="M198" i="2"/>
  <c r="M206" i="2"/>
  <c r="M145" i="2"/>
  <c r="M134" i="2"/>
  <c r="AB157" i="2"/>
  <c r="AC157" i="2" s="1"/>
  <c r="M167" i="2"/>
  <c r="AB138" i="2"/>
  <c r="AC138" i="2" s="1"/>
  <c r="M114" i="2"/>
  <c r="M126" i="2"/>
  <c r="M102" i="2"/>
  <c r="M92" i="2"/>
  <c r="AB173" i="2"/>
  <c r="AC173" i="2" s="1"/>
  <c r="AB77" i="2"/>
  <c r="AC77" i="2" s="1"/>
  <c r="M159" i="2"/>
  <c r="AB143" i="2"/>
  <c r="AC143" i="2" s="1"/>
  <c r="AB114" i="2"/>
  <c r="AC114" i="2" s="1"/>
  <c r="M154" i="2"/>
  <c r="AB121" i="2"/>
  <c r="AC121" i="2" s="1"/>
  <c r="M133" i="2"/>
  <c r="AB102" i="2"/>
  <c r="AC102" i="2" s="1"/>
  <c r="M46" i="2"/>
  <c r="AB74" i="2"/>
  <c r="AC74" i="2" s="1"/>
  <c r="M67" i="2"/>
  <c r="M100" i="2"/>
  <c r="M57" i="2"/>
  <c r="AB106" i="2"/>
  <c r="AC106" i="2" s="1"/>
  <c r="M42" i="2"/>
  <c r="AB107" i="2"/>
  <c r="AC107" i="2" s="1"/>
  <c r="M51" i="2"/>
  <c r="M32" i="2"/>
  <c r="AB310" i="2"/>
  <c r="AC310" i="2" s="1"/>
  <c r="M260" i="2"/>
  <c r="M268" i="2"/>
  <c r="M211" i="2"/>
  <c r="AB229" i="2"/>
  <c r="AC229" i="2" s="1"/>
  <c r="AB170" i="2"/>
  <c r="AC170" i="2" s="1"/>
  <c r="AB140" i="2"/>
  <c r="AC140" i="2" s="1"/>
  <c r="M363" i="2"/>
  <c r="M335" i="2"/>
  <c r="AB340" i="2"/>
  <c r="AC340" i="2" s="1"/>
  <c r="M343" i="2"/>
  <c r="M306" i="2"/>
  <c r="M320" i="2"/>
  <c r="M296" i="2"/>
  <c r="AB304" i="2"/>
  <c r="AC304" i="2" s="1"/>
  <c r="M279" i="2"/>
  <c r="AB292" i="2"/>
  <c r="AC292" i="2" s="1"/>
  <c r="AB316" i="2"/>
  <c r="AC316" i="2" s="1"/>
  <c r="M300" i="2"/>
  <c r="AB315" i="2"/>
  <c r="AC315" i="2" s="1"/>
  <c r="AB314" i="2"/>
  <c r="AC314" i="2" s="1"/>
  <c r="M258" i="2"/>
  <c r="AB283" i="2"/>
  <c r="AC283" i="2" s="1"/>
  <c r="AB270" i="2"/>
  <c r="AC270" i="2" s="1"/>
  <c r="AB296" i="2"/>
  <c r="AC296" i="2" s="1"/>
  <c r="M271" i="2"/>
  <c r="M285" i="2"/>
  <c r="AB276" i="2"/>
  <c r="AC276" i="2" s="1"/>
  <c r="M261" i="2"/>
  <c r="M244" i="2"/>
  <c r="M250" i="2"/>
  <c r="AB240" i="2"/>
  <c r="AC240" i="2" s="1"/>
  <c r="AB238" i="2"/>
  <c r="AC238" i="2" s="1"/>
  <c r="M252" i="2"/>
  <c r="AB282" i="2"/>
  <c r="AC282" i="2" s="1"/>
  <c r="AB227" i="2"/>
  <c r="AC227" i="2" s="1"/>
  <c r="M350" i="2"/>
  <c r="AB228" i="2"/>
  <c r="AC228" i="2" s="1"/>
  <c r="AB218" i="2"/>
  <c r="AC218" i="2" s="1"/>
  <c r="M213" i="2"/>
  <c r="M193" i="2"/>
  <c r="M219" i="2"/>
  <c r="AB215" i="2"/>
  <c r="AC215" i="2" s="1"/>
  <c r="M178" i="2"/>
  <c r="M184" i="2"/>
  <c r="AB162" i="2"/>
  <c r="AC162" i="2" s="1"/>
  <c r="AB186" i="2"/>
  <c r="AC186" i="2" s="1"/>
  <c r="M180" i="2"/>
  <c r="AB169" i="2"/>
  <c r="AC169" i="2" s="1"/>
  <c r="M205" i="2"/>
  <c r="AB127" i="2"/>
  <c r="AC127" i="2" s="1"/>
  <c r="M138" i="2"/>
  <c r="AB124" i="2"/>
  <c r="AC124" i="2" s="1"/>
  <c r="M72" i="2"/>
  <c r="AB90" i="2"/>
  <c r="AC90" i="2" s="1"/>
  <c r="M125" i="2"/>
  <c r="AB69" i="2"/>
  <c r="AC69" i="2" s="1"/>
  <c r="M141" i="2"/>
  <c r="AB98" i="2"/>
  <c r="AC98" i="2" s="1"/>
  <c r="M98" i="2"/>
  <c r="M74" i="2"/>
  <c r="M68" i="2"/>
  <c r="M55" i="2"/>
  <c r="AB64" i="2"/>
  <c r="AC64" i="2" s="1"/>
  <c r="AB96" i="2"/>
  <c r="AC96" i="2" s="1"/>
  <c r="M85" i="2"/>
  <c r="M94" i="2"/>
  <c r="M70" i="2"/>
  <c r="M103" i="2"/>
  <c r="M79" i="2"/>
  <c r="M120" i="2"/>
  <c r="M89" i="2"/>
  <c r="AB92" i="2"/>
  <c r="AC92" i="2" s="1"/>
  <c r="AB317" i="2"/>
  <c r="AC317" i="2" s="1"/>
  <c r="M299" i="2"/>
  <c r="AB307" i="2"/>
  <c r="AC307" i="2" s="1"/>
  <c r="M246" i="2"/>
  <c r="M201" i="2"/>
  <c r="M208" i="2"/>
  <c r="AB155" i="2"/>
  <c r="AC155" i="2" s="1"/>
  <c r="AB353" i="2"/>
  <c r="AC353" i="2" s="1"/>
  <c r="AB319" i="2"/>
  <c r="AC319" i="2" s="1"/>
  <c r="M348" i="2"/>
  <c r="AB362" i="2"/>
  <c r="AC362" i="2" s="1"/>
  <c r="M341" i="2"/>
  <c r="AB361" i="2"/>
  <c r="AC361" i="2" s="1"/>
  <c r="M354" i="2"/>
  <c r="M352" i="2"/>
  <c r="AB333" i="2"/>
  <c r="AC333" i="2" s="1"/>
  <c r="M340" i="2"/>
  <c r="M333" i="2"/>
  <c r="AB342" i="2"/>
  <c r="AC342" i="2" s="1"/>
  <c r="M324" i="2"/>
  <c r="AB328" i="2"/>
  <c r="AC328" i="2" s="1"/>
  <c r="M322" i="2"/>
  <c r="M317" i="2"/>
  <c r="AB294" i="2"/>
  <c r="AC294" i="2" s="1"/>
  <c r="M304" i="2"/>
  <c r="AB277" i="2"/>
  <c r="AC277" i="2" s="1"/>
  <c r="M315" i="2"/>
  <c r="M330" i="2"/>
  <c r="M291" i="2"/>
  <c r="AB256" i="2"/>
  <c r="AC256" i="2" s="1"/>
  <c r="M256" i="2"/>
  <c r="M292" i="2"/>
  <c r="AB269" i="2"/>
  <c r="AC269" i="2" s="1"/>
  <c r="M270" i="2"/>
  <c r="M282" i="2"/>
  <c r="M226" i="2"/>
  <c r="M274" i="2"/>
  <c r="AB239" i="2"/>
  <c r="AC239" i="2" s="1"/>
  <c r="AB273" i="2"/>
  <c r="AC273" i="2" s="1"/>
  <c r="AB247" i="2"/>
  <c r="AC247" i="2" s="1"/>
  <c r="M243" i="2"/>
  <c r="M203" i="2"/>
  <c r="M236" i="2"/>
  <c r="M202" i="2"/>
  <c r="AB191" i="2"/>
  <c r="AC191" i="2" s="1"/>
  <c r="M200" i="2"/>
  <c r="AB257" i="2"/>
  <c r="AC257" i="2" s="1"/>
  <c r="M196" i="2"/>
  <c r="AB174" i="2"/>
  <c r="AC174" i="2" s="1"/>
  <c r="M220" i="2"/>
  <c r="AB204" i="2"/>
  <c r="AC204" i="2" s="1"/>
  <c r="AB190" i="2"/>
  <c r="AC190" i="2" s="1"/>
  <c r="M155" i="2"/>
  <c r="M170" i="2"/>
  <c r="AB182" i="2"/>
  <c r="AC182" i="2" s="1"/>
  <c r="M192" i="2"/>
  <c r="M168" i="2"/>
  <c r="M191" i="2"/>
  <c r="M165" i="2"/>
  <c r="AB156" i="2"/>
  <c r="AC156" i="2" s="1"/>
  <c r="M113" i="2"/>
  <c r="M149" i="2"/>
  <c r="M136" i="2"/>
  <c r="AB150" i="2"/>
  <c r="AC150" i="2" s="1"/>
  <c r="AB135" i="2"/>
  <c r="AC135" i="2" s="1"/>
  <c r="M119" i="2"/>
  <c r="AB136" i="2"/>
  <c r="AC136" i="2" s="1"/>
  <c r="AB100" i="2"/>
  <c r="AC100" i="2" s="1"/>
  <c r="AB142" i="2"/>
  <c r="AC142" i="2" s="1"/>
  <c r="AB132" i="2"/>
  <c r="AC132" i="2" s="1"/>
  <c r="AB123" i="2"/>
  <c r="AC123" i="2" s="1"/>
  <c r="M175" i="2"/>
  <c r="M124" i="2"/>
  <c r="AB120" i="2"/>
  <c r="AC120" i="2" s="1"/>
  <c r="M152" i="2"/>
  <c r="M132" i="2"/>
  <c r="AB94" i="2"/>
  <c r="AC94" i="2" s="1"/>
  <c r="AB71" i="2"/>
  <c r="AC71" i="2" s="1"/>
  <c r="AB134" i="2"/>
  <c r="AC134" i="2" s="1"/>
  <c r="M83" i="2"/>
  <c r="AB63" i="2"/>
  <c r="AC63" i="2" s="1"/>
  <c r="M56" i="2"/>
  <c r="M64" i="2"/>
  <c r="M49" i="2"/>
  <c r="AB67" i="2"/>
  <c r="AC67" i="2" s="1"/>
  <c r="AB99" i="2"/>
  <c r="AC99" i="2" s="1"/>
  <c r="AB76" i="2"/>
  <c r="AC76" i="2" s="1"/>
  <c r="M80" i="2"/>
  <c r="AB86" i="2"/>
  <c r="AC86" i="2" s="1"/>
  <c r="AB66" i="2"/>
  <c r="AC66" i="2" s="1"/>
  <c r="M347" i="2"/>
  <c r="M287" i="2"/>
  <c r="AB305" i="2"/>
  <c r="AC305" i="2" s="1"/>
  <c r="M245" i="2"/>
  <c r="M197" i="2"/>
  <c r="AB355" i="2"/>
  <c r="AC355" i="2" s="1"/>
  <c r="AB357" i="2"/>
  <c r="AC357" i="2" s="1"/>
  <c r="M345" i="2"/>
  <c r="AB339" i="2"/>
  <c r="AC339" i="2" s="1"/>
  <c r="M365" i="2"/>
  <c r="AB352" i="2"/>
  <c r="AC352" i="2" s="1"/>
  <c r="M358" i="2"/>
  <c r="M319" i="2"/>
  <c r="AB358" i="2"/>
  <c r="AC358" i="2" s="1"/>
  <c r="M326" i="2"/>
  <c r="AB331" i="2"/>
  <c r="AC331" i="2" s="1"/>
  <c r="AB364" i="2"/>
  <c r="AC364" i="2" s="1"/>
  <c r="AB322" i="2"/>
  <c r="AC322" i="2" s="1"/>
  <c r="M366" i="2"/>
  <c r="AB303" i="2"/>
  <c r="AC303" i="2" s="1"/>
  <c r="AB346" i="2"/>
  <c r="AC346" i="2" s="1"/>
  <c r="M280" i="2"/>
  <c r="M318" i="2"/>
  <c r="AB367" i="2"/>
  <c r="AC367" i="2" s="1"/>
  <c r="M312" i="2"/>
  <c r="AB300" i="2"/>
  <c r="AC300" i="2" s="1"/>
  <c r="AB312" i="2"/>
  <c r="AC312" i="2" s="1"/>
  <c r="AB309" i="2"/>
  <c r="AC309" i="2" s="1"/>
  <c r="M329" i="2"/>
  <c r="AB289" i="2"/>
  <c r="AC289" i="2" s="1"/>
  <c r="M328" i="2"/>
  <c r="M283" i="2"/>
  <c r="M281" i="2"/>
  <c r="AB254" i="2"/>
  <c r="AC254" i="2" s="1"/>
  <c r="AB343" i="2"/>
  <c r="AC343" i="2" s="1"/>
  <c r="AB268" i="2"/>
  <c r="AC268" i="2" s="1"/>
  <c r="M273" i="2"/>
  <c r="AB306" i="2"/>
  <c r="AC306" i="2" s="1"/>
  <c r="AB224" i="2"/>
  <c r="AC224" i="2" s="1"/>
  <c r="AB266" i="2"/>
  <c r="AC266" i="2" s="1"/>
  <c r="M247" i="2"/>
  <c r="AB260" i="2"/>
  <c r="AC260" i="2" s="1"/>
  <c r="AB248" i="2"/>
  <c r="AC248" i="2" s="1"/>
  <c r="M237" i="2"/>
  <c r="M254" i="2"/>
  <c r="AB213" i="2"/>
  <c r="AC213" i="2" s="1"/>
  <c r="AB201" i="2"/>
  <c r="AC201" i="2" s="1"/>
  <c r="M216" i="2"/>
  <c r="AB200" i="2"/>
  <c r="AC200" i="2" s="1"/>
  <c r="M231" i="2"/>
  <c r="AB198" i="2"/>
  <c r="AC198" i="2" s="1"/>
  <c r="AB205" i="2"/>
  <c r="AC205" i="2" s="1"/>
  <c r="AB217" i="2"/>
  <c r="AC217" i="2" s="1"/>
  <c r="AB188" i="2"/>
  <c r="AC188" i="2" s="1"/>
  <c r="M173" i="2"/>
  <c r="AB180" i="2"/>
  <c r="AC180" i="2" s="1"/>
  <c r="M172" i="2"/>
  <c r="M190" i="2"/>
  <c r="AB153" i="2"/>
  <c r="AC153" i="2" s="1"/>
  <c r="M227" i="2"/>
  <c r="AB181" i="2"/>
  <c r="AC181" i="2" s="1"/>
  <c r="AB168" i="2"/>
  <c r="AC168" i="2" s="1"/>
  <c r="AB220" i="2"/>
  <c r="AC220" i="2" s="1"/>
  <c r="M181" i="2"/>
  <c r="M169" i="2"/>
  <c r="AB166" i="2"/>
  <c r="AC166" i="2" s="1"/>
  <c r="AB159" i="2"/>
  <c r="AC159" i="2" s="1"/>
  <c r="AB137" i="2"/>
  <c r="AC137" i="2" s="1"/>
  <c r="AB111" i="2"/>
  <c r="AC111" i="2" s="1"/>
  <c r="AB129" i="2"/>
  <c r="AC129" i="2" s="1"/>
  <c r="M207" i="2"/>
  <c r="AB148" i="2"/>
  <c r="AC148" i="2" s="1"/>
  <c r="AB130" i="2"/>
  <c r="AC130" i="2" s="1"/>
  <c r="AB117" i="2"/>
  <c r="AC117" i="2" s="1"/>
  <c r="M131" i="2"/>
  <c r="M110" i="2"/>
  <c r="M60" i="2"/>
  <c r="M53" i="2"/>
  <c r="AB146" i="2"/>
  <c r="AC146" i="2" s="1"/>
  <c r="AB131" i="2"/>
  <c r="AC131" i="2" s="1"/>
  <c r="AB165" i="2"/>
  <c r="AC165" i="2" s="1"/>
  <c r="AB122" i="2"/>
  <c r="AC122" i="2" s="1"/>
  <c r="AB164" i="2"/>
  <c r="AC164" i="2" s="1"/>
  <c r="M151" i="2"/>
  <c r="AB126" i="2"/>
  <c r="AC126" i="2" s="1"/>
  <c r="M90" i="2"/>
  <c r="M38" i="2"/>
  <c r="M107" i="2"/>
  <c r="AB80" i="2"/>
  <c r="AC80" i="2" s="1"/>
  <c r="AB61" i="2"/>
  <c r="AC61" i="2" s="1"/>
  <c r="AB81" i="2"/>
  <c r="AC81" i="2" s="1"/>
  <c r="M109" i="2"/>
  <c r="M77" i="2"/>
  <c r="M86" i="2"/>
  <c r="M104" i="2"/>
  <c r="M95" i="2"/>
  <c r="M43" i="2"/>
  <c r="M61" i="2"/>
  <c r="M81" i="2"/>
  <c r="M36" i="2"/>
  <c r="Z3" i="4"/>
  <c r="U3" i="4"/>
  <c r="Y3" i="4"/>
  <c r="V3" i="4"/>
  <c r="X3" i="4"/>
  <c r="T3" i="4"/>
  <c r="Z4" i="4"/>
  <c r="R5" i="4"/>
  <c r="Z5" i="4" s="1"/>
  <c r="Y4" i="4"/>
  <c r="V4" i="4"/>
  <c r="X4" i="4"/>
  <c r="T4" i="4"/>
  <c r="U4" i="4"/>
  <c r="P17" i="3"/>
  <c r="Q17" i="3" s="1"/>
  <c r="O17" i="3"/>
  <c r="O10" i="3"/>
  <c r="P10" i="3" s="1"/>
  <c r="Q10" i="3" s="1"/>
  <c r="P21" i="3"/>
  <c r="Q21" i="3" s="1"/>
  <c r="P16" i="3"/>
  <c r="Q16" i="3" s="1"/>
  <c r="P13" i="3"/>
  <c r="Q13" i="3" s="1"/>
  <c r="P7" i="3"/>
  <c r="Q7" i="3" s="1"/>
  <c r="P20" i="3"/>
  <c r="Q20" i="3" s="1"/>
  <c r="P19" i="3"/>
  <c r="Q19" i="3" s="1"/>
  <c r="P18" i="3"/>
  <c r="Q18" i="3" s="1"/>
  <c r="P15" i="3"/>
  <c r="Q15" i="3" s="1"/>
  <c r="P14" i="3"/>
  <c r="Q14" i="3" s="1"/>
  <c r="P12" i="3"/>
  <c r="Q12" i="3" s="1"/>
  <c r="P11" i="3"/>
  <c r="Q11" i="3" s="1"/>
  <c r="P9" i="3"/>
  <c r="Q9" i="3" s="1"/>
  <c r="P8" i="3"/>
  <c r="Q8" i="3" s="1"/>
  <c r="P6" i="3"/>
  <c r="Q6" i="3" s="1"/>
  <c r="P5" i="3"/>
  <c r="Q5" i="3" s="1"/>
  <c r="P4" i="3"/>
  <c r="Q4" i="3" s="1"/>
  <c r="P3" i="3"/>
  <c r="P2" i="3"/>
  <c r="Q2" i="3" s="1"/>
  <c r="T5" i="6" l="1"/>
  <c r="U5" i="6"/>
  <c r="S6" i="6"/>
  <c r="V5" i="4"/>
  <c r="T5" i="4"/>
  <c r="U5" i="4"/>
  <c r="X5" i="4"/>
  <c r="Y5" i="4"/>
  <c r="R6" i="4"/>
  <c r="W8" i="3"/>
  <c r="W7" i="3"/>
  <c r="W9" i="3" s="1"/>
  <c r="W10" i="3" s="1"/>
  <c r="Q3" i="3"/>
  <c r="U6" i="6" l="1"/>
  <c r="S7" i="6"/>
  <c r="T6" i="6"/>
  <c r="Y6" i="4"/>
  <c r="T6" i="4"/>
  <c r="X6" i="4"/>
  <c r="V6" i="4"/>
  <c r="Z6" i="4"/>
  <c r="U6" i="4"/>
  <c r="R7" i="4"/>
  <c r="S8" i="6" l="1"/>
  <c r="T7" i="6"/>
  <c r="U7" i="6"/>
  <c r="Z7" i="4"/>
  <c r="R8" i="4"/>
  <c r="T7" i="4"/>
  <c r="X7" i="4"/>
  <c r="V7" i="4"/>
  <c r="Y7" i="4"/>
  <c r="U7" i="4"/>
  <c r="T8" i="6" l="1"/>
  <c r="U8" i="6"/>
  <c r="S9" i="6"/>
  <c r="V8" i="4"/>
  <c r="U8" i="4"/>
  <c r="Y8" i="4"/>
  <c r="X8" i="4"/>
  <c r="R9" i="4"/>
  <c r="T8" i="4"/>
  <c r="Z8" i="4"/>
  <c r="S10" i="6" l="1"/>
  <c r="U9" i="6"/>
  <c r="T9" i="6"/>
  <c r="V9" i="4"/>
  <c r="R10" i="4"/>
  <c r="T9" i="4"/>
  <c r="U9" i="4"/>
  <c r="Y9" i="4"/>
  <c r="X9" i="4"/>
  <c r="Z9" i="4"/>
  <c r="U10" i="6" l="1"/>
  <c r="T10" i="6"/>
  <c r="S11" i="6"/>
  <c r="V10" i="4"/>
  <c r="R11" i="4"/>
  <c r="U10" i="4"/>
  <c r="Y10" i="4"/>
  <c r="Z10" i="4"/>
  <c r="X10" i="4"/>
  <c r="T10" i="4"/>
  <c r="T11" i="6" l="1"/>
  <c r="U11" i="6"/>
  <c r="S12" i="6"/>
  <c r="V11" i="4"/>
  <c r="Z11" i="4"/>
  <c r="R12" i="4"/>
  <c r="X11" i="4"/>
  <c r="U11" i="4"/>
  <c r="T11" i="4"/>
  <c r="Y11" i="4"/>
  <c r="S13" i="6" l="1"/>
  <c r="U12" i="6"/>
  <c r="T12" i="6"/>
  <c r="R13" i="4"/>
  <c r="U12" i="4"/>
  <c r="Z12" i="4"/>
  <c r="X12" i="4"/>
  <c r="Y12" i="4"/>
  <c r="T12" i="4"/>
  <c r="V12" i="4"/>
  <c r="T13" i="6" l="1"/>
  <c r="U13" i="6"/>
  <c r="S14" i="6"/>
  <c r="Z13" i="4"/>
  <c r="X13" i="4"/>
  <c r="R14" i="4"/>
  <c r="Y13" i="4"/>
  <c r="U13" i="4"/>
  <c r="T13" i="4"/>
  <c r="V13" i="4"/>
  <c r="S15" i="6" l="1"/>
  <c r="U14" i="6"/>
  <c r="T14" i="6"/>
  <c r="V14" i="4"/>
  <c r="X14" i="4"/>
  <c r="R15" i="4"/>
  <c r="U14" i="4"/>
  <c r="Y14" i="4"/>
  <c r="Z14" i="4"/>
  <c r="T14" i="4"/>
  <c r="T15" i="6" l="1"/>
  <c r="U15" i="6"/>
  <c r="S16" i="6"/>
  <c r="Y15" i="4"/>
  <c r="U15" i="4"/>
  <c r="T15" i="4"/>
  <c r="X15" i="4"/>
  <c r="Z15" i="4"/>
  <c r="R16" i="4"/>
  <c r="V15" i="4"/>
  <c r="U16" i="6" l="1"/>
  <c r="T16" i="6"/>
  <c r="S17" i="6"/>
  <c r="U16" i="4"/>
  <c r="Z16" i="4"/>
  <c r="R17" i="4"/>
  <c r="V16" i="4"/>
  <c r="Y16" i="4"/>
  <c r="T16" i="4"/>
  <c r="X16" i="4"/>
  <c r="S18" i="6" l="1"/>
  <c r="T17" i="6"/>
  <c r="U17" i="6"/>
  <c r="Y17" i="4"/>
  <c r="U17" i="4"/>
  <c r="R18" i="4"/>
  <c r="Z17" i="4"/>
  <c r="V17" i="4"/>
  <c r="T17" i="4"/>
  <c r="X17" i="4"/>
  <c r="U18" i="6" l="1"/>
  <c r="T18" i="6"/>
  <c r="S19" i="6"/>
  <c r="Y18" i="4"/>
  <c r="U18" i="4"/>
  <c r="Z18" i="4"/>
  <c r="R19" i="4"/>
  <c r="X18" i="4"/>
  <c r="V18" i="4"/>
  <c r="T18" i="4"/>
  <c r="T19" i="6" l="1"/>
  <c r="U19" i="6"/>
  <c r="S20" i="6"/>
  <c r="Z19" i="4"/>
  <c r="V19" i="4"/>
  <c r="U19" i="4"/>
  <c r="R20" i="4"/>
  <c r="Y19" i="4"/>
  <c r="T19" i="4"/>
  <c r="X19" i="4"/>
  <c r="S21" i="6" l="1"/>
  <c r="U20" i="6"/>
  <c r="T20" i="6"/>
  <c r="Y20" i="4"/>
  <c r="U20" i="4"/>
  <c r="R21" i="4"/>
  <c r="Z20" i="4"/>
  <c r="X20" i="4"/>
  <c r="V20" i="4"/>
  <c r="T20" i="4"/>
  <c r="T21" i="6" l="1"/>
  <c r="U21" i="6"/>
  <c r="S22" i="6"/>
  <c r="Y21" i="4"/>
  <c r="Z21" i="4"/>
  <c r="X21" i="4"/>
  <c r="R22" i="4"/>
  <c r="T21" i="4"/>
  <c r="V21" i="4"/>
  <c r="U21" i="4"/>
  <c r="T22" i="6" l="1"/>
  <c r="U22" i="6"/>
  <c r="S23" i="6"/>
  <c r="Y22" i="4"/>
  <c r="T22" i="4"/>
  <c r="V22" i="4"/>
  <c r="R23" i="4"/>
  <c r="Z22" i="4"/>
  <c r="X22" i="4"/>
  <c r="U22" i="4"/>
  <c r="U23" i="6" l="1"/>
  <c r="S24" i="6"/>
  <c r="T23" i="6"/>
  <c r="T23" i="4"/>
  <c r="Z23" i="4"/>
  <c r="X23" i="4"/>
  <c r="Y23" i="4"/>
  <c r="V23" i="4"/>
  <c r="R24" i="4"/>
  <c r="U23" i="4"/>
  <c r="T24" i="6" l="1"/>
  <c r="U24" i="6"/>
  <c r="S25" i="6"/>
  <c r="U24" i="4"/>
  <c r="T24" i="4"/>
  <c r="Y24" i="4"/>
  <c r="Z24" i="4"/>
  <c r="X24" i="4"/>
  <c r="R25" i="4"/>
  <c r="V24" i="4"/>
  <c r="T25" i="6" l="1"/>
  <c r="S26" i="6"/>
  <c r="U25" i="6"/>
  <c r="T25" i="4"/>
  <c r="R26" i="4"/>
  <c r="Z25" i="4"/>
  <c r="U25" i="4"/>
  <c r="Y25" i="4"/>
  <c r="X25" i="4"/>
  <c r="V25" i="4"/>
  <c r="U26" i="6" l="1"/>
  <c r="T26" i="6"/>
  <c r="S27" i="6"/>
  <c r="U26" i="4"/>
  <c r="Y26" i="4"/>
  <c r="R27" i="4"/>
  <c r="Z26" i="4"/>
  <c r="X26" i="4"/>
  <c r="T26" i="4"/>
  <c r="V26" i="4"/>
  <c r="T27" i="6" l="1"/>
  <c r="U27" i="6"/>
  <c r="S28" i="6"/>
  <c r="T27" i="4"/>
  <c r="U27" i="4"/>
  <c r="Y27" i="4"/>
  <c r="V27" i="4"/>
  <c r="R28" i="4"/>
  <c r="Z27" i="4"/>
  <c r="X27" i="4"/>
  <c r="U28" i="6" l="1"/>
  <c r="S29" i="6"/>
  <c r="T28" i="6"/>
  <c r="U28" i="4"/>
  <c r="T28" i="4"/>
  <c r="Z28" i="4"/>
  <c r="Y28" i="4"/>
  <c r="R29" i="4"/>
  <c r="X28" i="4"/>
  <c r="V28" i="4"/>
  <c r="T29" i="6" l="1"/>
  <c r="U29" i="6"/>
  <c r="S30" i="6"/>
  <c r="U29" i="4"/>
  <c r="T29" i="4"/>
  <c r="Y29" i="4"/>
  <c r="Z29" i="4"/>
  <c r="X29" i="4"/>
  <c r="R30" i="4"/>
  <c r="V29" i="4"/>
  <c r="T30" i="6" l="1"/>
  <c r="U30" i="6"/>
  <c r="S31" i="6"/>
  <c r="Y30" i="4"/>
  <c r="U30" i="4"/>
  <c r="X30" i="4"/>
  <c r="R31" i="4"/>
  <c r="V30" i="4"/>
  <c r="T30" i="4"/>
  <c r="Z30" i="4"/>
  <c r="U31" i="6" l="1"/>
  <c r="S32" i="6"/>
  <c r="T31" i="6"/>
  <c r="Y31" i="4"/>
  <c r="X31" i="4"/>
  <c r="Z31" i="4"/>
  <c r="R32" i="4"/>
  <c r="V31" i="4"/>
  <c r="U31" i="4"/>
  <c r="T31" i="4"/>
  <c r="U32" i="6" l="1"/>
  <c r="S33" i="6"/>
  <c r="T32" i="6"/>
  <c r="U32" i="4"/>
  <c r="Y32" i="4"/>
  <c r="T32" i="4"/>
  <c r="Z32" i="4"/>
  <c r="R33" i="4"/>
  <c r="V32" i="4"/>
  <c r="X32" i="4"/>
  <c r="T33" i="6" l="1"/>
  <c r="S34" i="6"/>
  <c r="U33" i="6"/>
  <c r="T33" i="4"/>
  <c r="U33" i="4"/>
  <c r="Z33" i="4"/>
  <c r="X33" i="4"/>
  <c r="Y33" i="4"/>
  <c r="V33" i="4"/>
  <c r="R34" i="4"/>
  <c r="U34" i="6" l="1"/>
  <c r="S35" i="6"/>
  <c r="T34" i="6"/>
  <c r="T34" i="4"/>
  <c r="Z34" i="4"/>
  <c r="R35" i="4"/>
  <c r="Y34" i="4"/>
  <c r="X34" i="4"/>
  <c r="U34" i="4"/>
  <c r="V34" i="4"/>
  <c r="U35" i="6" l="1"/>
  <c r="T35" i="6"/>
  <c r="S36" i="6"/>
  <c r="T35" i="4"/>
  <c r="U35" i="4"/>
  <c r="Y35" i="4"/>
  <c r="X35" i="4"/>
  <c r="V35" i="4"/>
  <c r="Z35" i="4"/>
  <c r="R36" i="4"/>
  <c r="T36" i="6" l="1"/>
  <c r="U36" i="6"/>
  <c r="S37" i="6"/>
  <c r="T36" i="4"/>
  <c r="U36" i="4"/>
  <c r="R37" i="4"/>
  <c r="Z36" i="4"/>
  <c r="X36" i="4"/>
  <c r="V36" i="4"/>
  <c r="Y36" i="4"/>
  <c r="U37" i="6" l="1"/>
  <c r="S38" i="6"/>
  <c r="T37" i="6"/>
  <c r="U37" i="4"/>
  <c r="Y37" i="4"/>
  <c r="R38" i="4"/>
  <c r="V37" i="4"/>
  <c r="T37" i="4"/>
  <c r="X37" i="4"/>
  <c r="Z37" i="4"/>
  <c r="S39" i="6" l="1"/>
  <c r="T38" i="6"/>
  <c r="U38" i="6"/>
  <c r="U38" i="4"/>
  <c r="Y38" i="4"/>
  <c r="T38" i="4"/>
  <c r="R39" i="4"/>
  <c r="Z38" i="4"/>
  <c r="V38" i="4"/>
  <c r="X38" i="4"/>
  <c r="S40" i="6" l="1"/>
  <c r="T39" i="6"/>
  <c r="U39" i="6"/>
  <c r="U39" i="4"/>
  <c r="T39" i="4"/>
  <c r="Z39" i="4"/>
  <c r="Y39" i="4"/>
  <c r="X39" i="4"/>
  <c r="V39" i="4"/>
  <c r="R40" i="4"/>
  <c r="S41" i="6" l="1"/>
  <c r="U40" i="6"/>
  <c r="T40" i="6"/>
  <c r="U40" i="4"/>
  <c r="T40" i="4"/>
  <c r="Y40" i="4"/>
  <c r="V40" i="4"/>
  <c r="Z40" i="4"/>
  <c r="X40" i="4"/>
  <c r="R41" i="4"/>
  <c r="T41" i="6" l="1"/>
  <c r="U41" i="6"/>
  <c r="S42" i="6"/>
  <c r="U41" i="4"/>
  <c r="T41" i="4"/>
  <c r="Y41" i="4"/>
  <c r="X41" i="4"/>
  <c r="Z41" i="4"/>
  <c r="V41" i="4"/>
  <c r="R42" i="4"/>
  <c r="U42" i="6" l="1"/>
  <c r="T42" i="6"/>
  <c r="S43" i="6"/>
  <c r="U42" i="4"/>
  <c r="T42" i="4"/>
  <c r="Y42" i="4"/>
  <c r="X42" i="4"/>
  <c r="R43" i="4"/>
  <c r="V42" i="4"/>
  <c r="Z42" i="4"/>
  <c r="U43" i="6" l="1"/>
  <c r="T43" i="6"/>
  <c r="S44" i="6"/>
  <c r="U43" i="4"/>
  <c r="Z43" i="4"/>
  <c r="T43" i="4"/>
  <c r="V43" i="4"/>
  <c r="R44" i="4"/>
  <c r="Y43" i="4"/>
  <c r="X43" i="4"/>
  <c r="U44" i="6" l="1"/>
  <c r="T44" i="6"/>
  <c r="S45" i="6"/>
  <c r="U44" i="4"/>
  <c r="R45" i="4"/>
  <c r="Y44" i="4"/>
  <c r="T44" i="4"/>
  <c r="Z44" i="4"/>
  <c r="V44" i="4"/>
  <c r="X44" i="4"/>
  <c r="S46" i="6" l="1"/>
  <c r="U45" i="6"/>
  <c r="T45" i="6"/>
  <c r="U45" i="4"/>
  <c r="T45" i="4"/>
  <c r="Z45" i="4"/>
  <c r="X45" i="4"/>
  <c r="R46" i="4"/>
  <c r="Y45" i="4"/>
  <c r="V45" i="4"/>
  <c r="T46" i="6" l="1"/>
  <c r="U46" i="6"/>
  <c r="S47" i="6"/>
  <c r="U46" i="4"/>
  <c r="Z46" i="4"/>
  <c r="V46" i="4"/>
  <c r="T46" i="4"/>
  <c r="R47" i="4"/>
  <c r="Y46" i="4"/>
  <c r="X46" i="4"/>
  <c r="T47" i="6" l="1"/>
  <c r="U47" i="6"/>
  <c r="S48" i="6"/>
  <c r="V47" i="4"/>
  <c r="U47" i="4"/>
  <c r="Z47" i="4"/>
  <c r="R48" i="4"/>
  <c r="Y47" i="4"/>
  <c r="X47" i="4"/>
  <c r="T47" i="4"/>
  <c r="U48" i="6" l="1"/>
  <c r="T48" i="6"/>
  <c r="S49" i="6"/>
  <c r="Y48" i="4"/>
  <c r="V48" i="4"/>
  <c r="T48" i="4"/>
  <c r="X48" i="4"/>
  <c r="U48" i="4"/>
  <c r="R49" i="4"/>
  <c r="Z48" i="4"/>
  <c r="S50" i="6" l="1"/>
  <c r="U49" i="6"/>
  <c r="T49" i="6"/>
  <c r="U49" i="4"/>
  <c r="Y49" i="4"/>
  <c r="T49" i="4"/>
  <c r="X49" i="4"/>
  <c r="R50" i="4"/>
  <c r="Z49" i="4"/>
  <c r="V49" i="4"/>
  <c r="U50" i="6" l="1"/>
  <c r="T50" i="6"/>
  <c r="S51" i="6"/>
  <c r="R51" i="4"/>
  <c r="U50" i="4"/>
  <c r="Z50" i="4"/>
  <c r="Y50" i="4"/>
  <c r="X50" i="4"/>
  <c r="V50" i="4"/>
  <c r="T50" i="4"/>
  <c r="U51" i="6" l="1"/>
  <c r="T51" i="6"/>
  <c r="S52" i="6"/>
  <c r="V51" i="4"/>
  <c r="U51" i="4"/>
  <c r="X51" i="4"/>
  <c r="Z51" i="4"/>
  <c r="R52" i="4"/>
  <c r="Y51" i="4"/>
  <c r="T51" i="4"/>
  <c r="T52" i="6" l="1"/>
  <c r="U52" i="6"/>
  <c r="S53" i="6"/>
  <c r="U52" i="4"/>
  <c r="T52" i="4"/>
  <c r="Z52" i="4"/>
  <c r="R53" i="4"/>
  <c r="Y52" i="4"/>
  <c r="V52" i="4"/>
  <c r="X52" i="4"/>
  <c r="U53" i="6" l="1"/>
  <c r="T53" i="6"/>
  <c r="S54" i="6"/>
  <c r="U53" i="4"/>
  <c r="T53" i="4"/>
  <c r="Z53" i="4"/>
  <c r="Y53" i="4"/>
  <c r="X53" i="4"/>
  <c r="R54" i="4"/>
  <c r="V53" i="4"/>
  <c r="U54" i="6" l="1"/>
  <c r="S55" i="6"/>
  <c r="T54" i="6"/>
  <c r="U54" i="4"/>
  <c r="T54" i="4"/>
  <c r="Y54" i="4"/>
  <c r="Z54" i="4"/>
  <c r="V54" i="4"/>
  <c r="R55" i="4"/>
  <c r="X54" i="4"/>
  <c r="T55" i="6" l="1"/>
  <c r="U55" i="6"/>
  <c r="S56" i="6"/>
  <c r="V55" i="4"/>
  <c r="Z55" i="4"/>
  <c r="Y55" i="4"/>
  <c r="R56" i="4"/>
  <c r="U55" i="4"/>
  <c r="X55" i="4"/>
  <c r="T55" i="4"/>
  <c r="U56" i="6" l="1"/>
  <c r="S57" i="6"/>
  <c r="T56" i="6"/>
  <c r="U56" i="4"/>
  <c r="T56" i="4"/>
  <c r="X56" i="4"/>
  <c r="Y56" i="4"/>
  <c r="R57" i="4"/>
  <c r="Z56" i="4"/>
  <c r="V56" i="4"/>
  <c r="U57" i="6" l="1"/>
  <c r="S58" i="6"/>
  <c r="T57" i="6"/>
  <c r="U57" i="4"/>
  <c r="T57" i="4"/>
  <c r="Y57" i="4"/>
  <c r="Z57" i="4"/>
  <c r="X57" i="4"/>
  <c r="V57" i="4"/>
  <c r="R58" i="4"/>
  <c r="U58" i="6" l="1"/>
  <c r="S59" i="6"/>
  <c r="T58" i="6"/>
  <c r="U58" i="4"/>
  <c r="T58" i="4"/>
  <c r="R59" i="4"/>
  <c r="Y58" i="4"/>
  <c r="Z58" i="4"/>
  <c r="V58" i="4"/>
  <c r="X58" i="4"/>
  <c r="T59" i="6" l="1"/>
  <c r="U59" i="6"/>
  <c r="S60" i="6"/>
  <c r="U59" i="4"/>
  <c r="T59" i="4"/>
  <c r="R60" i="4"/>
  <c r="Y59" i="4"/>
  <c r="X59" i="4"/>
  <c r="V59" i="4"/>
  <c r="Z59" i="4"/>
  <c r="T60" i="6" l="1"/>
  <c r="U60" i="6"/>
  <c r="S61" i="6"/>
  <c r="U60" i="4"/>
  <c r="T60" i="4"/>
  <c r="X60" i="4"/>
  <c r="Y60" i="4"/>
  <c r="R61" i="4"/>
  <c r="Z60" i="4"/>
  <c r="V60" i="4"/>
  <c r="T61" i="6" l="1"/>
  <c r="U61" i="6"/>
  <c r="S62" i="6"/>
  <c r="T61" i="4"/>
  <c r="V61" i="4"/>
  <c r="Z61" i="4"/>
  <c r="Y61" i="4"/>
  <c r="X61" i="4"/>
  <c r="R62" i="4"/>
  <c r="U61" i="4"/>
  <c r="U62" i="6" l="1"/>
  <c r="S63" i="6"/>
  <c r="T62" i="6"/>
  <c r="V62" i="4"/>
  <c r="U62" i="4"/>
  <c r="X62" i="4"/>
  <c r="Z62" i="4"/>
  <c r="Y62" i="4"/>
  <c r="R63" i="4"/>
  <c r="T62" i="4"/>
  <c r="T63" i="6" l="1"/>
  <c r="S64" i="6"/>
  <c r="U63" i="6"/>
  <c r="U63" i="4"/>
  <c r="T63" i="4"/>
  <c r="X63" i="4"/>
  <c r="Y63" i="4"/>
  <c r="R64" i="4"/>
  <c r="Z63" i="4"/>
  <c r="V63" i="4"/>
  <c r="S65" i="6" l="1"/>
  <c r="U64" i="6"/>
  <c r="T64" i="6"/>
  <c r="U64" i="4"/>
  <c r="T64" i="4"/>
  <c r="X64" i="4"/>
  <c r="Z64" i="4"/>
  <c r="Y64" i="4"/>
  <c r="R65" i="4"/>
  <c r="V64" i="4"/>
  <c r="U65" i="6" l="1"/>
  <c r="S66" i="6"/>
  <c r="T65" i="6"/>
  <c r="U65" i="4"/>
  <c r="X65" i="4"/>
  <c r="V65" i="4"/>
  <c r="T65" i="4"/>
  <c r="Z65" i="4"/>
  <c r="Y65" i="4"/>
  <c r="R66" i="4"/>
  <c r="U66" i="6" l="1"/>
  <c r="T66" i="6"/>
  <c r="S67" i="6"/>
  <c r="U66" i="4"/>
  <c r="T66" i="4"/>
  <c r="R67" i="4"/>
  <c r="X66" i="4"/>
  <c r="Y66" i="4"/>
  <c r="Z66" i="4"/>
  <c r="V66" i="4"/>
  <c r="S68" i="6" l="1"/>
  <c r="T67" i="6"/>
  <c r="U67" i="6"/>
  <c r="U67" i="4"/>
  <c r="T67" i="4"/>
  <c r="Y67" i="4"/>
  <c r="Z67" i="4"/>
  <c r="X67" i="4"/>
  <c r="R68" i="4"/>
  <c r="V67" i="4"/>
  <c r="T68" i="6" l="1"/>
  <c r="U68" i="6"/>
  <c r="S69" i="6"/>
  <c r="U68" i="4"/>
  <c r="T68" i="4"/>
  <c r="X68" i="4"/>
  <c r="Y68" i="4"/>
  <c r="V68" i="4"/>
  <c r="R69" i="4"/>
  <c r="Z68" i="4"/>
  <c r="S70" i="6" l="1"/>
  <c r="T69" i="6"/>
  <c r="U69" i="6"/>
  <c r="T69" i="4"/>
  <c r="Z69" i="4"/>
  <c r="Y69" i="4"/>
  <c r="U69" i="4"/>
  <c r="V69" i="4"/>
  <c r="X69" i="4"/>
  <c r="R70" i="4"/>
  <c r="S71" i="6" l="1"/>
  <c r="U70" i="6"/>
  <c r="T70" i="6"/>
  <c r="V70" i="4"/>
  <c r="R71" i="4"/>
  <c r="Y70" i="4"/>
  <c r="T70" i="4"/>
  <c r="U70" i="4"/>
  <c r="X70" i="4"/>
  <c r="Z70" i="4"/>
  <c r="T71" i="6" l="1"/>
  <c r="U71" i="6"/>
  <c r="S72" i="6"/>
  <c r="U71" i="4"/>
  <c r="X71" i="4"/>
  <c r="Y71" i="4"/>
  <c r="Z71" i="4"/>
  <c r="T71" i="4"/>
  <c r="R72" i="4"/>
  <c r="V71" i="4"/>
  <c r="U72" i="6" l="1"/>
  <c r="S73" i="6"/>
  <c r="T72" i="6"/>
  <c r="Y72" i="4"/>
  <c r="V72" i="4"/>
  <c r="U72" i="4"/>
  <c r="Z72" i="4"/>
  <c r="T72" i="4"/>
  <c r="X72" i="4"/>
  <c r="R73" i="4"/>
  <c r="U73" i="6" l="1"/>
  <c r="S74" i="6"/>
  <c r="T73" i="6"/>
  <c r="Y73" i="4"/>
  <c r="X73" i="4"/>
  <c r="V73" i="4"/>
  <c r="Z73" i="4"/>
  <c r="R74" i="4"/>
  <c r="T73" i="4"/>
  <c r="U73" i="4"/>
  <c r="U74" i="6" l="1"/>
  <c r="T74" i="6"/>
  <c r="S75" i="6"/>
  <c r="V74" i="4"/>
  <c r="R75" i="4"/>
  <c r="Z74" i="4"/>
  <c r="U74" i="4"/>
  <c r="T74" i="4"/>
  <c r="X74" i="4"/>
  <c r="Y74" i="4"/>
  <c r="S76" i="6" l="1"/>
  <c r="U75" i="6"/>
  <c r="T75" i="6"/>
  <c r="Y75" i="4"/>
  <c r="U75" i="4"/>
  <c r="Z75" i="4"/>
  <c r="X75" i="4"/>
  <c r="V75" i="4"/>
  <c r="R76" i="4"/>
  <c r="T75" i="4"/>
  <c r="T76" i="6" l="1"/>
  <c r="U76" i="6"/>
  <c r="S77" i="6"/>
  <c r="Y76" i="4"/>
  <c r="X76" i="4"/>
  <c r="R77" i="4"/>
  <c r="Z76" i="4"/>
  <c r="T76" i="4"/>
  <c r="V76" i="4"/>
  <c r="U76" i="4"/>
  <c r="U77" i="6" l="1"/>
  <c r="T77" i="6"/>
  <c r="S78" i="6"/>
  <c r="U77" i="4"/>
  <c r="X77" i="4"/>
  <c r="T77" i="4"/>
  <c r="Z77" i="4"/>
  <c r="R78" i="4"/>
  <c r="V77" i="4"/>
  <c r="Y77" i="4"/>
  <c r="S79" i="6" l="1"/>
  <c r="T78" i="6"/>
  <c r="U78" i="6"/>
  <c r="X78" i="4"/>
  <c r="R79" i="4"/>
  <c r="T78" i="4"/>
  <c r="Z78" i="4"/>
  <c r="V78" i="4"/>
  <c r="Y78" i="4"/>
  <c r="U78" i="4"/>
  <c r="U79" i="6" l="1"/>
  <c r="T79" i="6"/>
  <c r="S80" i="6"/>
  <c r="T79" i="4"/>
  <c r="Z79" i="4"/>
  <c r="R80" i="4"/>
  <c r="V79" i="4"/>
  <c r="U79" i="4"/>
  <c r="Y79" i="4"/>
  <c r="X79" i="4"/>
  <c r="T80" i="6" l="1"/>
  <c r="U80" i="6"/>
  <c r="S81" i="6"/>
  <c r="Y80" i="4"/>
  <c r="R81" i="4"/>
  <c r="X80" i="4"/>
  <c r="V80" i="4"/>
  <c r="Z80" i="4"/>
  <c r="T80" i="4"/>
  <c r="U80" i="4"/>
  <c r="U81" i="6" l="1"/>
  <c r="S82" i="6"/>
  <c r="T81" i="6"/>
  <c r="Y81" i="4"/>
  <c r="R82" i="4"/>
  <c r="U81" i="4"/>
  <c r="X81" i="4"/>
  <c r="V81" i="4"/>
  <c r="T81" i="4"/>
  <c r="Z81" i="4"/>
  <c r="U82" i="6" l="1"/>
  <c r="T82" i="6"/>
  <c r="S83" i="6"/>
  <c r="Z82" i="4"/>
  <c r="Y82" i="4"/>
  <c r="V82" i="4"/>
  <c r="U82" i="4"/>
  <c r="X82" i="4"/>
  <c r="T82" i="4"/>
  <c r="R83" i="4"/>
  <c r="U83" i="6" l="1"/>
  <c r="S84" i="6"/>
  <c r="T83" i="6"/>
  <c r="X83" i="4"/>
  <c r="U83" i="4"/>
  <c r="R84" i="4"/>
  <c r="T83" i="4"/>
  <c r="V83" i="4"/>
  <c r="Z83" i="4"/>
  <c r="Y83" i="4"/>
  <c r="T84" i="6" l="1"/>
  <c r="U84" i="6"/>
  <c r="S85" i="6"/>
  <c r="R85" i="4"/>
  <c r="Z84" i="4"/>
  <c r="Y84" i="4"/>
  <c r="X84" i="4"/>
  <c r="T84" i="4"/>
  <c r="V84" i="4"/>
  <c r="U84" i="4"/>
  <c r="T85" i="6" l="1"/>
  <c r="U85" i="6"/>
  <c r="S86" i="6"/>
  <c r="R86" i="4"/>
  <c r="Z85" i="4"/>
  <c r="V85" i="4"/>
  <c r="U85" i="4"/>
  <c r="T85" i="4"/>
  <c r="X85" i="4"/>
  <c r="Y85" i="4"/>
  <c r="T86" i="6" l="1"/>
  <c r="U86" i="6"/>
  <c r="S87" i="6"/>
  <c r="X86" i="4"/>
  <c r="U86" i="4"/>
  <c r="Z86" i="4"/>
  <c r="R87" i="4"/>
  <c r="V86" i="4"/>
  <c r="T86" i="4"/>
  <c r="Y86" i="4"/>
  <c r="U87" i="6" l="1"/>
  <c r="T87" i="6"/>
  <c r="S88" i="6"/>
  <c r="Y87" i="4"/>
  <c r="T87" i="4"/>
  <c r="Z87" i="4"/>
  <c r="R88" i="4"/>
  <c r="X87" i="4"/>
  <c r="V87" i="4"/>
  <c r="U87" i="4"/>
  <c r="U88" i="6" l="1"/>
  <c r="T88" i="6"/>
  <c r="S89" i="6"/>
  <c r="Y88" i="4"/>
  <c r="Z88" i="4"/>
  <c r="R89" i="4"/>
  <c r="T88" i="4"/>
  <c r="V88" i="4"/>
  <c r="U88" i="4"/>
  <c r="X88" i="4"/>
  <c r="U89" i="6" l="1"/>
  <c r="S90" i="6"/>
  <c r="T89" i="6"/>
  <c r="Z89" i="4"/>
  <c r="Y89" i="4"/>
  <c r="V89" i="4"/>
  <c r="U89" i="4"/>
  <c r="R90" i="4"/>
  <c r="X89" i="4"/>
  <c r="T89" i="4"/>
  <c r="U90" i="6" l="1"/>
  <c r="T90" i="6"/>
  <c r="S91" i="6"/>
  <c r="T90" i="4"/>
  <c r="R91" i="4"/>
  <c r="V90" i="4"/>
  <c r="X90" i="4"/>
  <c r="Y90" i="4"/>
  <c r="U90" i="4"/>
  <c r="Z90" i="4"/>
  <c r="U91" i="6" l="1"/>
  <c r="S92" i="6"/>
  <c r="T91" i="6"/>
  <c r="X91" i="4"/>
  <c r="U91" i="4"/>
  <c r="T91" i="4"/>
  <c r="Z91" i="4"/>
  <c r="V91" i="4"/>
  <c r="R92" i="4"/>
  <c r="Y91" i="4"/>
  <c r="T92" i="6" l="1"/>
  <c r="U92" i="6"/>
  <c r="S93" i="6"/>
  <c r="V92" i="4"/>
  <c r="U92" i="4"/>
  <c r="Z92" i="4"/>
  <c r="R93" i="4"/>
  <c r="Y92" i="4"/>
  <c r="X92" i="4"/>
  <c r="T92" i="4"/>
  <c r="S94" i="6" l="1"/>
  <c r="U93" i="6"/>
  <c r="T93" i="6"/>
  <c r="R94" i="4"/>
  <c r="U93" i="4"/>
  <c r="X93" i="4"/>
  <c r="Y93" i="4"/>
  <c r="Z93" i="4"/>
  <c r="T93" i="4"/>
  <c r="V93" i="4"/>
  <c r="T94" i="6" l="1"/>
  <c r="U94" i="6"/>
  <c r="S95" i="6"/>
  <c r="Y94" i="4"/>
  <c r="X94" i="4"/>
  <c r="Z94" i="4"/>
  <c r="T94" i="4"/>
  <c r="U94" i="4"/>
  <c r="V94" i="4"/>
  <c r="R95" i="4"/>
  <c r="U95" i="6" l="1"/>
  <c r="T95" i="6"/>
  <c r="S96" i="6"/>
  <c r="X95" i="4"/>
  <c r="U95" i="4"/>
  <c r="Y95" i="4"/>
  <c r="Z95" i="4"/>
  <c r="V95" i="4"/>
  <c r="R96" i="4"/>
  <c r="T95" i="4"/>
  <c r="T96" i="6" l="1"/>
  <c r="U96" i="6"/>
  <c r="S97" i="6"/>
  <c r="Y96" i="4"/>
  <c r="X96" i="4"/>
  <c r="R97" i="4"/>
  <c r="T96" i="4"/>
  <c r="V96" i="4"/>
  <c r="Z96" i="4"/>
  <c r="U96" i="4"/>
  <c r="U97" i="6" l="1"/>
  <c r="T97" i="6"/>
  <c r="S98" i="6"/>
  <c r="X97" i="4"/>
  <c r="Z97" i="4"/>
  <c r="V97" i="4"/>
  <c r="R98" i="4"/>
  <c r="U97" i="4"/>
  <c r="T97" i="4"/>
  <c r="Y97" i="4"/>
  <c r="U98" i="6" l="1"/>
  <c r="T98" i="6"/>
  <c r="S99" i="6"/>
  <c r="X98" i="4"/>
  <c r="Y98" i="4"/>
  <c r="U98" i="4"/>
  <c r="V98" i="4"/>
  <c r="Z98" i="4"/>
  <c r="R99" i="4"/>
  <c r="T98" i="4"/>
  <c r="S100" i="6" l="1"/>
  <c r="T99" i="6"/>
  <c r="U99" i="6"/>
  <c r="Y99" i="4"/>
  <c r="X99" i="4"/>
  <c r="U99" i="4"/>
  <c r="V99" i="4"/>
  <c r="Z99" i="4"/>
  <c r="T99" i="4"/>
  <c r="R100" i="4"/>
  <c r="T100" i="6" l="1"/>
  <c r="U100" i="6"/>
  <c r="S101" i="6"/>
  <c r="Y100" i="4"/>
  <c r="X100" i="4"/>
  <c r="U100" i="4"/>
  <c r="Z100" i="4"/>
  <c r="R101" i="4"/>
  <c r="T100" i="4"/>
  <c r="V100" i="4"/>
  <c r="S102" i="6" l="1"/>
  <c r="U101" i="6"/>
  <c r="T101" i="6"/>
  <c r="Y101" i="4"/>
  <c r="X101" i="4"/>
  <c r="R102" i="4"/>
  <c r="Z101" i="4"/>
  <c r="U101" i="4"/>
  <c r="V101" i="4"/>
  <c r="T101" i="4"/>
  <c r="U102" i="6" l="1"/>
  <c r="S103" i="6"/>
  <c r="T102" i="6"/>
  <c r="Y102" i="4"/>
  <c r="Z102" i="4"/>
  <c r="T102" i="4"/>
  <c r="X102" i="4"/>
  <c r="V102" i="4"/>
  <c r="U102" i="4"/>
  <c r="R103" i="4"/>
  <c r="U103" i="6" l="1"/>
  <c r="T103" i="6"/>
  <c r="S104" i="6"/>
  <c r="X103" i="4"/>
  <c r="R104" i="4"/>
  <c r="Z103" i="4"/>
  <c r="V103" i="4"/>
  <c r="U103" i="4"/>
  <c r="T103" i="4"/>
  <c r="Y103" i="4"/>
  <c r="U104" i="6" l="1"/>
  <c r="T104" i="6"/>
  <c r="S105" i="6"/>
  <c r="Y104" i="4"/>
  <c r="V104" i="4"/>
  <c r="Z104" i="4"/>
  <c r="T104" i="4"/>
  <c r="X104" i="4"/>
  <c r="U104" i="4"/>
  <c r="R105" i="4"/>
  <c r="U105" i="6" l="1"/>
  <c r="S106" i="6"/>
  <c r="T105" i="6"/>
  <c r="Y105" i="4"/>
  <c r="X105" i="4"/>
  <c r="Z105" i="4"/>
  <c r="R106" i="4"/>
  <c r="T105" i="4"/>
  <c r="V105" i="4"/>
  <c r="U105" i="4"/>
  <c r="U106" i="6" l="1"/>
  <c r="T106" i="6"/>
  <c r="S107" i="6"/>
  <c r="X106" i="4"/>
  <c r="Y106" i="4"/>
  <c r="Z106" i="4"/>
  <c r="U106" i="4"/>
  <c r="T106" i="4"/>
  <c r="V106" i="4"/>
  <c r="R107" i="4"/>
  <c r="U107" i="6" l="1"/>
  <c r="S108" i="6"/>
  <c r="T107" i="6"/>
  <c r="Y107" i="4"/>
  <c r="R108" i="4"/>
  <c r="X107" i="4"/>
  <c r="Z107" i="4"/>
  <c r="U107" i="4"/>
  <c r="V107" i="4"/>
  <c r="T107" i="4"/>
  <c r="T108" i="6" l="1"/>
  <c r="U108" i="6"/>
  <c r="S109" i="6"/>
  <c r="X108" i="4"/>
  <c r="R109" i="4"/>
  <c r="Z108" i="4"/>
  <c r="V108" i="4"/>
  <c r="T108" i="4"/>
  <c r="U108" i="4"/>
  <c r="Y108" i="4"/>
  <c r="U109" i="6" l="1"/>
  <c r="T109" i="6"/>
  <c r="S110" i="6"/>
  <c r="Y109" i="4"/>
  <c r="Z109" i="4"/>
  <c r="U109" i="4"/>
  <c r="R110" i="4"/>
  <c r="X109" i="4"/>
  <c r="V109" i="4"/>
  <c r="T109" i="4"/>
  <c r="U110" i="6" l="1"/>
  <c r="S111" i="6"/>
  <c r="T110" i="6"/>
  <c r="Y110" i="4"/>
  <c r="X110" i="4"/>
  <c r="U110" i="4"/>
  <c r="V110" i="4"/>
  <c r="Z110" i="4"/>
  <c r="T110" i="4"/>
  <c r="R111" i="4"/>
  <c r="U111" i="6" l="1"/>
  <c r="T111" i="6"/>
  <c r="S112" i="6"/>
  <c r="X111" i="4"/>
  <c r="R112" i="4"/>
  <c r="Z111" i="4"/>
  <c r="U111" i="4"/>
  <c r="T111" i="4"/>
  <c r="V111" i="4"/>
  <c r="Y111" i="4"/>
  <c r="S113" i="6" l="1"/>
  <c r="U112" i="6"/>
  <c r="T112" i="6"/>
  <c r="Y112" i="4"/>
  <c r="X112" i="4"/>
  <c r="V112" i="4"/>
  <c r="Z118" i="4" s="1"/>
  <c r="T112" i="4"/>
  <c r="U112" i="4"/>
  <c r="Z112" i="4"/>
  <c r="Z121" i="4"/>
  <c r="T113" i="6" l="1"/>
  <c r="U113" i="6"/>
  <c r="S114" i="6"/>
  <c r="AB121" i="4"/>
  <c r="AA121" i="4"/>
  <c r="U114" i="6" l="1"/>
  <c r="T114" i="6"/>
  <c r="S115" i="6"/>
  <c r="AA124" i="4"/>
  <c r="AC121" i="4"/>
  <c r="AD121" i="4" s="1"/>
  <c r="AB124" i="4"/>
  <c r="AE121" i="4"/>
  <c r="T115" i="6" l="1"/>
  <c r="S116" i="6"/>
  <c r="U115" i="6"/>
  <c r="AB125" i="4"/>
  <c r="AA128" i="4" s="1"/>
  <c r="AB128" i="4" s="1"/>
  <c r="AB129" i="4" s="1"/>
  <c r="AB130" i="4" s="1"/>
  <c r="AD124" i="4"/>
  <c r="AD125" i="4"/>
  <c r="AC124" i="4"/>
  <c r="AE124" i="4" s="1"/>
  <c r="T116" i="6" l="1"/>
  <c r="U116" i="6"/>
  <c r="S117" i="6"/>
  <c r="AE125" i="4"/>
  <c r="T117" i="6" l="1"/>
  <c r="U117" i="6"/>
  <c r="S118" i="6"/>
  <c r="T118" i="6" l="1"/>
  <c r="S119" i="6"/>
  <c r="U118" i="6"/>
  <c r="U119" i="6" l="1"/>
  <c r="T119" i="6"/>
  <c r="S120" i="6"/>
  <c r="T120" i="6" l="1"/>
  <c r="U120" i="6"/>
  <c r="S121" i="6"/>
  <c r="U121" i="6" l="1"/>
  <c r="S122" i="6"/>
  <c r="T121" i="6"/>
  <c r="U122" i="6" l="1"/>
  <c r="T122" i="6"/>
  <c r="S123" i="6"/>
  <c r="T123" i="6" l="1"/>
  <c r="S124" i="6"/>
  <c r="U123" i="6"/>
  <c r="T124" i="6" l="1"/>
  <c r="U124" i="6"/>
  <c r="S125" i="6"/>
  <c r="T125" i="6" l="1"/>
  <c r="S126" i="6"/>
  <c r="U125" i="6"/>
  <c r="U126" i="6" l="1"/>
  <c r="T126" i="6"/>
</calcChain>
</file>

<file path=xl/sharedStrings.xml><?xml version="1.0" encoding="utf-8"?>
<sst xmlns="http://schemas.openxmlformats.org/spreadsheetml/2006/main" count="234" uniqueCount="86">
  <si>
    <t>Datetime</t>
  </si>
  <si>
    <t>Volume_USD</t>
  </si>
  <si>
    <t>volumeToken0</t>
  </si>
  <si>
    <t>volumeToken1</t>
  </si>
  <si>
    <t>feesUSD</t>
  </si>
  <si>
    <t>ActiveLiq</t>
  </si>
  <si>
    <t>posCount</t>
  </si>
  <si>
    <t>currPx0</t>
  </si>
  <si>
    <t>currPx1</t>
  </si>
  <si>
    <t>Idx</t>
  </si>
  <si>
    <t>upper</t>
  </si>
  <si>
    <t>lower</t>
  </si>
  <si>
    <t>Liq</t>
  </si>
  <si>
    <t>Fee</t>
  </si>
  <si>
    <t>Liq %</t>
  </si>
  <si>
    <t>Yield</t>
  </si>
  <si>
    <t>PoolId</t>
  </si>
  <si>
    <t>0x7a5ae802895d5f90b6edbafc870fd348fba2a3d2</t>
  </si>
  <si>
    <t>USDC-ETH_0.3% A B C D E F G 2 0x8ad599c3a0ff1de082011efddc58f1908eb6e6d8 2</t>
  </si>
  <si>
    <t>startIdx</t>
  </si>
  <si>
    <t>periods</t>
  </si>
  <si>
    <t>Row</t>
  </si>
  <si>
    <t>Col1</t>
  </si>
  <si>
    <t>A</t>
  </si>
  <si>
    <t>Col2</t>
  </si>
  <si>
    <t>B</t>
  </si>
  <si>
    <t>Col3</t>
  </si>
  <si>
    <t>C</t>
  </si>
  <si>
    <t>Mean</t>
  </si>
  <si>
    <t>Col4</t>
  </si>
  <si>
    <t>D</t>
  </si>
  <si>
    <t>Stdev</t>
  </si>
  <si>
    <t>Col5</t>
  </si>
  <si>
    <t>E</t>
  </si>
  <si>
    <t>Col6</t>
  </si>
  <si>
    <t>F</t>
  </si>
  <si>
    <t>currBlock: 14756035, persBackStart250: 0, iterations: 0, count: 0, r: 2</t>
  </si>
  <si>
    <t>Col7</t>
  </si>
  <si>
    <t>G</t>
  </si>
  <si>
    <t>Col8</t>
  </si>
  <si>
    <t>H</t>
  </si>
  <si>
    <t>Col9</t>
  </si>
  <si>
    <t>I</t>
  </si>
  <si>
    <t>Col10</t>
  </si>
  <si>
    <t>J</t>
  </si>
  <si>
    <t>HalfSpread</t>
  </si>
  <si>
    <t>ExpImpLoss</t>
  </si>
  <si>
    <t>Decimals1</t>
  </si>
  <si>
    <t>Decimals2</t>
  </si>
  <si>
    <t>AvgDecimals</t>
  </si>
  <si>
    <t>APY</t>
  </si>
  <si>
    <t>feeDaily</t>
  </si>
  <si>
    <t>cumFee</t>
  </si>
  <si>
    <t>PX</t>
  </si>
  <si>
    <t>ImpLoss</t>
  </si>
  <si>
    <t>Ret</t>
  </si>
  <si>
    <t>Vt</t>
  </si>
  <si>
    <t>Px_</t>
  </si>
  <si>
    <t>y</t>
  </si>
  <si>
    <t>x</t>
  </si>
  <si>
    <t>0x8ad599c3a0ff1de082011efddc58f1908eb6e6d8</t>
  </si>
  <si>
    <t>LogRet</t>
  </si>
  <si>
    <t>LogRet30D</t>
  </si>
  <si>
    <t>HV_30D</t>
  </si>
  <si>
    <t>IV_u200</t>
  </si>
  <si>
    <t>IV_u200_Avg30D</t>
  </si>
  <si>
    <t>IV_u100</t>
  </si>
  <si>
    <t>UniV3_IV_u100_Avg30D</t>
  </si>
  <si>
    <t>atm7</t>
  </si>
  <si>
    <t>deribit_Avg30D</t>
  </si>
  <si>
    <t>UniV2_IV_u200_Avg30D</t>
  </si>
  <si>
    <t>UniV2_IV_u100_Avg30D</t>
  </si>
  <si>
    <t>ImpLogRet</t>
  </si>
  <si>
    <t>ImpLogRetAvg30D</t>
  </si>
  <si>
    <t>LogRet30D_Avg30D</t>
  </si>
  <si>
    <t>ActDrift_Avg30D</t>
  </si>
  <si>
    <t>LogYield</t>
  </si>
  <si>
    <t>30 Day IL + Fees</t>
  </si>
  <si>
    <t>Drift</t>
  </si>
  <si>
    <t>IV</t>
  </si>
  <si>
    <t>IV_Avg</t>
  </si>
  <si>
    <t>PxChng</t>
  </si>
  <si>
    <t>0x16b70f44719b227278a2dc1122e8106cc929ecd1</t>
  </si>
  <si>
    <t>Px</t>
  </si>
  <si>
    <t>feeDay</t>
  </si>
  <si>
    <t>impLoss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</si>
</sst>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0%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1">
    <xf numFmtId="0" fontId="0" fillId="0" borderId="0" xfId="0"/>
    <xf numFmtId="22" fontId="0" fillId="0" borderId="0" xfId="0" applyNumberFormat="1"/>
    <xf numFmtId="164" fontId="0" fillId="0" borderId="0" xfId="2" applyNumberFormat="1" applyFont="1"/>
    <xf numFmtId="0" fontId="0" fillId="0" borderId="0" xfId="0" applyAlignment="1">
      <alignment wrapText="1"/>
    </xf>
    <xf numFmtId="164" fontId="0" fillId="0" borderId="0" xfId="0" applyNumberFormat="1"/>
    <xf numFmtId="10" fontId="0" fillId="0" borderId="0" xfId="2" applyNumberFormat="1" applyFont="1"/>
    <xf numFmtId="14" fontId="0" fillId="0" borderId="0" xfId="0" applyNumberFormat="1"/>
    <xf numFmtId="165" fontId="0" fillId="0" borderId="0" xfId="1" applyNumberFormat="1" applyFont="1"/>
    <xf numFmtId="43" fontId="0" fillId="0" borderId="0" xfId="1" applyFont="1"/>
    <xf numFmtId="9" fontId="0" fillId="0" borderId="0" xfId="2" applyFont="1"/>
    <xf numFmtId="14" fontId="4" fillId="0" borderId="0" xfId="3" applyNumberFormat="1" applyFont="1" applyFill="1"/>
    <xf numFmtId="165" fontId="4" fillId="0" borderId="0" xfId="1" applyNumberFormat="1" applyFont="1" applyFill="1"/>
    <xf numFmtId="43" fontId="4" fillId="0" borderId="0" xfId="1" applyFont="1" applyFill="1"/>
    <xf numFmtId="0" fontId="4" fillId="0" borderId="0" xfId="3" applyFont="1" applyFill="1"/>
    <xf numFmtId="164" fontId="4" fillId="0" borderId="0" xfId="2" applyNumberFormat="1" applyFont="1" applyFill="1"/>
    <xf numFmtId="164" fontId="4" fillId="0" borderId="0" xfId="3" applyNumberFormat="1" applyFont="1" applyFill="1"/>
    <xf numFmtId="0" fontId="4" fillId="0" borderId="0" xfId="0" applyFont="1" applyFill="1"/>
    <xf numFmtId="43" fontId="4" fillId="0" borderId="0" xfId="3" applyNumberFormat="1" applyFont="1" applyFill="1"/>
    <xf numFmtId="11" fontId="0" fillId="0" borderId="0" xfId="0" applyNumberFormat="1"/>
    <xf numFmtId="22" fontId="4" fillId="0" borderId="0" xfId="3" applyNumberFormat="1" applyFont="1" applyFill="1"/>
    <xf numFmtId="165" fontId="4" fillId="0" borderId="0" xfId="3" applyNumberFormat="1" applyFont="1" applyFill="1"/>
  </cellXfs>
  <cellStyles count="4">
    <cellStyle name="Comma" xfId="1" builtinId="3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'USDCETH_0.3% Charts'!$M$1</c:f>
              <c:strCache>
                <c:ptCount val="1"/>
                <c:pt idx="0">
                  <c:v>IV_Avg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'USDCETH_0.3% Charts'!$A$2:$A$386</c:f>
              <c:numCache>
                <c:formatCode>m/d/yyyy</c:formatCode>
                <c:ptCount val="385"/>
                <c:pt idx="0">
                  <c:v>44322.33353009259</c:v>
                </c:pt>
                <c:pt idx="1">
                  <c:v>44323.333483796298</c:v>
                </c:pt>
                <c:pt idx="2">
                  <c:v>44324.333356481482</c:v>
                </c:pt>
                <c:pt idx="3">
                  <c:v>44325.333356481482</c:v>
                </c:pt>
                <c:pt idx="4">
                  <c:v>44326.333333333336</c:v>
                </c:pt>
                <c:pt idx="5">
                  <c:v>44327.333668981482</c:v>
                </c:pt>
                <c:pt idx="6">
                  <c:v>44328.333414351851</c:v>
                </c:pt>
                <c:pt idx="7">
                  <c:v>44329.333564814813</c:v>
                </c:pt>
                <c:pt idx="8">
                  <c:v>44330.333379629628</c:v>
                </c:pt>
                <c:pt idx="9">
                  <c:v>44331.333564814813</c:v>
                </c:pt>
                <c:pt idx="10">
                  <c:v>44332.333460648151</c:v>
                </c:pt>
                <c:pt idx="11">
                  <c:v>44333.333611111113</c:v>
                </c:pt>
                <c:pt idx="12">
                  <c:v>44334.333333333336</c:v>
                </c:pt>
                <c:pt idx="13">
                  <c:v>44335.333333333336</c:v>
                </c:pt>
                <c:pt idx="14">
                  <c:v>44336.333425925928</c:v>
                </c:pt>
                <c:pt idx="15">
                  <c:v>44337.333587962959</c:v>
                </c:pt>
                <c:pt idx="16">
                  <c:v>44338.333472222221</c:v>
                </c:pt>
                <c:pt idx="17">
                  <c:v>44339.333414351851</c:v>
                </c:pt>
                <c:pt idx="18">
                  <c:v>44340.333333333336</c:v>
                </c:pt>
                <c:pt idx="19">
                  <c:v>44341.333622685182</c:v>
                </c:pt>
                <c:pt idx="20">
                  <c:v>44342.333564814813</c:v>
                </c:pt>
                <c:pt idx="21">
                  <c:v>44343.333344907405</c:v>
                </c:pt>
                <c:pt idx="22">
                  <c:v>44344.333784722221</c:v>
                </c:pt>
                <c:pt idx="23">
                  <c:v>44345.333518518521</c:v>
                </c:pt>
                <c:pt idx="24">
                  <c:v>44346.333495370367</c:v>
                </c:pt>
                <c:pt idx="25">
                  <c:v>44347.334201388891</c:v>
                </c:pt>
                <c:pt idx="26">
                  <c:v>44348.333333333336</c:v>
                </c:pt>
                <c:pt idx="27">
                  <c:v>44349.333449074074</c:v>
                </c:pt>
                <c:pt idx="28">
                  <c:v>44350.333344907405</c:v>
                </c:pt>
                <c:pt idx="29">
                  <c:v>44351.333784722221</c:v>
                </c:pt>
                <c:pt idx="30">
                  <c:v>44352.333553240744</c:v>
                </c:pt>
                <c:pt idx="31">
                  <c:v>44353.333333333336</c:v>
                </c:pt>
                <c:pt idx="32">
                  <c:v>44354.333599537036</c:v>
                </c:pt>
                <c:pt idx="33">
                  <c:v>44355.333460648151</c:v>
                </c:pt>
                <c:pt idx="34">
                  <c:v>44356.333391203705</c:v>
                </c:pt>
                <c:pt idx="35">
                  <c:v>44357.333402777775</c:v>
                </c:pt>
                <c:pt idx="36">
                  <c:v>44358.333391203705</c:v>
                </c:pt>
                <c:pt idx="37">
                  <c:v>44359.333506944444</c:v>
                </c:pt>
                <c:pt idx="38">
                  <c:v>44360.333437499998</c:v>
                </c:pt>
                <c:pt idx="39">
                  <c:v>44361.333425925928</c:v>
                </c:pt>
                <c:pt idx="40">
                  <c:v>44362.333472222221</c:v>
                </c:pt>
                <c:pt idx="41">
                  <c:v>44363.333483796298</c:v>
                </c:pt>
                <c:pt idx="42">
                  <c:v>44364.333344907405</c:v>
                </c:pt>
                <c:pt idx="43">
                  <c:v>44365.333541666667</c:v>
                </c:pt>
                <c:pt idx="44">
                  <c:v>44366.333622685182</c:v>
                </c:pt>
                <c:pt idx="45">
                  <c:v>44367.333449074074</c:v>
                </c:pt>
                <c:pt idx="46">
                  <c:v>44368.333425925928</c:v>
                </c:pt>
                <c:pt idx="47">
                  <c:v>44369.333541666667</c:v>
                </c:pt>
                <c:pt idx="48">
                  <c:v>44370.333692129629</c:v>
                </c:pt>
                <c:pt idx="49">
                  <c:v>44371.333344907405</c:v>
                </c:pt>
                <c:pt idx="50">
                  <c:v>44372.333333333336</c:v>
                </c:pt>
                <c:pt idx="51">
                  <c:v>44373.333333333336</c:v>
                </c:pt>
                <c:pt idx="52">
                  <c:v>44374.333391203705</c:v>
                </c:pt>
                <c:pt idx="53">
                  <c:v>44375.333391203705</c:v>
                </c:pt>
                <c:pt idx="54">
                  <c:v>44376.333587962959</c:v>
                </c:pt>
                <c:pt idx="55">
                  <c:v>44377.333344907405</c:v>
                </c:pt>
                <c:pt idx="56">
                  <c:v>44378.333425925928</c:v>
                </c:pt>
                <c:pt idx="57">
                  <c:v>44379.333402777775</c:v>
                </c:pt>
                <c:pt idx="58">
                  <c:v>44380.333449074074</c:v>
                </c:pt>
                <c:pt idx="59">
                  <c:v>44381.333379629628</c:v>
                </c:pt>
                <c:pt idx="60">
                  <c:v>44382.333391203705</c:v>
                </c:pt>
                <c:pt idx="61">
                  <c:v>44383.333518518521</c:v>
                </c:pt>
                <c:pt idx="62">
                  <c:v>44384.333333333336</c:v>
                </c:pt>
                <c:pt idx="63">
                  <c:v>44385.333368055559</c:v>
                </c:pt>
                <c:pt idx="64">
                  <c:v>44386.33357638889</c:v>
                </c:pt>
                <c:pt idx="65">
                  <c:v>44387.333402777775</c:v>
                </c:pt>
                <c:pt idx="66">
                  <c:v>44388.333425925928</c:v>
                </c:pt>
                <c:pt idx="67">
                  <c:v>44389.333368055559</c:v>
                </c:pt>
                <c:pt idx="68">
                  <c:v>44390.333680555559</c:v>
                </c:pt>
                <c:pt idx="69">
                  <c:v>44391.333425925928</c:v>
                </c:pt>
                <c:pt idx="70">
                  <c:v>44392.333472222221</c:v>
                </c:pt>
                <c:pt idx="71">
                  <c:v>44393.333379629628</c:v>
                </c:pt>
                <c:pt idx="72">
                  <c:v>44394.333425925928</c:v>
                </c:pt>
                <c:pt idx="73">
                  <c:v>44395.333854166667</c:v>
                </c:pt>
                <c:pt idx="74">
                  <c:v>44396.333541666667</c:v>
                </c:pt>
                <c:pt idx="75">
                  <c:v>44397.333368055559</c:v>
                </c:pt>
                <c:pt idx="76">
                  <c:v>44398.333379629628</c:v>
                </c:pt>
                <c:pt idx="77">
                  <c:v>44399.333344907405</c:v>
                </c:pt>
                <c:pt idx="78">
                  <c:v>44400.33353009259</c:v>
                </c:pt>
                <c:pt idx="79">
                  <c:v>44401.333645833336</c:v>
                </c:pt>
                <c:pt idx="80">
                  <c:v>44402.333599537036</c:v>
                </c:pt>
                <c:pt idx="81">
                  <c:v>44403.333483796298</c:v>
                </c:pt>
                <c:pt idx="82">
                  <c:v>44404.333391203705</c:v>
                </c:pt>
                <c:pt idx="83">
                  <c:v>44405.333645833336</c:v>
                </c:pt>
                <c:pt idx="84">
                  <c:v>44406.333414351851</c:v>
                </c:pt>
                <c:pt idx="85">
                  <c:v>44407.333703703705</c:v>
                </c:pt>
                <c:pt idx="86">
                  <c:v>44408.333495370367</c:v>
                </c:pt>
                <c:pt idx="87">
                  <c:v>44409.33353009259</c:v>
                </c:pt>
                <c:pt idx="88">
                  <c:v>44410.333449074074</c:v>
                </c:pt>
                <c:pt idx="89">
                  <c:v>44411.333437499998</c:v>
                </c:pt>
                <c:pt idx="90">
                  <c:v>44412.333460648151</c:v>
                </c:pt>
                <c:pt idx="91">
                  <c:v>44413.333761574075</c:v>
                </c:pt>
                <c:pt idx="92">
                  <c:v>44414.333541666667</c:v>
                </c:pt>
                <c:pt idx="93">
                  <c:v>44415.333483796298</c:v>
                </c:pt>
                <c:pt idx="94">
                  <c:v>44416.333333333336</c:v>
                </c:pt>
                <c:pt idx="95">
                  <c:v>44417.333391203705</c:v>
                </c:pt>
                <c:pt idx="96">
                  <c:v>44418.333460648151</c:v>
                </c:pt>
                <c:pt idx="97">
                  <c:v>44419.333703703705</c:v>
                </c:pt>
                <c:pt idx="98">
                  <c:v>44420.333622685182</c:v>
                </c:pt>
                <c:pt idx="99">
                  <c:v>44421.333344907405</c:v>
                </c:pt>
                <c:pt idx="100">
                  <c:v>44422.333356481482</c:v>
                </c:pt>
                <c:pt idx="101">
                  <c:v>44423.333344907405</c:v>
                </c:pt>
                <c:pt idx="102">
                  <c:v>44424.333356481482</c:v>
                </c:pt>
                <c:pt idx="103">
                  <c:v>44425.333333333336</c:v>
                </c:pt>
                <c:pt idx="104">
                  <c:v>44426.333391203705</c:v>
                </c:pt>
                <c:pt idx="105">
                  <c:v>44427.333472222221</c:v>
                </c:pt>
                <c:pt idx="106">
                  <c:v>44428.333541666667</c:v>
                </c:pt>
                <c:pt idx="107">
                  <c:v>44429.333761574075</c:v>
                </c:pt>
                <c:pt idx="108">
                  <c:v>44430.333715277775</c:v>
                </c:pt>
                <c:pt idx="109">
                  <c:v>44431.333344907405</c:v>
                </c:pt>
                <c:pt idx="110">
                  <c:v>44432.333344907405</c:v>
                </c:pt>
                <c:pt idx="111">
                  <c:v>44433.333356481482</c:v>
                </c:pt>
                <c:pt idx="112">
                  <c:v>44434.333553240744</c:v>
                </c:pt>
                <c:pt idx="113">
                  <c:v>44435.333634259259</c:v>
                </c:pt>
                <c:pt idx="114">
                  <c:v>44436.333356481482</c:v>
                </c:pt>
                <c:pt idx="115">
                  <c:v>44437.333333333336</c:v>
                </c:pt>
                <c:pt idx="116">
                  <c:v>44438.333518518521</c:v>
                </c:pt>
                <c:pt idx="117">
                  <c:v>44439.333391203705</c:v>
                </c:pt>
                <c:pt idx="118">
                  <c:v>44440.333460648151</c:v>
                </c:pt>
                <c:pt idx="119">
                  <c:v>44441.333495370367</c:v>
                </c:pt>
                <c:pt idx="120">
                  <c:v>44442.333495370367</c:v>
                </c:pt>
                <c:pt idx="121">
                  <c:v>44443.333414351851</c:v>
                </c:pt>
                <c:pt idx="122">
                  <c:v>44444.333541666667</c:v>
                </c:pt>
                <c:pt idx="123">
                  <c:v>44445.333449074074</c:v>
                </c:pt>
                <c:pt idx="124">
                  <c:v>44446.333553240744</c:v>
                </c:pt>
                <c:pt idx="125">
                  <c:v>44447.33384259259</c:v>
                </c:pt>
                <c:pt idx="126">
                  <c:v>44448.333634259259</c:v>
                </c:pt>
                <c:pt idx="127">
                  <c:v>44449.333356481482</c:v>
                </c:pt>
                <c:pt idx="128">
                  <c:v>44450.333460648151</c:v>
                </c:pt>
                <c:pt idx="129">
                  <c:v>44451.333449074074</c:v>
                </c:pt>
                <c:pt idx="130">
                  <c:v>44452.333680555559</c:v>
                </c:pt>
                <c:pt idx="131">
                  <c:v>44453.333379629628</c:v>
                </c:pt>
                <c:pt idx="132">
                  <c:v>44454.333333333336</c:v>
                </c:pt>
                <c:pt idx="133">
                  <c:v>44455.333344907405</c:v>
                </c:pt>
                <c:pt idx="134">
                  <c:v>44456.333391203705</c:v>
                </c:pt>
                <c:pt idx="135">
                  <c:v>44457.333333333336</c:v>
                </c:pt>
                <c:pt idx="136">
                  <c:v>44458.333414351851</c:v>
                </c:pt>
                <c:pt idx="137">
                  <c:v>44459.333368055559</c:v>
                </c:pt>
                <c:pt idx="138">
                  <c:v>44460.334004629629</c:v>
                </c:pt>
                <c:pt idx="139">
                  <c:v>44461.333425925928</c:v>
                </c:pt>
                <c:pt idx="140">
                  <c:v>44462.333402777775</c:v>
                </c:pt>
                <c:pt idx="141">
                  <c:v>44463.333391203705</c:v>
                </c:pt>
                <c:pt idx="142">
                  <c:v>44464.333356481482</c:v>
                </c:pt>
                <c:pt idx="143">
                  <c:v>44465.333437499998</c:v>
                </c:pt>
                <c:pt idx="144">
                  <c:v>44466.333518518521</c:v>
                </c:pt>
                <c:pt idx="145">
                  <c:v>44467.333784722221</c:v>
                </c:pt>
                <c:pt idx="146">
                  <c:v>44468.333564814813</c:v>
                </c:pt>
                <c:pt idx="147">
                  <c:v>44469.333402777775</c:v>
                </c:pt>
                <c:pt idx="148">
                  <c:v>44470.33357638889</c:v>
                </c:pt>
                <c:pt idx="149">
                  <c:v>44471.333564814813</c:v>
                </c:pt>
                <c:pt idx="150">
                  <c:v>44472.333645833336</c:v>
                </c:pt>
                <c:pt idx="151">
                  <c:v>44473.333402777775</c:v>
                </c:pt>
                <c:pt idx="152">
                  <c:v>44474.333553240744</c:v>
                </c:pt>
                <c:pt idx="153">
                  <c:v>44475.333356481482</c:v>
                </c:pt>
                <c:pt idx="154">
                  <c:v>44476.333599537036</c:v>
                </c:pt>
                <c:pt idx="155">
                  <c:v>44477.333379629628</c:v>
                </c:pt>
                <c:pt idx="156">
                  <c:v>44478.333449074074</c:v>
                </c:pt>
                <c:pt idx="157">
                  <c:v>44479.333414351851</c:v>
                </c:pt>
                <c:pt idx="158">
                  <c:v>44480.333344907405</c:v>
                </c:pt>
                <c:pt idx="159">
                  <c:v>44481.333402777775</c:v>
                </c:pt>
                <c:pt idx="160">
                  <c:v>44482.333356481482</c:v>
                </c:pt>
                <c:pt idx="161">
                  <c:v>44483.333368055559</c:v>
                </c:pt>
                <c:pt idx="162">
                  <c:v>44484.333472222221</c:v>
                </c:pt>
                <c:pt idx="163">
                  <c:v>44485.333356481482</c:v>
                </c:pt>
                <c:pt idx="164">
                  <c:v>44486.333356481482</c:v>
                </c:pt>
                <c:pt idx="165">
                  <c:v>44487.333425925928</c:v>
                </c:pt>
                <c:pt idx="166">
                  <c:v>44488.333541666667</c:v>
                </c:pt>
                <c:pt idx="167">
                  <c:v>44489.333344907405</c:v>
                </c:pt>
                <c:pt idx="168">
                  <c:v>44490.333483796298</c:v>
                </c:pt>
                <c:pt idx="169">
                  <c:v>44491.333495370367</c:v>
                </c:pt>
                <c:pt idx="170">
                  <c:v>44492.333333333336</c:v>
                </c:pt>
                <c:pt idx="171">
                  <c:v>44493.333379629628</c:v>
                </c:pt>
                <c:pt idx="172">
                  <c:v>44494.333437499998</c:v>
                </c:pt>
                <c:pt idx="173">
                  <c:v>44495.333402777775</c:v>
                </c:pt>
                <c:pt idx="174">
                  <c:v>44496.333587962959</c:v>
                </c:pt>
                <c:pt idx="175">
                  <c:v>44497.333368055559</c:v>
                </c:pt>
                <c:pt idx="176">
                  <c:v>44498.333344907405</c:v>
                </c:pt>
                <c:pt idx="177">
                  <c:v>44499.333506944444</c:v>
                </c:pt>
                <c:pt idx="178">
                  <c:v>44500.33357638889</c:v>
                </c:pt>
                <c:pt idx="179">
                  <c:v>44501.333472222221</c:v>
                </c:pt>
                <c:pt idx="180">
                  <c:v>44502.33357638889</c:v>
                </c:pt>
                <c:pt idx="181">
                  <c:v>44503.333692129629</c:v>
                </c:pt>
                <c:pt idx="182">
                  <c:v>44504.334328703706</c:v>
                </c:pt>
                <c:pt idx="183">
                  <c:v>44505.333344907405</c:v>
                </c:pt>
                <c:pt idx="184">
                  <c:v>44506.333379629628</c:v>
                </c:pt>
                <c:pt idx="185">
                  <c:v>44507.333796296298</c:v>
                </c:pt>
                <c:pt idx="186">
                  <c:v>44508.333599537036</c:v>
                </c:pt>
                <c:pt idx="187">
                  <c:v>44509.333553240744</c:v>
                </c:pt>
                <c:pt idx="188">
                  <c:v>44510.333425925928</c:v>
                </c:pt>
                <c:pt idx="189">
                  <c:v>44511.333379629628</c:v>
                </c:pt>
                <c:pt idx="190">
                  <c:v>44512.334085648145</c:v>
                </c:pt>
                <c:pt idx="191">
                  <c:v>44513.333564814813</c:v>
                </c:pt>
                <c:pt idx="192">
                  <c:v>44514.333645833336</c:v>
                </c:pt>
                <c:pt idx="193">
                  <c:v>44515.333506944444</c:v>
                </c:pt>
                <c:pt idx="194">
                  <c:v>44516.333402777775</c:v>
                </c:pt>
                <c:pt idx="195">
                  <c:v>44517.333518518521</c:v>
                </c:pt>
                <c:pt idx="196">
                  <c:v>44518.33384259259</c:v>
                </c:pt>
                <c:pt idx="197">
                  <c:v>44519.333449074074</c:v>
                </c:pt>
                <c:pt idx="198">
                  <c:v>44520.333402777775</c:v>
                </c:pt>
                <c:pt idx="199">
                  <c:v>44521.333634259259</c:v>
                </c:pt>
                <c:pt idx="200">
                  <c:v>44522.333506944444</c:v>
                </c:pt>
                <c:pt idx="201">
                  <c:v>44523.333425925928</c:v>
                </c:pt>
                <c:pt idx="202">
                  <c:v>44524.333437499998</c:v>
                </c:pt>
                <c:pt idx="203">
                  <c:v>44525.333391203705</c:v>
                </c:pt>
                <c:pt idx="204">
                  <c:v>44526.333414351851</c:v>
                </c:pt>
                <c:pt idx="205">
                  <c:v>44527.333344907405</c:v>
                </c:pt>
                <c:pt idx="206">
                  <c:v>44528.333472222221</c:v>
                </c:pt>
                <c:pt idx="207">
                  <c:v>44529.333344907405</c:v>
                </c:pt>
                <c:pt idx="208">
                  <c:v>44530.333402777775</c:v>
                </c:pt>
                <c:pt idx="209">
                  <c:v>44531.333402777775</c:v>
                </c:pt>
                <c:pt idx="210">
                  <c:v>44532.333402777775</c:v>
                </c:pt>
                <c:pt idx="211">
                  <c:v>44533.333425925928</c:v>
                </c:pt>
                <c:pt idx="212">
                  <c:v>44534.333344907405</c:v>
                </c:pt>
                <c:pt idx="213">
                  <c:v>44535.333379629628</c:v>
                </c:pt>
                <c:pt idx="214">
                  <c:v>44536.333668981482</c:v>
                </c:pt>
                <c:pt idx="215">
                  <c:v>44537.333437499998</c:v>
                </c:pt>
                <c:pt idx="216">
                  <c:v>44538.333819444444</c:v>
                </c:pt>
                <c:pt idx="217">
                  <c:v>44539.333368055559</c:v>
                </c:pt>
                <c:pt idx="218">
                  <c:v>44540.33357638889</c:v>
                </c:pt>
                <c:pt idx="219">
                  <c:v>44541.333715277775</c:v>
                </c:pt>
                <c:pt idx="220">
                  <c:v>44542.333611111113</c:v>
                </c:pt>
                <c:pt idx="221">
                  <c:v>44543.333368055559</c:v>
                </c:pt>
                <c:pt idx="222">
                  <c:v>44544.333622685182</c:v>
                </c:pt>
                <c:pt idx="223">
                  <c:v>44545.333599537036</c:v>
                </c:pt>
                <c:pt idx="224">
                  <c:v>44546.333587962959</c:v>
                </c:pt>
                <c:pt idx="225">
                  <c:v>44547.333495370367</c:v>
                </c:pt>
                <c:pt idx="226">
                  <c:v>44548.333645833336</c:v>
                </c:pt>
                <c:pt idx="227">
                  <c:v>44549.333356481482</c:v>
                </c:pt>
                <c:pt idx="228">
                  <c:v>44550.333541666667</c:v>
                </c:pt>
                <c:pt idx="229">
                  <c:v>44551.333495370367</c:v>
                </c:pt>
                <c:pt idx="230">
                  <c:v>44552.333356481482</c:v>
                </c:pt>
                <c:pt idx="231">
                  <c:v>44553.333379629628</c:v>
                </c:pt>
                <c:pt idx="232">
                  <c:v>44554.33353009259</c:v>
                </c:pt>
                <c:pt idx="233">
                  <c:v>44555.333553240744</c:v>
                </c:pt>
                <c:pt idx="234">
                  <c:v>44556.333414351851</c:v>
                </c:pt>
                <c:pt idx="235">
                  <c:v>44557.333460648151</c:v>
                </c:pt>
                <c:pt idx="236">
                  <c:v>44558.333402777775</c:v>
                </c:pt>
                <c:pt idx="237">
                  <c:v>44559.333379629628</c:v>
                </c:pt>
                <c:pt idx="238">
                  <c:v>44560.333472222221</c:v>
                </c:pt>
                <c:pt idx="239">
                  <c:v>44561.333483796298</c:v>
                </c:pt>
                <c:pt idx="240">
                  <c:v>44562.333356481482</c:v>
                </c:pt>
                <c:pt idx="241">
                  <c:v>44563.333969907406</c:v>
                </c:pt>
                <c:pt idx="242">
                  <c:v>44564.33353009259</c:v>
                </c:pt>
                <c:pt idx="243">
                  <c:v>44565.333483796298</c:v>
                </c:pt>
                <c:pt idx="244">
                  <c:v>44566.333425925928</c:v>
                </c:pt>
                <c:pt idx="245">
                  <c:v>44567.333587962959</c:v>
                </c:pt>
                <c:pt idx="246">
                  <c:v>44568.333414351851</c:v>
                </c:pt>
                <c:pt idx="247">
                  <c:v>44569.333344907405</c:v>
                </c:pt>
                <c:pt idx="248">
                  <c:v>44570.333483796298</c:v>
                </c:pt>
                <c:pt idx="249">
                  <c:v>44571.333437499998</c:v>
                </c:pt>
                <c:pt idx="250">
                  <c:v>44572.333680555559</c:v>
                </c:pt>
                <c:pt idx="251">
                  <c:v>44573.333437499998</c:v>
                </c:pt>
                <c:pt idx="252">
                  <c:v>44574.333587962959</c:v>
                </c:pt>
                <c:pt idx="253">
                  <c:v>44575.333541666667</c:v>
                </c:pt>
                <c:pt idx="254">
                  <c:v>44576.333344907405</c:v>
                </c:pt>
                <c:pt idx="255">
                  <c:v>44577.333495370367</c:v>
                </c:pt>
                <c:pt idx="256">
                  <c:v>44578.333402777775</c:v>
                </c:pt>
                <c:pt idx="257">
                  <c:v>44579.333333333336</c:v>
                </c:pt>
                <c:pt idx="258">
                  <c:v>44580.333356481482</c:v>
                </c:pt>
                <c:pt idx="259">
                  <c:v>44581.333344907405</c:v>
                </c:pt>
                <c:pt idx="260">
                  <c:v>44582.333541666667</c:v>
                </c:pt>
                <c:pt idx="261">
                  <c:v>44583.334016203706</c:v>
                </c:pt>
                <c:pt idx="262">
                  <c:v>44584.333483796298</c:v>
                </c:pt>
                <c:pt idx="263">
                  <c:v>44585.333923611113</c:v>
                </c:pt>
                <c:pt idx="264">
                  <c:v>44586.33357638889</c:v>
                </c:pt>
                <c:pt idx="265">
                  <c:v>44587.333379629628</c:v>
                </c:pt>
                <c:pt idx="266">
                  <c:v>44588.333333333336</c:v>
                </c:pt>
                <c:pt idx="267">
                  <c:v>44589.333344907405</c:v>
                </c:pt>
                <c:pt idx="268">
                  <c:v>44590.333356481482</c:v>
                </c:pt>
                <c:pt idx="269">
                  <c:v>44591.333379629628</c:v>
                </c:pt>
                <c:pt idx="270">
                  <c:v>44592.333611111113</c:v>
                </c:pt>
                <c:pt idx="271">
                  <c:v>44593.333356481482</c:v>
                </c:pt>
                <c:pt idx="272">
                  <c:v>44594.333553240744</c:v>
                </c:pt>
                <c:pt idx="273">
                  <c:v>44595.333460648151</c:v>
                </c:pt>
                <c:pt idx="274">
                  <c:v>44596.333402777775</c:v>
                </c:pt>
                <c:pt idx="275">
                  <c:v>44597.333344907405</c:v>
                </c:pt>
                <c:pt idx="276">
                  <c:v>44598.333425925928</c:v>
                </c:pt>
                <c:pt idx="277">
                  <c:v>44599.333402777775</c:v>
                </c:pt>
                <c:pt idx="278">
                  <c:v>44600.333564814813</c:v>
                </c:pt>
                <c:pt idx="279">
                  <c:v>44601.333391203705</c:v>
                </c:pt>
                <c:pt idx="280">
                  <c:v>44602.333495370367</c:v>
                </c:pt>
                <c:pt idx="281">
                  <c:v>44603.333460648151</c:v>
                </c:pt>
                <c:pt idx="282">
                  <c:v>44604.333483796298</c:v>
                </c:pt>
                <c:pt idx="283">
                  <c:v>44605.333356481482</c:v>
                </c:pt>
                <c:pt idx="284">
                  <c:v>44606.333472222221</c:v>
                </c:pt>
                <c:pt idx="285">
                  <c:v>44607.333472222221</c:v>
                </c:pt>
                <c:pt idx="286">
                  <c:v>44608.333599537036</c:v>
                </c:pt>
                <c:pt idx="287">
                  <c:v>44609.333368055559</c:v>
                </c:pt>
                <c:pt idx="288">
                  <c:v>44610.333553240744</c:v>
                </c:pt>
                <c:pt idx="289">
                  <c:v>44611.333460648151</c:v>
                </c:pt>
                <c:pt idx="290">
                  <c:v>44612.333495370367</c:v>
                </c:pt>
                <c:pt idx="291">
                  <c:v>44613.333379629628</c:v>
                </c:pt>
                <c:pt idx="292">
                  <c:v>44614.333391203705</c:v>
                </c:pt>
                <c:pt idx="293">
                  <c:v>44615.333518518521</c:v>
                </c:pt>
                <c:pt idx="294">
                  <c:v>44616.333333333336</c:v>
                </c:pt>
                <c:pt idx="295">
                  <c:v>44617.333368055559</c:v>
                </c:pt>
                <c:pt idx="296">
                  <c:v>44618.333449074074</c:v>
                </c:pt>
                <c:pt idx="297">
                  <c:v>44619.333449074074</c:v>
                </c:pt>
                <c:pt idx="298">
                  <c:v>44620.333402777775</c:v>
                </c:pt>
                <c:pt idx="299">
                  <c:v>44621.333854166667</c:v>
                </c:pt>
                <c:pt idx="300">
                  <c:v>44622.333483796298</c:v>
                </c:pt>
                <c:pt idx="301">
                  <c:v>44623.333495370367</c:v>
                </c:pt>
                <c:pt idx="302">
                  <c:v>44624.333356481482</c:v>
                </c:pt>
                <c:pt idx="303">
                  <c:v>44625.333437499998</c:v>
                </c:pt>
                <c:pt idx="304">
                  <c:v>44626.333425925928</c:v>
                </c:pt>
                <c:pt idx="305">
                  <c:v>44627.333333333336</c:v>
                </c:pt>
                <c:pt idx="306">
                  <c:v>44628.333368055559</c:v>
                </c:pt>
                <c:pt idx="307">
                  <c:v>44629.333333333336</c:v>
                </c:pt>
                <c:pt idx="308">
                  <c:v>44630.33357638889</c:v>
                </c:pt>
                <c:pt idx="309">
                  <c:v>44631.333414351851</c:v>
                </c:pt>
                <c:pt idx="310">
                  <c:v>44632.334016203706</c:v>
                </c:pt>
                <c:pt idx="311">
                  <c:v>44633.333425925928</c:v>
                </c:pt>
                <c:pt idx="312">
                  <c:v>44634.333749999998</c:v>
                </c:pt>
                <c:pt idx="313">
                  <c:v>44635.333379629628</c:v>
                </c:pt>
                <c:pt idx="314">
                  <c:v>44636.333379629628</c:v>
                </c:pt>
                <c:pt idx="315">
                  <c:v>44637.333587962959</c:v>
                </c:pt>
                <c:pt idx="316">
                  <c:v>44638.33384259259</c:v>
                </c:pt>
                <c:pt idx="317">
                  <c:v>44639.333356481482</c:v>
                </c:pt>
                <c:pt idx="318">
                  <c:v>44640.333379629628</c:v>
                </c:pt>
                <c:pt idx="319">
                  <c:v>44641.333333333336</c:v>
                </c:pt>
                <c:pt idx="320">
                  <c:v>44642.333344907405</c:v>
                </c:pt>
                <c:pt idx="321">
                  <c:v>44643.333379629628</c:v>
                </c:pt>
                <c:pt idx="322">
                  <c:v>44644.333402777775</c:v>
                </c:pt>
                <c:pt idx="323">
                  <c:v>44645.333344907405</c:v>
                </c:pt>
                <c:pt idx="324">
                  <c:v>44646.333460648151</c:v>
                </c:pt>
                <c:pt idx="325">
                  <c:v>44647.333368055559</c:v>
                </c:pt>
                <c:pt idx="326">
                  <c:v>44648.333854166667</c:v>
                </c:pt>
                <c:pt idx="327">
                  <c:v>44649.333425925928</c:v>
                </c:pt>
                <c:pt idx="328">
                  <c:v>44650.333506944444</c:v>
                </c:pt>
                <c:pt idx="329">
                  <c:v>44651.333379629628</c:v>
                </c:pt>
                <c:pt idx="330">
                  <c:v>44652.333541666667</c:v>
                </c:pt>
                <c:pt idx="331">
                  <c:v>44653.333506944444</c:v>
                </c:pt>
                <c:pt idx="332">
                  <c:v>44654.333356481482</c:v>
                </c:pt>
                <c:pt idx="333">
                  <c:v>44655.333368055559</c:v>
                </c:pt>
                <c:pt idx="334">
                  <c:v>44656.333368055559</c:v>
                </c:pt>
                <c:pt idx="335">
                  <c:v>44657.333333333336</c:v>
                </c:pt>
                <c:pt idx="336">
                  <c:v>44658.333506944444</c:v>
                </c:pt>
                <c:pt idx="337">
                  <c:v>44659.333437499998</c:v>
                </c:pt>
                <c:pt idx="338">
                  <c:v>44660.333414351851</c:v>
                </c:pt>
                <c:pt idx="339">
                  <c:v>44661.333344907405</c:v>
                </c:pt>
                <c:pt idx="340">
                  <c:v>44662.333391203705</c:v>
                </c:pt>
                <c:pt idx="341">
                  <c:v>44663.333634259259</c:v>
                </c:pt>
                <c:pt idx="342">
                  <c:v>44664.333333333336</c:v>
                </c:pt>
                <c:pt idx="343">
                  <c:v>44665.333680555559</c:v>
                </c:pt>
                <c:pt idx="344">
                  <c:v>44666.333391203705</c:v>
                </c:pt>
                <c:pt idx="345">
                  <c:v>44667.33357638889</c:v>
                </c:pt>
                <c:pt idx="346">
                  <c:v>44668.333449074074</c:v>
                </c:pt>
                <c:pt idx="347">
                  <c:v>44669.333819444444</c:v>
                </c:pt>
                <c:pt idx="348">
                  <c:v>44670.333379629628</c:v>
                </c:pt>
                <c:pt idx="349">
                  <c:v>44671.333495370367</c:v>
                </c:pt>
                <c:pt idx="350">
                  <c:v>44672.333425925928</c:v>
                </c:pt>
                <c:pt idx="351">
                  <c:v>44673.333414351851</c:v>
                </c:pt>
                <c:pt idx="352">
                  <c:v>44674.333865740744</c:v>
                </c:pt>
                <c:pt idx="353">
                  <c:v>44675.333368055559</c:v>
                </c:pt>
                <c:pt idx="354">
                  <c:v>44676.333333333336</c:v>
                </c:pt>
                <c:pt idx="355">
                  <c:v>44677.333807870367</c:v>
                </c:pt>
                <c:pt idx="356">
                  <c:v>44678.333344907405</c:v>
                </c:pt>
                <c:pt idx="357">
                  <c:v>44679.333344907405</c:v>
                </c:pt>
                <c:pt idx="358">
                  <c:v>44680.333402777775</c:v>
                </c:pt>
                <c:pt idx="359">
                  <c:v>44681.333854166667</c:v>
                </c:pt>
                <c:pt idx="360">
                  <c:v>44682.333796296298</c:v>
                </c:pt>
                <c:pt idx="361">
                  <c:v>44683.333344907405</c:v>
                </c:pt>
                <c:pt idx="362">
                  <c:v>44684.33388888889</c:v>
                </c:pt>
                <c:pt idx="363">
                  <c:v>44685.333495370367</c:v>
                </c:pt>
                <c:pt idx="364">
                  <c:v>44686.333402777775</c:v>
                </c:pt>
                <c:pt idx="365">
                  <c:v>44687.333425925928</c:v>
                </c:pt>
              </c:numCache>
            </c:numRef>
          </c:cat>
          <c:val>
            <c:numRef>
              <c:f>'USDCETH_0.3% Charts'!$M$2:$M$386</c:f>
              <c:numCache>
                <c:formatCode>General</c:formatCode>
                <c:ptCount val="385"/>
                <c:pt idx="29">
                  <c:v>1.8681164092435318</c:v>
                </c:pt>
                <c:pt idx="30">
                  <c:v>1.9135353894782037</c:v>
                </c:pt>
                <c:pt idx="31">
                  <c:v>1.9528058734349476</c:v>
                </c:pt>
                <c:pt idx="32">
                  <c:v>1.9817881596443008</c:v>
                </c:pt>
                <c:pt idx="33">
                  <c:v>2.0296583074259305</c:v>
                </c:pt>
                <c:pt idx="34">
                  <c:v>2.0553554058533781</c:v>
                </c:pt>
                <c:pt idx="35">
                  <c:v>2.0408200726101011</c:v>
                </c:pt>
                <c:pt idx="36">
                  <c:v>2.0417696694493981</c:v>
                </c:pt>
                <c:pt idx="37">
                  <c:v>1.9869521256578626</c:v>
                </c:pt>
                <c:pt idx="38">
                  <c:v>1.927859791059451</c:v>
                </c:pt>
                <c:pt idx="39">
                  <c:v>1.9081348444619646</c:v>
                </c:pt>
                <c:pt idx="40">
                  <c:v>1.9073119861158765</c:v>
                </c:pt>
                <c:pt idx="41">
                  <c:v>1.8498211370541997</c:v>
                </c:pt>
                <c:pt idx="42">
                  <c:v>1.8193392703303994</c:v>
                </c:pt>
                <c:pt idx="43">
                  <c:v>1.7372456271197712</c:v>
                </c:pt>
                <c:pt idx="44">
                  <c:v>1.6319215931364173</c:v>
                </c:pt>
                <c:pt idx="45">
                  <c:v>1.5771733774625538</c:v>
                </c:pt>
                <c:pt idx="46">
                  <c:v>1.5572936651649376</c:v>
                </c:pt>
                <c:pt idx="47">
                  <c:v>1.5215130318012648</c:v>
                </c:pt>
                <c:pt idx="48">
                  <c:v>1.4708500596987164</c:v>
                </c:pt>
                <c:pt idx="49">
                  <c:v>1.4006406443815373</c:v>
                </c:pt>
                <c:pt idx="50">
                  <c:v>1.3797828947354385</c:v>
                </c:pt>
                <c:pt idx="51">
                  <c:v>1.3398669768578546</c:v>
                </c:pt>
                <c:pt idx="52">
                  <c:v>1.3185534579871967</c:v>
                </c:pt>
                <c:pt idx="53">
                  <c:v>1.2912745810338093</c:v>
                </c:pt>
                <c:pt idx="54">
                  <c:v>1.2713539522516579</c:v>
                </c:pt>
                <c:pt idx="55">
                  <c:v>1.2717178835690102</c:v>
                </c:pt>
                <c:pt idx="56">
                  <c:v>1.2670074410743983</c:v>
                </c:pt>
                <c:pt idx="57">
                  <c:v>1.2596049405363325</c:v>
                </c:pt>
                <c:pt idx="58">
                  <c:v>1.2469790562541123</c:v>
                </c:pt>
                <c:pt idx="59">
                  <c:v>1.2411398367761186</c:v>
                </c:pt>
                <c:pt idx="60">
                  <c:v>1.2356051330722793</c:v>
                </c:pt>
                <c:pt idx="61">
                  <c:v>1.2382571888904865</c:v>
                </c:pt>
                <c:pt idx="62">
                  <c:v>1.249822096153971</c:v>
                </c:pt>
                <c:pt idx="63">
                  <c:v>1.2445622198986612</c:v>
                </c:pt>
                <c:pt idx="64">
                  <c:v>1.2417872766041995</c:v>
                </c:pt>
                <c:pt idx="65">
                  <c:v>1.2522615031670128</c:v>
                </c:pt>
                <c:pt idx="66">
                  <c:v>1.2599271458042482</c:v>
                </c:pt>
                <c:pt idx="67">
                  <c:v>1.2483183195060326</c:v>
                </c:pt>
                <c:pt idx="68">
                  <c:v>1.2779072292469451</c:v>
                </c:pt>
                <c:pt idx="69">
                  <c:v>1.2973721426575588</c:v>
                </c:pt>
                <c:pt idx="70">
                  <c:v>1.3035212183451981</c:v>
                </c:pt>
                <c:pt idx="71">
                  <c:v>1.3168492492801782</c:v>
                </c:pt>
                <c:pt idx="72">
                  <c:v>1.3245948532949861</c:v>
                </c:pt>
                <c:pt idx="73">
                  <c:v>1.3133610229518027</c:v>
                </c:pt>
                <c:pt idx="74">
                  <c:v>1.3029557950559236</c:v>
                </c:pt>
                <c:pt idx="75">
                  <c:v>1.306779512153043</c:v>
                </c:pt>
                <c:pt idx="76">
                  <c:v>1.2249119580221479</c:v>
                </c:pt>
                <c:pt idx="77">
                  <c:v>1.1968033970463772</c:v>
                </c:pt>
                <c:pt idx="78">
                  <c:v>1.1629648115918987</c:v>
                </c:pt>
                <c:pt idx="79">
                  <c:v>1.1522284768136699</c:v>
                </c:pt>
                <c:pt idx="80">
                  <c:v>1.1396504478799621</c:v>
                </c:pt>
                <c:pt idx="81">
                  <c:v>1.1357974423079527</c:v>
                </c:pt>
                <c:pt idx="82">
                  <c:v>1.131746750084186</c:v>
                </c:pt>
                <c:pt idx="83">
                  <c:v>1.1289085271921444</c:v>
                </c:pt>
                <c:pt idx="84">
                  <c:v>1.1095109460431012</c:v>
                </c:pt>
                <c:pt idx="85">
                  <c:v>1.0985321520625682</c:v>
                </c:pt>
                <c:pt idx="86">
                  <c:v>1.083472867121601</c:v>
                </c:pt>
                <c:pt idx="87">
                  <c:v>1.0739897828239926</c:v>
                </c:pt>
                <c:pt idx="88">
                  <c:v>1.0872458397524531</c:v>
                </c:pt>
                <c:pt idx="89">
                  <c:v>1.0946343704572636</c:v>
                </c:pt>
                <c:pt idx="90">
                  <c:v>1.0964849764520941</c:v>
                </c:pt>
                <c:pt idx="91">
                  <c:v>1.095332400017889</c:v>
                </c:pt>
                <c:pt idx="92">
                  <c:v>1.0968496488692279</c:v>
                </c:pt>
                <c:pt idx="93">
                  <c:v>1.0542393773429077</c:v>
                </c:pt>
                <c:pt idx="94">
                  <c:v>1.0466947876584638</c:v>
                </c:pt>
                <c:pt idx="95">
                  <c:v>1.0407436428105887</c:v>
                </c:pt>
                <c:pt idx="96">
                  <c:v>1.0502269653194918</c:v>
                </c:pt>
                <c:pt idx="97">
                  <c:v>1.040994881317848</c:v>
                </c:pt>
                <c:pt idx="98">
                  <c:v>1.0072057206376708</c:v>
                </c:pt>
                <c:pt idx="99">
                  <c:v>0.96517466430435861</c:v>
                </c:pt>
                <c:pt idx="100">
                  <c:v>0.92887269262072936</c:v>
                </c:pt>
                <c:pt idx="101">
                  <c:v>0.89060874017697433</c:v>
                </c:pt>
                <c:pt idx="102">
                  <c:v>0.85690357027719088</c:v>
                </c:pt>
                <c:pt idx="103">
                  <c:v>0.83045879013313839</c:v>
                </c:pt>
                <c:pt idx="104">
                  <c:v>0.81777357532245487</c:v>
                </c:pt>
                <c:pt idx="105">
                  <c:v>0.77277553326866577</c:v>
                </c:pt>
                <c:pt idx="106">
                  <c:v>0.73717915357935504</c:v>
                </c:pt>
                <c:pt idx="107">
                  <c:v>0.68682690748087316</c:v>
                </c:pt>
                <c:pt idx="108">
                  <c:v>0.65154297365990443</c:v>
                </c:pt>
                <c:pt idx="109">
                  <c:v>0.61881746506815594</c:v>
                </c:pt>
                <c:pt idx="110">
                  <c:v>0.59086226141139531</c:v>
                </c:pt>
                <c:pt idx="111">
                  <c:v>0.58296986582281329</c:v>
                </c:pt>
                <c:pt idx="112">
                  <c:v>0.55407648836681189</c:v>
                </c:pt>
                <c:pt idx="113">
                  <c:v>0.52981707481843365</c:v>
                </c:pt>
                <c:pt idx="114">
                  <c:v>0.49867466701072821</c:v>
                </c:pt>
                <c:pt idx="115">
                  <c:v>0.46932918677888069</c:v>
                </c:pt>
                <c:pt idx="116">
                  <c:v>0.43875255783007661</c:v>
                </c:pt>
                <c:pt idx="117">
                  <c:v>0.44605724972166738</c:v>
                </c:pt>
                <c:pt idx="118">
                  <c:v>0.43036403795857636</c:v>
                </c:pt>
                <c:pt idx="119">
                  <c:v>0.38644819111805967</c:v>
                </c:pt>
                <c:pt idx="120">
                  <c:v>0.39332919551075035</c:v>
                </c:pt>
                <c:pt idx="121">
                  <c:v>0.35255923217000429</c:v>
                </c:pt>
                <c:pt idx="122">
                  <c:v>0.31049478984582757</c:v>
                </c:pt>
                <c:pt idx="123">
                  <c:v>0.31049478984582757</c:v>
                </c:pt>
                <c:pt idx="124">
                  <c:v>0.31765730575905349</c:v>
                </c:pt>
                <c:pt idx="125">
                  <c:v>0.38061821206091379</c:v>
                </c:pt>
                <c:pt idx="126">
                  <c:v>0.38785843947482979</c:v>
                </c:pt>
                <c:pt idx="127">
                  <c:v>0.4163510995583502</c:v>
                </c:pt>
                <c:pt idx="128">
                  <c:v>0.46735145788990246</c:v>
                </c:pt>
                <c:pt idx="129">
                  <c:v>0.5018621338215471</c:v>
                </c:pt>
                <c:pt idx="130">
                  <c:v>0.5454262232677366</c:v>
                </c:pt>
                <c:pt idx="131">
                  <c:v>0.59492703113894307</c:v>
                </c:pt>
                <c:pt idx="132">
                  <c:v>0.6282100840127961</c:v>
                </c:pt>
                <c:pt idx="133">
                  <c:v>0.66130031703647341</c:v>
                </c:pt>
                <c:pt idx="134">
                  <c:v>0.68123762148777156</c:v>
                </c:pt>
                <c:pt idx="135">
                  <c:v>0.7051761769647904</c:v>
                </c:pt>
                <c:pt idx="136">
                  <c:v>0.73422256316819234</c:v>
                </c:pt>
                <c:pt idx="137">
                  <c:v>0.76672215874062244</c:v>
                </c:pt>
                <c:pt idx="138">
                  <c:v>0.84680129572107399</c:v>
                </c:pt>
                <c:pt idx="139">
                  <c:v>0.93219950987005162</c:v>
                </c:pt>
                <c:pt idx="140">
                  <c:v>0.98236057157015422</c:v>
                </c:pt>
                <c:pt idx="141">
                  <c:v>1.0216708768506442</c:v>
                </c:pt>
                <c:pt idx="142">
                  <c:v>1.0573094440143833</c:v>
                </c:pt>
                <c:pt idx="143">
                  <c:v>1.0934037976566082</c:v>
                </c:pt>
                <c:pt idx="144">
                  <c:v>1.1316197135673038</c:v>
                </c:pt>
                <c:pt idx="145">
                  <c:v>1.176251870043614</c:v>
                </c:pt>
                <c:pt idx="146">
                  <c:v>1.2190647090609801</c:v>
                </c:pt>
                <c:pt idx="147">
                  <c:v>1.2188244161506545</c:v>
                </c:pt>
                <c:pt idx="148">
                  <c:v>1.230180665279569</c:v>
                </c:pt>
                <c:pt idx="149">
                  <c:v>1.2612159299344827</c:v>
                </c:pt>
                <c:pt idx="150">
                  <c:v>1.2427270719176788</c:v>
                </c:pt>
                <c:pt idx="151">
                  <c:v>1.2746954818555558</c:v>
                </c:pt>
                <c:pt idx="152">
                  <c:v>1.3083134463878301</c:v>
                </c:pt>
                <c:pt idx="153">
                  <c:v>1.3391926923547708</c:v>
                </c:pt>
                <c:pt idx="154">
                  <c:v>1.3413670040912087</c:v>
                </c:pt>
                <c:pt idx="155">
                  <c:v>1.2734380164666941</c:v>
                </c:pt>
                <c:pt idx="156">
                  <c:v>1.2550418806474071</c:v>
                </c:pt>
                <c:pt idx="157">
                  <c:v>1.2312019990705643</c:v>
                </c:pt>
                <c:pt idx="158">
                  <c:v>1.2141117978496077</c:v>
                </c:pt>
                <c:pt idx="159">
                  <c:v>1.2111740616603925</c:v>
                </c:pt>
                <c:pt idx="160">
                  <c:v>1.2000206099925739</c:v>
                </c:pt>
                <c:pt idx="161">
                  <c:v>1.1816424823407259</c:v>
                </c:pt>
                <c:pt idx="162">
                  <c:v>1.1789433111383412</c:v>
                </c:pt>
                <c:pt idx="163">
                  <c:v>1.1777842577024209</c:v>
                </c:pt>
                <c:pt idx="164">
                  <c:v>1.162447792739002</c:v>
                </c:pt>
                <c:pt idx="165">
                  <c:v>1.1728236317763816</c:v>
                </c:pt>
                <c:pt idx="166">
                  <c:v>1.1740019414426646</c:v>
                </c:pt>
                <c:pt idx="167">
                  <c:v>1.1478970771437453</c:v>
                </c:pt>
                <c:pt idx="168">
                  <c:v>1.1045641052471329</c:v>
                </c:pt>
                <c:pt idx="169">
                  <c:v>1.0438168075525476</c:v>
                </c:pt>
                <c:pt idx="170">
                  <c:v>1.0200164061205528</c:v>
                </c:pt>
                <c:pt idx="171">
                  <c:v>0.95757980562370693</c:v>
                </c:pt>
                <c:pt idx="172">
                  <c:v>0.90727532784338871</c:v>
                </c:pt>
                <c:pt idx="173">
                  <c:v>0.85669095992233657</c:v>
                </c:pt>
                <c:pt idx="174">
                  <c:v>0.85551608208040986</c:v>
                </c:pt>
                <c:pt idx="175">
                  <c:v>0.83864619600304879</c:v>
                </c:pt>
                <c:pt idx="176">
                  <c:v>0.79583335698568236</c:v>
                </c:pt>
                <c:pt idx="177">
                  <c:v>0.76044586039294504</c:v>
                </c:pt>
                <c:pt idx="178">
                  <c:v>0.75680406890221374</c:v>
                </c:pt>
                <c:pt idx="179">
                  <c:v>0.73348538527396323</c:v>
                </c:pt>
                <c:pt idx="180">
                  <c:v>0.71809165599401115</c:v>
                </c:pt>
                <c:pt idx="181">
                  <c:v>0.68612324605613428</c:v>
                </c:pt>
                <c:pt idx="182">
                  <c:v>0.66750952145348919</c:v>
                </c:pt>
                <c:pt idx="183">
                  <c:v>0.64251147502982531</c:v>
                </c:pt>
                <c:pt idx="184">
                  <c:v>0.61418828050271446</c:v>
                </c:pt>
                <c:pt idx="185">
                  <c:v>0.59021086167390924</c:v>
                </c:pt>
                <c:pt idx="186">
                  <c:v>0.56393403988013857</c:v>
                </c:pt>
                <c:pt idx="187">
                  <c:v>0.543729463618009</c:v>
                </c:pt>
                <c:pt idx="188">
                  <c:v>0.52354149209372314</c:v>
                </c:pt>
                <c:pt idx="189">
                  <c:v>0.51940372862956552</c:v>
                </c:pt>
                <c:pt idx="190">
                  <c:v>0.48699309085119452</c:v>
                </c:pt>
                <c:pt idx="191">
                  <c:v>0.47173967715876192</c:v>
                </c:pt>
                <c:pt idx="192">
                  <c:v>0.44115579548729328</c:v>
                </c:pt>
                <c:pt idx="193">
                  <c:v>0.4262830250327832</c:v>
                </c:pt>
                <c:pt idx="194">
                  <c:v>0.46494182771400722</c:v>
                </c:pt>
                <c:pt idx="195">
                  <c:v>0.46985835173019896</c:v>
                </c:pt>
                <c:pt idx="196">
                  <c:v>0.47345600886951034</c:v>
                </c:pt>
                <c:pt idx="197">
                  <c:v>0.51543974633096112</c:v>
                </c:pt>
                <c:pt idx="198">
                  <c:v>0.50016381851701164</c:v>
                </c:pt>
                <c:pt idx="199">
                  <c:v>0.49840699265086991</c:v>
                </c:pt>
                <c:pt idx="200">
                  <c:v>0.50981333280051377</c:v>
                </c:pt>
                <c:pt idx="201">
                  <c:v>0.5510857295132322</c:v>
                </c:pt>
                <c:pt idx="202">
                  <c:v>0.5885637738689723</c:v>
                </c:pt>
                <c:pt idx="203">
                  <c:v>0.61397769754322362</c:v>
                </c:pt>
                <c:pt idx="204">
                  <c:v>0.63702588428853879</c:v>
                </c:pt>
                <c:pt idx="205">
                  <c:v>0.64293003201580112</c:v>
                </c:pt>
                <c:pt idx="206">
                  <c:v>0.67344370878559257</c:v>
                </c:pt>
                <c:pt idx="207">
                  <c:v>0.71303544368472427</c:v>
                </c:pt>
                <c:pt idx="208">
                  <c:v>0.70404996067212389</c:v>
                </c:pt>
                <c:pt idx="209">
                  <c:v>0.74100284443976383</c:v>
                </c:pt>
                <c:pt idx="210">
                  <c:v>0.7590715206051275</c:v>
                </c:pt>
                <c:pt idx="211">
                  <c:v>0.78873577415120799</c:v>
                </c:pt>
                <c:pt idx="212">
                  <c:v>0.84014561666483845</c:v>
                </c:pt>
                <c:pt idx="213">
                  <c:v>0.86984457589555075</c:v>
                </c:pt>
                <c:pt idx="214">
                  <c:v>0.9008604698762912</c:v>
                </c:pt>
                <c:pt idx="215">
                  <c:v>0.92578593657016983</c:v>
                </c:pt>
                <c:pt idx="216">
                  <c:v>0.95729903640688396</c:v>
                </c:pt>
                <c:pt idx="217">
                  <c:v>0.98953895198685982</c:v>
                </c:pt>
                <c:pt idx="218">
                  <c:v>1.0150991825549538</c:v>
                </c:pt>
                <c:pt idx="219">
                  <c:v>1.0352119604516075</c:v>
                </c:pt>
                <c:pt idx="220">
                  <c:v>1.0609655192704734</c:v>
                </c:pt>
                <c:pt idx="221">
                  <c:v>1.0745242523811105</c:v>
                </c:pt>
                <c:pt idx="222">
                  <c:v>1.1136616709654406</c:v>
                </c:pt>
                <c:pt idx="223">
                  <c:v>1.1221107391643237</c:v>
                </c:pt>
                <c:pt idx="224">
                  <c:v>1.0991165938783698</c:v>
                </c:pt>
                <c:pt idx="225">
                  <c:v>1.0914844752677084</c:v>
                </c:pt>
                <c:pt idx="226">
                  <c:v>1.0990951345462139</c:v>
                </c:pt>
                <c:pt idx="227">
                  <c:v>1.0751835106792567</c:v>
                </c:pt>
                <c:pt idx="228">
                  <c:v>1.1018887711818681</c:v>
                </c:pt>
                <c:pt idx="229">
                  <c:v>1.1100196125394273</c:v>
                </c:pt>
                <c:pt idx="230">
                  <c:v>1.0922146503232579</c:v>
                </c:pt>
                <c:pt idx="231">
                  <c:v>1.0749877949286828</c:v>
                </c:pt>
                <c:pt idx="232">
                  <c:v>1.0597131487880005</c:v>
                </c:pt>
                <c:pt idx="233">
                  <c:v>1.0562654780669984</c:v>
                </c:pt>
                <c:pt idx="234">
                  <c:v>1.0157978483273082</c:v>
                </c:pt>
                <c:pt idx="235">
                  <c:v>0.9971049127546181</c:v>
                </c:pt>
                <c:pt idx="236">
                  <c:v>0.98781732594434124</c:v>
                </c:pt>
                <c:pt idx="237">
                  <c:v>0.98495222456805132</c:v>
                </c:pt>
                <c:pt idx="238">
                  <c:v>0.99041283181398165</c:v>
                </c:pt>
                <c:pt idx="239">
                  <c:v>0.97970630457742192</c:v>
                </c:pt>
                <c:pt idx="240">
                  <c:v>0.97644893147599121</c:v>
                </c:pt>
                <c:pt idx="241">
                  <c:v>0.96072274521079726</c:v>
                </c:pt>
                <c:pt idx="242">
                  <c:v>0.91052424852820502</c:v>
                </c:pt>
                <c:pt idx="243">
                  <c:v>0.89309138202523786</c:v>
                </c:pt>
                <c:pt idx="244">
                  <c:v>0.87593765759548614</c:v>
                </c:pt>
                <c:pt idx="245">
                  <c:v>0.92805531026863852</c:v>
                </c:pt>
                <c:pt idx="246">
                  <c:v>0.96985973729916031</c:v>
                </c:pt>
                <c:pt idx="247">
                  <c:v>0.97862749555311324</c:v>
                </c:pt>
                <c:pt idx="248">
                  <c:v>0.97828404494651811</c:v>
                </c:pt>
                <c:pt idx="249">
                  <c:v>0.94822250321350365</c:v>
                </c:pt>
                <c:pt idx="250">
                  <c:v>0.95650982640576143</c:v>
                </c:pt>
                <c:pt idx="251">
                  <c:v>0.95461854279991021</c:v>
                </c:pt>
                <c:pt idx="252">
                  <c:v>0.93898731550485659</c:v>
                </c:pt>
                <c:pt idx="253">
                  <c:v>0.94023236252671982</c:v>
                </c:pt>
                <c:pt idx="254">
                  <c:v>0.91717127345099847</c:v>
                </c:pt>
                <c:pt idx="255">
                  <c:v>0.90203246205165022</c:v>
                </c:pt>
                <c:pt idx="256">
                  <c:v>0.8833861300614938</c:v>
                </c:pt>
                <c:pt idx="257">
                  <c:v>0.88090349224194575</c:v>
                </c:pt>
                <c:pt idx="258">
                  <c:v>0.86279857904032164</c:v>
                </c:pt>
                <c:pt idx="259">
                  <c:v>0.84540441400202115</c:v>
                </c:pt>
                <c:pt idx="260">
                  <c:v>0.92089131589386608</c:v>
                </c:pt>
                <c:pt idx="261">
                  <c:v>1.0364537759803758</c:v>
                </c:pt>
                <c:pt idx="262">
                  <c:v>1.088056603938778</c:v>
                </c:pt>
                <c:pt idx="263">
                  <c:v>1.1504025936721369</c:v>
                </c:pt>
                <c:pt idx="264">
                  <c:v>1.1784815971275835</c:v>
                </c:pt>
                <c:pt idx="265">
                  <c:v>1.1951902047416882</c:v>
                </c:pt>
                <c:pt idx="266">
                  <c:v>1.2244031704716052</c:v>
                </c:pt>
                <c:pt idx="267">
                  <c:v>1.2330489348437785</c:v>
                </c:pt>
                <c:pt idx="268">
                  <c:v>1.2284254592229469</c:v>
                </c:pt>
                <c:pt idx="269">
                  <c:v>1.2118748709018872</c:v>
                </c:pt>
                <c:pt idx="270">
                  <c:v>1.205234365981658</c:v>
                </c:pt>
                <c:pt idx="271">
                  <c:v>1.2198329309818783</c:v>
                </c:pt>
                <c:pt idx="272">
                  <c:v>1.2304020335809986</c:v>
                </c:pt>
                <c:pt idx="273">
                  <c:v>1.2440916580785049</c:v>
                </c:pt>
                <c:pt idx="274">
                  <c:v>1.2468687809353789</c:v>
                </c:pt>
                <c:pt idx="275">
                  <c:v>1.1962541902296449</c:v>
                </c:pt>
                <c:pt idx="276">
                  <c:v>1.1467546644773996</c:v>
                </c:pt>
                <c:pt idx="277">
                  <c:v>1.1355582902282824</c:v>
                </c:pt>
                <c:pt idx="278">
                  <c:v>1.1318244681217164</c:v>
                </c:pt>
                <c:pt idx="279">
                  <c:v>1.1481998931537012</c:v>
                </c:pt>
                <c:pt idx="280">
                  <c:v>1.1419741130600669</c:v>
                </c:pt>
                <c:pt idx="281">
                  <c:v>1.1585094430804039</c:v>
                </c:pt>
                <c:pt idx="282">
                  <c:v>1.1771372251181067</c:v>
                </c:pt>
                <c:pt idx="283">
                  <c:v>1.1825351453983934</c:v>
                </c:pt>
                <c:pt idx="284">
                  <c:v>1.1977091820423016</c:v>
                </c:pt>
                <c:pt idx="285">
                  <c:v>1.2100074390698112</c:v>
                </c:pt>
                <c:pt idx="286">
                  <c:v>1.2152177040398142</c:v>
                </c:pt>
                <c:pt idx="287">
                  <c:v>1.2273352524088008</c:v>
                </c:pt>
                <c:pt idx="288">
                  <c:v>1.2317202714912554</c:v>
                </c:pt>
                <c:pt idx="289">
                  <c:v>1.2569317443259529</c:v>
                </c:pt>
                <c:pt idx="290">
                  <c:v>1.1938890562178957</c:v>
                </c:pt>
                <c:pt idx="291">
                  <c:v>1.0917874112600221</c:v>
                </c:pt>
                <c:pt idx="292">
                  <c:v>1.0722525896874187</c:v>
                </c:pt>
                <c:pt idx="293">
                  <c:v>1.0217602545583395</c:v>
                </c:pt>
                <c:pt idx="294">
                  <c:v>1.0383458033581754</c:v>
                </c:pt>
                <c:pt idx="295">
                  <c:v>1.074579825534306</c:v>
                </c:pt>
                <c:pt idx="296">
                  <c:v>1.0733383741385862</c:v>
                </c:pt>
                <c:pt idx="297">
                  <c:v>1.059988310838393</c:v>
                </c:pt>
                <c:pt idx="298">
                  <c:v>1.0806201375613425</c:v>
                </c:pt>
                <c:pt idx="299">
                  <c:v>1.10721729770175</c:v>
                </c:pt>
                <c:pt idx="300">
                  <c:v>1.1313278711979118</c:v>
                </c:pt>
                <c:pt idx="301">
                  <c:v>1.141276813646392</c:v>
                </c:pt>
                <c:pt idx="302">
                  <c:v>1.1500500248048549</c:v>
                </c:pt>
                <c:pt idx="303">
                  <c:v>1.1497300153492864</c:v>
                </c:pt>
                <c:pt idx="304">
                  <c:v>1.1398859487882944</c:v>
                </c:pt>
                <c:pt idx="305">
                  <c:v>1.1361173863649496</c:v>
                </c:pt>
                <c:pt idx="306">
                  <c:v>1.1556194999440013</c:v>
                </c:pt>
                <c:pt idx="307">
                  <c:v>1.1679360239585435</c:v>
                </c:pt>
                <c:pt idx="308">
                  <c:v>1.1612089579127298</c:v>
                </c:pt>
                <c:pt idx="309">
                  <c:v>1.1609594101899414</c:v>
                </c:pt>
                <c:pt idx="310">
                  <c:v>1.1511786843581502</c:v>
                </c:pt>
                <c:pt idx="311">
                  <c:v>1.1198768312372842</c:v>
                </c:pt>
                <c:pt idx="312">
                  <c:v>1.1045541267650947</c:v>
                </c:pt>
                <c:pt idx="313">
                  <c:v>1.09840340411909</c:v>
                </c:pt>
                <c:pt idx="314">
                  <c:v>1.1039595670485249</c:v>
                </c:pt>
                <c:pt idx="315">
                  <c:v>1.1082035743495515</c:v>
                </c:pt>
                <c:pt idx="316">
                  <c:v>1.1036574810883653</c:v>
                </c:pt>
                <c:pt idx="317">
                  <c:v>1.0969552141771717</c:v>
                </c:pt>
                <c:pt idx="318">
                  <c:v>1.0867562911327817</c:v>
                </c:pt>
                <c:pt idx="319">
                  <c:v>1.0741101589496214</c:v>
                </c:pt>
                <c:pt idx="320">
                  <c:v>1.0692491447192889</c:v>
                </c:pt>
                <c:pt idx="321">
                  <c:v>1.0595871874669909</c:v>
                </c:pt>
                <c:pt idx="322">
                  <c:v>1.0293254484183385</c:v>
                </c:pt>
                <c:pt idx="323">
                  <c:v>1.0182228163943947</c:v>
                </c:pt>
                <c:pt idx="324">
                  <c:v>0.9539366690647183</c:v>
                </c:pt>
                <c:pt idx="325">
                  <c:v>0.8860205567209618</c:v>
                </c:pt>
                <c:pt idx="326">
                  <c:v>0.85801579782162762</c:v>
                </c:pt>
                <c:pt idx="327">
                  <c:v>0.84860985113865661</c:v>
                </c:pt>
                <c:pt idx="328">
                  <c:v>0.81130887901959847</c:v>
                </c:pt>
                <c:pt idx="329">
                  <c:v>0.78309064496243541</c:v>
                </c:pt>
                <c:pt idx="330">
                  <c:v>0.75843626619782589</c:v>
                </c:pt>
                <c:pt idx="331">
                  <c:v>0.74493689957339504</c:v>
                </c:pt>
                <c:pt idx="332">
                  <c:v>0.72750420309188824</c:v>
                </c:pt>
                <c:pt idx="333">
                  <c:v>0.69598729577892871</c:v>
                </c:pt>
                <c:pt idx="334">
                  <c:v>0.67451335884477115</c:v>
                </c:pt>
                <c:pt idx="335">
                  <c:v>0.66464136836263887</c:v>
                </c:pt>
                <c:pt idx="336">
                  <c:v>0.65306717637076772</c:v>
                </c:pt>
                <c:pt idx="337">
                  <c:v>0.63333086326846311</c:v>
                </c:pt>
                <c:pt idx="338">
                  <c:v>0.62585590629542176</c:v>
                </c:pt>
                <c:pt idx="339">
                  <c:v>0.59224361654431401</c:v>
                </c:pt>
                <c:pt idx="340">
                  <c:v>0.60200044831696742</c:v>
                </c:pt>
                <c:pt idx="341">
                  <c:v>0.61695167170857856</c:v>
                </c:pt>
                <c:pt idx="342">
                  <c:v>0.61329475272139766</c:v>
                </c:pt>
                <c:pt idx="343">
                  <c:v>0.60012000498566187</c:v>
                </c:pt>
                <c:pt idx="344">
                  <c:v>0.58059922748832038</c:v>
                </c:pt>
                <c:pt idx="345">
                  <c:v>0.56011250927242195</c:v>
                </c:pt>
                <c:pt idx="346">
                  <c:v>0.5509560432605326</c:v>
                </c:pt>
                <c:pt idx="347">
                  <c:v>0.56338387821957037</c:v>
                </c:pt>
                <c:pt idx="348">
                  <c:v>0.5604988528325866</c:v>
                </c:pt>
                <c:pt idx="349">
                  <c:v>0.55591055847700299</c:v>
                </c:pt>
                <c:pt idx="350">
                  <c:v>0.54132168474163966</c:v>
                </c:pt>
                <c:pt idx="351">
                  <c:v>0.54198890234984587</c:v>
                </c:pt>
                <c:pt idx="352">
                  <c:v>0.54320604601074285</c:v>
                </c:pt>
                <c:pt idx="353">
                  <c:v>0.53385318694314321</c:v>
                </c:pt>
                <c:pt idx="354">
                  <c:v>0.561823474489621</c:v>
                </c:pt>
                <c:pt idx="355">
                  <c:v>0.58595644812828795</c:v>
                </c:pt>
                <c:pt idx="356">
                  <c:v>0.6011949649092706</c:v>
                </c:pt>
                <c:pt idx="357">
                  <c:v>0.6054944094373087</c:v>
                </c:pt>
                <c:pt idx="358">
                  <c:v>0.62262233904857922</c:v>
                </c:pt>
                <c:pt idx="359">
                  <c:v>0.63110061638104953</c:v>
                </c:pt>
                <c:pt idx="360">
                  <c:v>0.6322974065302599</c:v>
                </c:pt>
                <c:pt idx="361">
                  <c:v>0.62647542427991176</c:v>
                </c:pt>
                <c:pt idx="362">
                  <c:v>0.63030930080258829</c:v>
                </c:pt>
                <c:pt idx="363">
                  <c:v>0.64711110462068966</c:v>
                </c:pt>
                <c:pt idx="364">
                  <c:v>0.66912779554362778</c:v>
                </c:pt>
                <c:pt idx="365">
                  <c:v>0.68192913770581209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'USDCETH_0.3% Charts'!$O$1</c:f>
              <c:strCache>
                <c:ptCount val="1"/>
                <c:pt idx="0">
                  <c:v>HV_30D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'USDCETH_0.3% Charts'!$A$2:$A$386</c:f>
              <c:numCache>
                <c:formatCode>m/d/yyyy</c:formatCode>
                <c:ptCount val="385"/>
                <c:pt idx="0">
                  <c:v>44322.33353009259</c:v>
                </c:pt>
                <c:pt idx="1">
                  <c:v>44323.333483796298</c:v>
                </c:pt>
                <c:pt idx="2">
                  <c:v>44324.333356481482</c:v>
                </c:pt>
                <c:pt idx="3">
                  <c:v>44325.333356481482</c:v>
                </c:pt>
                <c:pt idx="4">
                  <c:v>44326.333333333336</c:v>
                </c:pt>
                <c:pt idx="5">
                  <c:v>44327.333668981482</c:v>
                </c:pt>
                <c:pt idx="6">
                  <c:v>44328.333414351851</c:v>
                </c:pt>
                <c:pt idx="7">
                  <c:v>44329.333564814813</c:v>
                </c:pt>
                <c:pt idx="8">
                  <c:v>44330.333379629628</c:v>
                </c:pt>
                <c:pt idx="9">
                  <c:v>44331.333564814813</c:v>
                </c:pt>
                <c:pt idx="10">
                  <c:v>44332.333460648151</c:v>
                </c:pt>
                <c:pt idx="11">
                  <c:v>44333.333611111113</c:v>
                </c:pt>
                <c:pt idx="12">
                  <c:v>44334.333333333336</c:v>
                </c:pt>
                <c:pt idx="13">
                  <c:v>44335.333333333336</c:v>
                </c:pt>
                <c:pt idx="14">
                  <c:v>44336.333425925928</c:v>
                </c:pt>
                <c:pt idx="15">
                  <c:v>44337.333587962959</c:v>
                </c:pt>
                <c:pt idx="16">
                  <c:v>44338.333472222221</c:v>
                </c:pt>
                <c:pt idx="17">
                  <c:v>44339.333414351851</c:v>
                </c:pt>
                <c:pt idx="18">
                  <c:v>44340.333333333336</c:v>
                </c:pt>
                <c:pt idx="19">
                  <c:v>44341.333622685182</c:v>
                </c:pt>
                <c:pt idx="20">
                  <c:v>44342.333564814813</c:v>
                </c:pt>
                <c:pt idx="21">
                  <c:v>44343.333344907405</c:v>
                </c:pt>
                <c:pt idx="22">
                  <c:v>44344.333784722221</c:v>
                </c:pt>
                <c:pt idx="23">
                  <c:v>44345.333518518521</c:v>
                </c:pt>
                <c:pt idx="24">
                  <c:v>44346.333495370367</c:v>
                </c:pt>
                <c:pt idx="25">
                  <c:v>44347.334201388891</c:v>
                </c:pt>
                <c:pt idx="26">
                  <c:v>44348.333333333336</c:v>
                </c:pt>
                <c:pt idx="27">
                  <c:v>44349.333449074074</c:v>
                </c:pt>
                <c:pt idx="28">
                  <c:v>44350.333344907405</c:v>
                </c:pt>
                <c:pt idx="29">
                  <c:v>44351.333784722221</c:v>
                </c:pt>
                <c:pt idx="30">
                  <c:v>44352.333553240744</c:v>
                </c:pt>
                <c:pt idx="31">
                  <c:v>44353.333333333336</c:v>
                </c:pt>
                <c:pt idx="32">
                  <c:v>44354.333599537036</c:v>
                </c:pt>
                <c:pt idx="33">
                  <c:v>44355.333460648151</c:v>
                </c:pt>
                <c:pt idx="34">
                  <c:v>44356.333391203705</c:v>
                </c:pt>
                <c:pt idx="35">
                  <c:v>44357.333402777775</c:v>
                </c:pt>
                <c:pt idx="36">
                  <c:v>44358.333391203705</c:v>
                </c:pt>
                <c:pt idx="37">
                  <c:v>44359.333506944444</c:v>
                </c:pt>
                <c:pt idx="38">
                  <c:v>44360.333437499998</c:v>
                </c:pt>
                <c:pt idx="39">
                  <c:v>44361.333425925928</c:v>
                </c:pt>
                <c:pt idx="40">
                  <c:v>44362.333472222221</c:v>
                </c:pt>
                <c:pt idx="41">
                  <c:v>44363.333483796298</c:v>
                </c:pt>
                <c:pt idx="42">
                  <c:v>44364.333344907405</c:v>
                </c:pt>
                <c:pt idx="43">
                  <c:v>44365.333541666667</c:v>
                </c:pt>
                <c:pt idx="44">
                  <c:v>44366.333622685182</c:v>
                </c:pt>
                <c:pt idx="45">
                  <c:v>44367.333449074074</c:v>
                </c:pt>
                <c:pt idx="46">
                  <c:v>44368.333425925928</c:v>
                </c:pt>
                <c:pt idx="47">
                  <c:v>44369.333541666667</c:v>
                </c:pt>
                <c:pt idx="48">
                  <c:v>44370.333692129629</c:v>
                </c:pt>
                <c:pt idx="49">
                  <c:v>44371.333344907405</c:v>
                </c:pt>
                <c:pt idx="50">
                  <c:v>44372.333333333336</c:v>
                </c:pt>
                <c:pt idx="51">
                  <c:v>44373.333333333336</c:v>
                </c:pt>
                <c:pt idx="52">
                  <c:v>44374.333391203705</c:v>
                </c:pt>
                <c:pt idx="53">
                  <c:v>44375.333391203705</c:v>
                </c:pt>
                <c:pt idx="54">
                  <c:v>44376.333587962959</c:v>
                </c:pt>
                <c:pt idx="55">
                  <c:v>44377.333344907405</c:v>
                </c:pt>
                <c:pt idx="56">
                  <c:v>44378.333425925928</c:v>
                </c:pt>
                <c:pt idx="57">
                  <c:v>44379.333402777775</c:v>
                </c:pt>
                <c:pt idx="58">
                  <c:v>44380.333449074074</c:v>
                </c:pt>
                <c:pt idx="59">
                  <c:v>44381.333379629628</c:v>
                </c:pt>
                <c:pt idx="60">
                  <c:v>44382.333391203705</c:v>
                </c:pt>
                <c:pt idx="61">
                  <c:v>44383.333518518521</c:v>
                </c:pt>
                <c:pt idx="62">
                  <c:v>44384.333333333336</c:v>
                </c:pt>
                <c:pt idx="63">
                  <c:v>44385.333368055559</c:v>
                </c:pt>
                <c:pt idx="64">
                  <c:v>44386.33357638889</c:v>
                </c:pt>
                <c:pt idx="65">
                  <c:v>44387.333402777775</c:v>
                </c:pt>
                <c:pt idx="66">
                  <c:v>44388.333425925928</c:v>
                </c:pt>
                <c:pt idx="67">
                  <c:v>44389.333368055559</c:v>
                </c:pt>
                <c:pt idx="68">
                  <c:v>44390.333680555559</c:v>
                </c:pt>
                <c:pt idx="69">
                  <c:v>44391.333425925928</c:v>
                </c:pt>
                <c:pt idx="70">
                  <c:v>44392.333472222221</c:v>
                </c:pt>
                <c:pt idx="71">
                  <c:v>44393.333379629628</c:v>
                </c:pt>
                <c:pt idx="72">
                  <c:v>44394.333425925928</c:v>
                </c:pt>
                <c:pt idx="73">
                  <c:v>44395.333854166667</c:v>
                </c:pt>
                <c:pt idx="74">
                  <c:v>44396.333541666667</c:v>
                </c:pt>
                <c:pt idx="75">
                  <c:v>44397.333368055559</c:v>
                </c:pt>
                <c:pt idx="76">
                  <c:v>44398.333379629628</c:v>
                </c:pt>
                <c:pt idx="77">
                  <c:v>44399.333344907405</c:v>
                </c:pt>
                <c:pt idx="78">
                  <c:v>44400.33353009259</c:v>
                </c:pt>
                <c:pt idx="79">
                  <c:v>44401.333645833336</c:v>
                </c:pt>
                <c:pt idx="80">
                  <c:v>44402.333599537036</c:v>
                </c:pt>
                <c:pt idx="81">
                  <c:v>44403.333483796298</c:v>
                </c:pt>
                <c:pt idx="82">
                  <c:v>44404.333391203705</c:v>
                </c:pt>
                <c:pt idx="83">
                  <c:v>44405.333645833336</c:v>
                </c:pt>
                <c:pt idx="84">
                  <c:v>44406.333414351851</c:v>
                </c:pt>
                <c:pt idx="85">
                  <c:v>44407.333703703705</c:v>
                </c:pt>
                <c:pt idx="86">
                  <c:v>44408.333495370367</c:v>
                </c:pt>
                <c:pt idx="87">
                  <c:v>44409.33353009259</c:v>
                </c:pt>
                <c:pt idx="88">
                  <c:v>44410.333449074074</c:v>
                </c:pt>
                <c:pt idx="89">
                  <c:v>44411.333437499998</c:v>
                </c:pt>
                <c:pt idx="90">
                  <c:v>44412.333460648151</c:v>
                </c:pt>
                <c:pt idx="91">
                  <c:v>44413.333761574075</c:v>
                </c:pt>
                <c:pt idx="92">
                  <c:v>44414.333541666667</c:v>
                </c:pt>
                <c:pt idx="93">
                  <c:v>44415.333483796298</c:v>
                </c:pt>
                <c:pt idx="94">
                  <c:v>44416.333333333336</c:v>
                </c:pt>
                <c:pt idx="95">
                  <c:v>44417.333391203705</c:v>
                </c:pt>
                <c:pt idx="96">
                  <c:v>44418.333460648151</c:v>
                </c:pt>
                <c:pt idx="97">
                  <c:v>44419.333703703705</c:v>
                </c:pt>
                <c:pt idx="98">
                  <c:v>44420.333622685182</c:v>
                </c:pt>
                <c:pt idx="99">
                  <c:v>44421.333344907405</c:v>
                </c:pt>
                <c:pt idx="100">
                  <c:v>44422.333356481482</c:v>
                </c:pt>
                <c:pt idx="101">
                  <c:v>44423.333344907405</c:v>
                </c:pt>
                <c:pt idx="102">
                  <c:v>44424.333356481482</c:v>
                </c:pt>
                <c:pt idx="103">
                  <c:v>44425.333333333336</c:v>
                </c:pt>
                <c:pt idx="104">
                  <c:v>44426.333391203705</c:v>
                </c:pt>
                <c:pt idx="105">
                  <c:v>44427.333472222221</c:v>
                </c:pt>
                <c:pt idx="106">
                  <c:v>44428.333541666667</c:v>
                </c:pt>
                <c:pt idx="107">
                  <c:v>44429.333761574075</c:v>
                </c:pt>
                <c:pt idx="108">
                  <c:v>44430.333715277775</c:v>
                </c:pt>
                <c:pt idx="109">
                  <c:v>44431.333344907405</c:v>
                </c:pt>
                <c:pt idx="110">
                  <c:v>44432.333344907405</c:v>
                </c:pt>
                <c:pt idx="111">
                  <c:v>44433.333356481482</c:v>
                </c:pt>
                <c:pt idx="112">
                  <c:v>44434.333553240744</c:v>
                </c:pt>
                <c:pt idx="113">
                  <c:v>44435.333634259259</c:v>
                </c:pt>
                <c:pt idx="114">
                  <c:v>44436.333356481482</c:v>
                </c:pt>
                <c:pt idx="115">
                  <c:v>44437.333333333336</c:v>
                </c:pt>
                <c:pt idx="116">
                  <c:v>44438.333518518521</c:v>
                </c:pt>
                <c:pt idx="117">
                  <c:v>44439.333391203705</c:v>
                </c:pt>
                <c:pt idx="118">
                  <c:v>44440.333460648151</c:v>
                </c:pt>
                <c:pt idx="119">
                  <c:v>44441.333495370367</c:v>
                </c:pt>
                <c:pt idx="120">
                  <c:v>44442.333495370367</c:v>
                </c:pt>
                <c:pt idx="121">
                  <c:v>44443.333414351851</c:v>
                </c:pt>
                <c:pt idx="122">
                  <c:v>44444.333541666667</c:v>
                </c:pt>
                <c:pt idx="123">
                  <c:v>44445.333449074074</c:v>
                </c:pt>
                <c:pt idx="124">
                  <c:v>44446.333553240744</c:v>
                </c:pt>
                <c:pt idx="125">
                  <c:v>44447.33384259259</c:v>
                </c:pt>
                <c:pt idx="126">
                  <c:v>44448.333634259259</c:v>
                </c:pt>
                <c:pt idx="127">
                  <c:v>44449.333356481482</c:v>
                </c:pt>
                <c:pt idx="128">
                  <c:v>44450.333460648151</c:v>
                </c:pt>
                <c:pt idx="129">
                  <c:v>44451.333449074074</c:v>
                </c:pt>
                <c:pt idx="130">
                  <c:v>44452.333680555559</c:v>
                </c:pt>
                <c:pt idx="131">
                  <c:v>44453.333379629628</c:v>
                </c:pt>
                <c:pt idx="132">
                  <c:v>44454.333333333336</c:v>
                </c:pt>
                <c:pt idx="133">
                  <c:v>44455.333344907405</c:v>
                </c:pt>
                <c:pt idx="134">
                  <c:v>44456.333391203705</c:v>
                </c:pt>
                <c:pt idx="135">
                  <c:v>44457.333333333336</c:v>
                </c:pt>
                <c:pt idx="136">
                  <c:v>44458.333414351851</c:v>
                </c:pt>
                <c:pt idx="137">
                  <c:v>44459.333368055559</c:v>
                </c:pt>
                <c:pt idx="138">
                  <c:v>44460.334004629629</c:v>
                </c:pt>
                <c:pt idx="139">
                  <c:v>44461.333425925928</c:v>
                </c:pt>
                <c:pt idx="140">
                  <c:v>44462.333402777775</c:v>
                </c:pt>
                <c:pt idx="141">
                  <c:v>44463.333391203705</c:v>
                </c:pt>
                <c:pt idx="142">
                  <c:v>44464.333356481482</c:v>
                </c:pt>
                <c:pt idx="143">
                  <c:v>44465.333437499998</c:v>
                </c:pt>
                <c:pt idx="144">
                  <c:v>44466.333518518521</c:v>
                </c:pt>
                <c:pt idx="145">
                  <c:v>44467.333784722221</c:v>
                </c:pt>
                <c:pt idx="146">
                  <c:v>44468.333564814813</c:v>
                </c:pt>
                <c:pt idx="147">
                  <c:v>44469.333402777775</c:v>
                </c:pt>
                <c:pt idx="148">
                  <c:v>44470.33357638889</c:v>
                </c:pt>
                <c:pt idx="149">
                  <c:v>44471.333564814813</c:v>
                </c:pt>
                <c:pt idx="150">
                  <c:v>44472.333645833336</c:v>
                </c:pt>
                <c:pt idx="151">
                  <c:v>44473.333402777775</c:v>
                </c:pt>
                <c:pt idx="152">
                  <c:v>44474.333553240744</c:v>
                </c:pt>
                <c:pt idx="153">
                  <c:v>44475.333356481482</c:v>
                </c:pt>
                <c:pt idx="154">
                  <c:v>44476.333599537036</c:v>
                </c:pt>
                <c:pt idx="155">
                  <c:v>44477.333379629628</c:v>
                </c:pt>
                <c:pt idx="156">
                  <c:v>44478.333449074074</c:v>
                </c:pt>
                <c:pt idx="157">
                  <c:v>44479.333414351851</c:v>
                </c:pt>
                <c:pt idx="158">
                  <c:v>44480.333344907405</c:v>
                </c:pt>
                <c:pt idx="159">
                  <c:v>44481.333402777775</c:v>
                </c:pt>
                <c:pt idx="160">
                  <c:v>44482.333356481482</c:v>
                </c:pt>
                <c:pt idx="161">
                  <c:v>44483.333368055559</c:v>
                </c:pt>
                <c:pt idx="162">
                  <c:v>44484.333472222221</c:v>
                </c:pt>
                <c:pt idx="163">
                  <c:v>44485.333356481482</c:v>
                </c:pt>
                <c:pt idx="164">
                  <c:v>44486.333356481482</c:v>
                </c:pt>
                <c:pt idx="165">
                  <c:v>44487.333425925928</c:v>
                </c:pt>
                <c:pt idx="166">
                  <c:v>44488.333541666667</c:v>
                </c:pt>
                <c:pt idx="167">
                  <c:v>44489.333344907405</c:v>
                </c:pt>
                <c:pt idx="168">
                  <c:v>44490.333483796298</c:v>
                </c:pt>
                <c:pt idx="169">
                  <c:v>44491.333495370367</c:v>
                </c:pt>
                <c:pt idx="170">
                  <c:v>44492.333333333336</c:v>
                </c:pt>
                <c:pt idx="171">
                  <c:v>44493.333379629628</c:v>
                </c:pt>
                <c:pt idx="172">
                  <c:v>44494.333437499998</c:v>
                </c:pt>
                <c:pt idx="173">
                  <c:v>44495.333402777775</c:v>
                </c:pt>
                <c:pt idx="174">
                  <c:v>44496.333587962959</c:v>
                </c:pt>
                <c:pt idx="175">
                  <c:v>44497.333368055559</c:v>
                </c:pt>
                <c:pt idx="176">
                  <c:v>44498.333344907405</c:v>
                </c:pt>
                <c:pt idx="177">
                  <c:v>44499.333506944444</c:v>
                </c:pt>
                <c:pt idx="178">
                  <c:v>44500.33357638889</c:v>
                </c:pt>
                <c:pt idx="179">
                  <c:v>44501.333472222221</c:v>
                </c:pt>
                <c:pt idx="180">
                  <c:v>44502.33357638889</c:v>
                </c:pt>
                <c:pt idx="181">
                  <c:v>44503.333692129629</c:v>
                </c:pt>
                <c:pt idx="182">
                  <c:v>44504.334328703706</c:v>
                </c:pt>
                <c:pt idx="183">
                  <c:v>44505.333344907405</c:v>
                </c:pt>
                <c:pt idx="184">
                  <c:v>44506.333379629628</c:v>
                </c:pt>
                <c:pt idx="185">
                  <c:v>44507.333796296298</c:v>
                </c:pt>
                <c:pt idx="186">
                  <c:v>44508.333599537036</c:v>
                </c:pt>
                <c:pt idx="187">
                  <c:v>44509.333553240744</c:v>
                </c:pt>
                <c:pt idx="188">
                  <c:v>44510.333425925928</c:v>
                </c:pt>
                <c:pt idx="189">
                  <c:v>44511.333379629628</c:v>
                </c:pt>
                <c:pt idx="190">
                  <c:v>44512.334085648145</c:v>
                </c:pt>
                <c:pt idx="191">
                  <c:v>44513.333564814813</c:v>
                </c:pt>
                <c:pt idx="192">
                  <c:v>44514.333645833336</c:v>
                </c:pt>
                <c:pt idx="193">
                  <c:v>44515.333506944444</c:v>
                </c:pt>
                <c:pt idx="194">
                  <c:v>44516.333402777775</c:v>
                </c:pt>
                <c:pt idx="195">
                  <c:v>44517.333518518521</c:v>
                </c:pt>
                <c:pt idx="196">
                  <c:v>44518.33384259259</c:v>
                </c:pt>
                <c:pt idx="197">
                  <c:v>44519.333449074074</c:v>
                </c:pt>
                <c:pt idx="198">
                  <c:v>44520.333402777775</c:v>
                </c:pt>
                <c:pt idx="199">
                  <c:v>44521.333634259259</c:v>
                </c:pt>
                <c:pt idx="200">
                  <c:v>44522.333506944444</c:v>
                </c:pt>
                <c:pt idx="201">
                  <c:v>44523.333425925928</c:v>
                </c:pt>
                <c:pt idx="202">
                  <c:v>44524.333437499998</c:v>
                </c:pt>
                <c:pt idx="203">
                  <c:v>44525.333391203705</c:v>
                </c:pt>
                <c:pt idx="204">
                  <c:v>44526.333414351851</c:v>
                </c:pt>
                <c:pt idx="205">
                  <c:v>44527.333344907405</c:v>
                </c:pt>
                <c:pt idx="206">
                  <c:v>44528.333472222221</c:v>
                </c:pt>
                <c:pt idx="207">
                  <c:v>44529.333344907405</c:v>
                </c:pt>
                <c:pt idx="208">
                  <c:v>44530.333402777775</c:v>
                </c:pt>
                <c:pt idx="209">
                  <c:v>44531.333402777775</c:v>
                </c:pt>
                <c:pt idx="210">
                  <c:v>44532.333402777775</c:v>
                </c:pt>
                <c:pt idx="211">
                  <c:v>44533.333425925928</c:v>
                </c:pt>
                <c:pt idx="212">
                  <c:v>44534.333344907405</c:v>
                </c:pt>
                <c:pt idx="213">
                  <c:v>44535.333379629628</c:v>
                </c:pt>
                <c:pt idx="214">
                  <c:v>44536.333668981482</c:v>
                </c:pt>
                <c:pt idx="215">
                  <c:v>44537.333437499998</c:v>
                </c:pt>
                <c:pt idx="216">
                  <c:v>44538.333819444444</c:v>
                </c:pt>
                <c:pt idx="217">
                  <c:v>44539.333368055559</c:v>
                </c:pt>
                <c:pt idx="218">
                  <c:v>44540.33357638889</c:v>
                </c:pt>
                <c:pt idx="219">
                  <c:v>44541.333715277775</c:v>
                </c:pt>
                <c:pt idx="220">
                  <c:v>44542.333611111113</c:v>
                </c:pt>
                <c:pt idx="221">
                  <c:v>44543.333368055559</c:v>
                </c:pt>
                <c:pt idx="222">
                  <c:v>44544.333622685182</c:v>
                </c:pt>
                <c:pt idx="223">
                  <c:v>44545.333599537036</c:v>
                </c:pt>
                <c:pt idx="224">
                  <c:v>44546.333587962959</c:v>
                </c:pt>
                <c:pt idx="225">
                  <c:v>44547.333495370367</c:v>
                </c:pt>
                <c:pt idx="226">
                  <c:v>44548.333645833336</c:v>
                </c:pt>
                <c:pt idx="227">
                  <c:v>44549.333356481482</c:v>
                </c:pt>
                <c:pt idx="228">
                  <c:v>44550.333541666667</c:v>
                </c:pt>
                <c:pt idx="229">
                  <c:v>44551.333495370367</c:v>
                </c:pt>
                <c:pt idx="230">
                  <c:v>44552.333356481482</c:v>
                </c:pt>
                <c:pt idx="231">
                  <c:v>44553.333379629628</c:v>
                </c:pt>
                <c:pt idx="232">
                  <c:v>44554.33353009259</c:v>
                </c:pt>
                <c:pt idx="233">
                  <c:v>44555.333553240744</c:v>
                </c:pt>
                <c:pt idx="234">
                  <c:v>44556.333414351851</c:v>
                </c:pt>
                <c:pt idx="235">
                  <c:v>44557.333460648151</c:v>
                </c:pt>
                <c:pt idx="236">
                  <c:v>44558.333402777775</c:v>
                </c:pt>
                <c:pt idx="237">
                  <c:v>44559.333379629628</c:v>
                </c:pt>
                <c:pt idx="238">
                  <c:v>44560.333472222221</c:v>
                </c:pt>
                <c:pt idx="239">
                  <c:v>44561.333483796298</c:v>
                </c:pt>
                <c:pt idx="240">
                  <c:v>44562.333356481482</c:v>
                </c:pt>
                <c:pt idx="241">
                  <c:v>44563.333969907406</c:v>
                </c:pt>
                <c:pt idx="242">
                  <c:v>44564.33353009259</c:v>
                </c:pt>
                <c:pt idx="243">
                  <c:v>44565.333483796298</c:v>
                </c:pt>
                <c:pt idx="244">
                  <c:v>44566.333425925928</c:v>
                </c:pt>
                <c:pt idx="245">
                  <c:v>44567.333587962959</c:v>
                </c:pt>
                <c:pt idx="246">
                  <c:v>44568.333414351851</c:v>
                </c:pt>
                <c:pt idx="247">
                  <c:v>44569.333344907405</c:v>
                </c:pt>
                <c:pt idx="248">
                  <c:v>44570.333483796298</c:v>
                </c:pt>
                <c:pt idx="249">
                  <c:v>44571.333437499998</c:v>
                </c:pt>
                <c:pt idx="250">
                  <c:v>44572.333680555559</c:v>
                </c:pt>
                <c:pt idx="251">
                  <c:v>44573.333437499998</c:v>
                </c:pt>
                <c:pt idx="252">
                  <c:v>44574.333587962959</c:v>
                </c:pt>
                <c:pt idx="253">
                  <c:v>44575.333541666667</c:v>
                </c:pt>
                <c:pt idx="254">
                  <c:v>44576.333344907405</c:v>
                </c:pt>
                <c:pt idx="255">
                  <c:v>44577.333495370367</c:v>
                </c:pt>
                <c:pt idx="256">
                  <c:v>44578.333402777775</c:v>
                </c:pt>
                <c:pt idx="257">
                  <c:v>44579.333333333336</c:v>
                </c:pt>
                <c:pt idx="258">
                  <c:v>44580.333356481482</c:v>
                </c:pt>
                <c:pt idx="259">
                  <c:v>44581.333344907405</c:v>
                </c:pt>
                <c:pt idx="260">
                  <c:v>44582.333541666667</c:v>
                </c:pt>
                <c:pt idx="261">
                  <c:v>44583.334016203706</c:v>
                </c:pt>
                <c:pt idx="262">
                  <c:v>44584.333483796298</c:v>
                </c:pt>
                <c:pt idx="263">
                  <c:v>44585.333923611113</c:v>
                </c:pt>
                <c:pt idx="264">
                  <c:v>44586.33357638889</c:v>
                </c:pt>
                <c:pt idx="265">
                  <c:v>44587.333379629628</c:v>
                </c:pt>
                <c:pt idx="266">
                  <c:v>44588.333333333336</c:v>
                </c:pt>
                <c:pt idx="267">
                  <c:v>44589.333344907405</c:v>
                </c:pt>
                <c:pt idx="268">
                  <c:v>44590.333356481482</c:v>
                </c:pt>
                <c:pt idx="269">
                  <c:v>44591.333379629628</c:v>
                </c:pt>
                <c:pt idx="270">
                  <c:v>44592.333611111113</c:v>
                </c:pt>
                <c:pt idx="271">
                  <c:v>44593.333356481482</c:v>
                </c:pt>
                <c:pt idx="272">
                  <c:v>44594.333553240744</c:v>
                </c:pt>
                <c:pt idx="273">
                  <c:v>44595.333460648151</c:v>
                </c:pt>
                <c:pt idx="274">
                  <c:v>44596.333402777775</c:v>
                </c:pt>
                <c:pt idx="275">
                  <c:v>44597.333344907405</c:v>
                </c:pt>
                <c:pt idx="276">
                  <c:v>44598.333425925928</c:v>
                </c:pt>
                <c:pt idx="277">
                  <c:v>44599.333402777775</c:v>
                </c:pt>
                <c:pt idx="278">
                  <c:v>44600.333564814813</c:v>
                </c:pt>
                <c:pt idx="279">
                  <c:v>44601.333391203705</c:v>
                </c:pt>
                <c:pt idx="280">
                  <c:v>44602.333495370367</c:v>
                </c:pt>
                <c:pt idx="281">
                  <c:v>44603.333460648151</c:v>
                </c:pt>
                <c:pt idx="282">
                  <c:v>44604.333483796298</c:v>
                </c:pt>
                <c:pt idx="283">
                  <c:v>44605.333356481482</c:v>
                </c:pt>
                <c:pt idx="284">
                  <c:v>44606.333472222221</c:v>
                </c:pt>
                <c:pt idx="285">
                  <c:v>44607.333472222221</c:v>
                </c:pt>
                <c:pt idx="286">
                  <c:v>44608.333599537036</c:v>
                </c:pt>
                <c:pt idx="287">
                  <c:v>44609.333368055559</c:v>
                </c:pt>
                <c:pt idx="288">
                  <c:v>44610.333553240744</c:v>
                </c:pt>
                <c:pt idx="289">
                  <c:v>44611.333460648151</c:v>
                </c:pt>
                <c:pt idx="290">
                  <c:v>44612.333495370367</c:v>
                </c:pt>
                <c:pt idx="291">
                  <c:v>44613.333379629628</c:v>
                </c:pt>
                <c:pt idx="292">
                  <c:v>44614.333391203705</c:v>
                </c:pt>
                <c:pt idx="293">
                  <c:v>44615.333518518521</c:v>
                </c:pt>
                <c:pt idx="294">
                  <c:v>44616.333333333336</c:v>
                </c:pt>
                <c:pt idx="295">
                  <c:v>44617.333368055559</c:v>
                </c:pt>
                <c:pt idx="296">
                  <c:v>44618.333449074074</c:v>
                </c:pt>
                <c:pt idx="297">
                  <c:v>44619.333449074074</c:v>
                </c:pt>
                <c:pt idx="298">
                  <c:v>44620.333402777775</c:v>
                </c:pt>
                <c:pt idx="299">
                  <c:v>44621.333854166667</c:v>
                </c:pt>
                <c:pt idx="300">
                  <c:v>44622.333483796298</c:v>
                </c:pt>
                <c:pt idx="301">
                  <c:v>44623.333495370367</c:v>
                </c:pt>
                <c:pt idx="302">
                  <c:v>44624.333356481482</c:v>
                </c:pt>
                <c:pt idx="303">
                  <c:v>44625.333437499998</c:v>
                </c:pt>
                <c:pt idx="304">
                  <c:v>44626.333425925928</c:v>
                </c:pt>
                <c:pt idx="305">
                  <c:v>44627.333333333336</c:v>
                </c:pt>
                <c:pt idx="306">
                  <c:v>44628.333368055559</c:v>
                </c:pt>
                <c:pt idx="307">
                  <c:v>44629.333333333336</c:v>
                </c:pt>
                <c:pt idx="308">
                  <c:v>44630.33357638889</c:v>
                </c:pt>
                <c:pt idx="309">
                  <c:v>44631.333414351851</c:v>
                </c:pt>
                <c:pt idx="310">
                  <c:v>44632.334016203706</c:v>
                </c:pt>
                <c:pt idx="311">
                  <c:v>44633.333425925928</c:v>
                </c:pt>
                <c:pt idx="312">
                  <c:v>44634.333749999998</c:v>
                </c:pt>
                <c:pt idx="313">
                  <c:v>44635.333379629628</c:v>
                </c:pt>
                <c:pt idx="314">
                  <c:v>44636.333379629628</c:v>
                </c:pt>
                <c:pt idx="315">
                  <c:v>44637.333587962959</c:v>
                </c:pt>
                <c:pt idx="316">
                  <c:v>44638.33384259259</c:v>
                </c:pt>
                <c:pt idx="317">
                  <c:v>44639.333356481482</c:v>
                </c:pt>
                <c:pt idx="318">
                  <c:v>44640.333379629628</c:v>
                </c:pt>
                <c:pt idx="319">
                  <c:v>44641.333333333336</c:v>
                </c:pt>
                <c:pt idx="320">
                  <c:v>44642.333344907405</c:v>
                </c:pt>
                <c:pt idx="321">
                  <c:v>44643.333379629628</c:v>
                </c:pt>
                <c:pt idx="322">
                  <c:v>44644.333402777775</c:v>
                </c:pt>
                <c:pt idx="323">
                  <c:v>44645.333344907405</c:v>
                </c:pt>
                <c:pt idx="324">
                  <c:v>44646.333460648151</c:v>
                </c:pt>
                <c:pt idx="325">
                  <c:v>44647.333368055559</c:v>
                </c:pt>
                <c:pt idx="326">
                  <c:v>44648.333854166667</c:v>
                </c:pt>
                <c:pt idx="327">
                  <c:v>44649.333425925928</c:v>
                </c:pt>
                <c:pt idx="328">
                  <c:v>44650.333506944444</c:v>
                </c:pt>
                <c:pt idx="329">
                  <c:v>44651.333379629628</c:v>
                </c:pt>
                <c:pt idx="330">
                  <c:v>44652.333541666667</c:v>
                </c:pt>
                <c:pt idx="331">
                  <c:v>44653.333506944444</c:v>
                </c:pt>
                <c:pt idx="332">
                  <c:v>44654.333356481482</c:v>
                </c:pt>
                <c:pt idx="333">
                  <c:v>44655.333368055559</c:v>
                </c:pt>
                <c:pt idx="334">
                  <c:v>44656.333368055559</c:v>
                </c:pt>
                <c:pt idx="335">
                  <c:v>44657.333333333336</c:v>
                </c:pt>
                <c:pt idx="336">
                  <c:v>44658.333506944444</c:v>
                </c:pt>
                <c:pt idx="337">
                  <c:v>44659.333437499998</c:v>
                </c:pt>
                <c:pt idx="338">
                  <c:v>44660.333414351851</c:v>
                </c:pt>
                <c:pt idx="339">
                  <c:v>44661.333344907405</c:v>
                </c:pt>
                <c:pt idx="340">
                  <c:v>44662.333391203705</c:v>
                </c:pt>
                <c:pt idx="341">
                  <c:v>44663.333634259259</c:v>
                </c:pt>
                <c:pt idx="342">
                  <c:v>44664.333333333336</c:v>
                </c:pt>
                <c:pt idx="343">
                  <c:v>44665.333680555559</c:v>
                </c:pt>
                <c:pt idx="344">
                  <c:v>44666.333391203705</c:v>
                </c:pt>
                <c:pt idx="345">
                  <c:v>44667.33357638889</c:v>
                </c:pt>
                <c:pt idx="346">
                  <c:v>44668.333449074074</c:v>
                </c:pt>
                <c:pt idx="347">
                  <c:v>44669.333819444444</c:v>
                </c:pt>
                <c:pt idx="348">
                  <c:v>44670.333379629628</c:v>
                </c:pt>
                <c:pt idx="349">
                  <c:v>44671.333495370367</c:v>
                </c:pt>
                <c:pt idx="350">
                  <c:v>44672.333425925928</c:v>
                </c:pt>
                <c:pt idx="351">
                  <c:v>44673.333414351851</c:v>
                </c:pt>
                <c:pt idx="352">
                  <c:v>44674.333865740744</c:v>
                </c:pt>
                <c:pt idx="353">
                  <c:v>44675.333368055559</c:v>
                </c:pt>
                <c:pt idx="354">
                  <c:v>44676.333333333336</c:v>
                </c:pt>
                <c:pt idx="355">
                  <c:v>44677.333807870367</c:v>
                </c:pt>
                <c:pt idx="356">
                  <c:v>44678.333344907405</c:v>
                </c:pt>
                <c:pt idx="357">
                  <c:v>44679.333344907405</c:v>
                </c:pt>
                <c:pt idx="358">
                  <c:v>44680.333402777775</c:v>
                </c:pt>
                <c:pt idx="359">
                  <c:v>44681.333854166667</c:v>
                </c:pt>
                <c:pt idx="360">
                  <c:v>44682.333796296298</c:v>
                </c:pt>
                <c:pt idx="361">
                  <c:v>44683.333344907405</c:v>
                </c:pt>
                <c:pt idx="362">
                  <c:v>44684.33388888889</c:v>
                </c:pt>
                <c:pt idx="363">
                  <c:v>44685.333495370367</c:v>
                </c:pt>
                <c:pt idx="364">
                  <c:v>44686.333402777775</c:v>
                </c:pt>
                <c:pt idx="365">
                  <c:v>44687.333425925928</c:v>
                </c:pt>
              </c:numCache>
            </c:numRef>
          </c:cat>
          <c:val>
            <c:numRef>
              <c:f>'USDCETH_0.3% Charts'!$O$2:$O$386</c:f>
              <c:numCache>
                <c:formatCode>0%</c:formatCode>
                <c:ptCount val="385"/>
                <c:pt idx="0">
                  <c:v>0.98148064098092314</c:v>
                </c:pt>
                <c:pt idx="1">
                  <c:v>0.93082046305761601</c:v>
                </c:pt>
                <c:pt idx="2">
                  <c:v>0.97874531600459458</c:v>
                </c:pt>
                <c:pt idx="3">
                  <c:v>0.9746623165488677</c:v>
                </c:pt>
                <c:pt idx="4">
                  <c:v>0.97553550090400021</c:v>
                </c:pt>
                <c:pt idx="5">
                  <c:v>0.98135772682401656</c:v>
                </c:pt>
                <c:pt idx="6">
                  <c:v>1.0603042978050383</c:v>
                </c:pt>
                <c:pt idx="7">
                  <c:v>1.0504498774513007</c:v>
                </c:pt>
                <c:pt idx="8">
                  <c:v>1.0755419176759473</c:v>
                </c:pt>
                <c:pt idx="9">
                  <c:v>1.1670464870976345</c:v>
                </c:pt>
                <c:pt idx="10">
                  <c:v>1.158503403707581</c:v>
                </c:pt>
                <c:pt idx="11">
                  <c:v>1.2003294014149333</c:v>
                </c:pt>
                <c:pt idx="12">
                  <c:v>1.1831143539145246</c:v>
                </c:pt>
                <c:pt idx="13">
                  <c:v>1.6491718875190111</c:v>
                </c:pt>
                <c:pt idx="14">
                  <c:v>1.6847490009588066</c:v>
                </c:pt>
                <c:pt idx="15">
                  <c:v>1.7552516034143195</c:v>
                </c:pt>
                <c:pt idx="16">
                  <c:v>1.7658018053459794</c:v>
                </c:pt>
                <c:pt idx="17">
                  <c:v>1.7888430585165069</c:v>
                </c:pt>
                <c:pt idx="18">
                  <c:v>1.9435301195925663</c:v>
                </c:pt>
                <c:pt idx="19">
                  <c:v>1.9392447992694528</c:v>
                </c:pt>
                <c:pt idx="20">
                  <c:v>1.9273813483068807</c:v>
                </c:pt>
                <c:pt idx="21">
                  <c:v>1.9307547292339473</c:v>
                </c:pt>
                <c:pt idx="22">
                  <c:v>1.9747545745880271</c:v>
                </c:pt>
                <c:pt idx="23">
                  <c:v>1.9839312200271499</c:v>
                </c:pt>
                <c:pt idx="24">
                  <c:v>1.9924350480267414</c:v>
                </c:pt>
                <c:pt idx="25">
                  <c:v>2.0333373829221268</c:v>
                </c:pt>
                <c:pt idx="26">
                  <c:v>2.0355351454405919</c:v>
                </c:pt>
                <c:pt idx="27">
                  <c:v>1.9621261226537374</c:v>
                </c:pt>
                <c:pt idx="28">
                  <c:v>1.9664880676751311</c:v>
                </c:pt>
                <c:pt idx="29">
                  <c:v>1.9518556945751508</c:v>
                </c:pt>
                <c:pt idx="30">
                  <c:v>1.9523549014333004</c:v>
                </c:pt>
                <c:pt idx="31">
                  <c:v>1.9574717895221394</c:v>
                </c:pt>
                <c:pt idx="32">
                  <c:v>1.9114787266796704</c:v>
                </c:pt>
                <c:pt idx="33">
                  <c:v>1.9107051176111405</c:v>
                </c:pt>
                <c:pt idx="34">
                  <c:v>1.9175010585308034</c:v>
                </c:pt>
                <c:pt idx="35">
                  <c:v>1.9066611990819169</c:v>
                </c:pt>
                <c:pt idx="36">
                  <c:v>1.8890318844756853</c:v>
                </c:pt>
                <c:pt idx="37">
                  <c:v>1.8908022429290143</c:v>
                </c:pt>
                <c:pt idx="38">
                  <c:v>1.8680146739844496</c:v>
                </c:pt>
                <c:pt idx="39">
                  <c:v>1.8360980961991478</c:v>
                </c:pt>
                <c:pt idx="40">
                  <c:v>1.8414598267198929</c:v>
                </c:pt>
                <c:pt idx="41">
                  <c:v>1.8464904102583197</c:v>
                </c:pt>
                <c:pt idx="42">
                  <c:v>1.8414382517949666</c:v>
                </c:pt>
                <c:pt idx="43">
                  <c:v>1.4892418893251023</c:v>
                </c:pt>
                <c:pt idx="44">
                  <c:v>1.4183711659386109</c:v>
                </c:pt>
                <c:pt idx="45">
                  <c:v>1.3468474255178386</c:v>
                </c:pt>
                <c:pt idx="46">
                  <c:v>1.4624249023281932</c:v>
                </c:pt>
                <c:pt idx="47">
                  <c:v>1.4351039480554644</c:v>
                </c:pt>
                <c:pt idx="48">
                  <c:v>1.1979412638371021</c:v>
                </c:pt>
                <c:pt idx="49">
                  <c:v>1.1925020652094547</c:v>
                </c:pt>
                <c:pt idx="50">
                  <c:v>1.1936242516923676</c:v>
                </c:pt>
                <c:pt idx="51">
                  <c:v>1.1881760796565168</c:v>
                </c:pt>
                <c:pt idx="52">
                  <c:v>1.1620768243260398</c:v>
                </c:pt>
                <c:pt idx="53">
                  <c:v>1.1618772660235597</c:v>
                </c:pt>
                <c:pt idx="54">
                  <c:v>1.1572775594510962</c:v>
                </c:pt>
                <c:pt idx="55">
                  <c:v>1.0767752470034113</c:v>
                </c:pt>
                <c:pt idx="56">
                  <c:v>1.0992758908290847</c:v>
                </c:pt>
                <c:pt idx="57">
                  <c:v>1.0958406176116986</c:v>
                </c:pt>
                <c:pt idx="58">
                  <c:v>1.084501477490978</c:v>
                </c:pt>
                <c:pt idx="59">
                  <c:v>1.0815215656646018</c:v>
                </c:pt>
                <c:pt idx="60">
                  <c:v>1.0939246447094191</c:v>
                </c:pt>
                <c:pt idx="61">
                  <c:v>1.1075290427048721</c:v>
                </c:pt>
                <c:pt idx="62">
                  <c:v>1.0971657819277572</c:v>
                </c:pt>
                <c:pt idx="63">
                  <c:v>1.1331469912091754</c:v>
                </c:pt>
                <c:pt idx="64">
                  <c:v>1.125454644908841</c:v>
                </c:pt>
                <c:pt idx="65">
                  <c:v>1.1131544091572474</c:v>
                </c:pt>
                <c:pt idx="66">
                  <c:v>1.1036008933239925</c:v>
                </c:pt>
                <c:pt idx="67">
                  <c:v>1.1143574545210617</c:v>
                </c:pt>
                <c:pt idx="68">
                  <c:v>1.102069354983058</c:v>
                </c:pt>
                <c:pt idx="69">
                  <c:v>1.1071255846940771</c:v>
                </c:pt>
                <c:pt idx="70">
                  <c:v>1.1054223141648558</c:v>
                </c:pt>
                <c:pt idx="71">
                  <c:v>1.0599252967180268</c:v>
                </c:pt>
                <c:pt idx="72">
                  <c:v>1.0611809913461852</c:v>
                </c:pt>
                <c:pt idx="73">
                  <c:v>1.0435340259723533</c:v>
                </c:pt>
                <c:pt idx="74">
                  <c:v>1.049473430143413</c:v>
                </c:pt>
                <c:pt idx="75">
                  <c:v>1.0415720145696192</c:v>
                </c:pt>
                <c:pt idx="76">
                  <c:v>0.93420222950472609</c:v>
                </c:pt>
                <c:pt idx="77">
                  <c:v>0.93510610514140324</c:v>
                </c:pt>
                <c:pt idx="78">
                  <c:v>0.9271804870013004</c:v>
                </c:pt>
                <c:pt idx="79">
                  <c:v>0.93210602201900217</c:v>
                </c:pt>
                <c:pt idx="80">
                  <c:v>0.86633616019802528</c:v>
                </c:pt>
                <c:pt idx="81">
                  <c:v>0.86743116144935661</c:v>
                </c:pt>
                <c:pt idx="82">
                  <c:v>0.83202977950180779</c:v>
                </c:pt>
                <c:pt idx="83">
                  <c:v>0.81639606305460366</c:v>
                </c:pt>
                <c:pt idx="84">
                  <c:v>0.8152639237235163</c:v>
                </c:pt>
                <c:pt idx="85">
                  <c:v>0.80532107967735256</c:v>
                </c:pt>
                <c:pt idx="86">
                  <c:v>0.76107331491919017</c:v>
                </c:pt>
                <c:pt idx="87">
                  <c:v>0.76018706535152569</c:v>
                </c:pt>
                <c:pt idx="88">
                  <c:v>0.7545304355625273</c:v>
                </c:pt>
                <c:pt idx="89">
                  <c:v>0.76008015260861683</c:v>
                </c:pt>
                <c:pt idx="90">
                  <c:v>0.78392419948660841</c:v>
                </c:pt>
                <c:pt idx="91">
                  <c:v>0.77191652290462143</c:v>
                </c:pt>
                <c:pt idx="92">
                  <c:v>0.77282237987596802</c:v>
                </c:pt>
                <c:pt idx="93">
                  <c:v>0.74266165364319781</c:v>
                </c:pt>
                <c:pt idx="94">
                  <c:v>0.77141254175254825</c:v>
                </c:pt>
                <c:pt idx="95">
                  <c:v>0.77598979083399533</c:v>
                </c:pt>
                <c:pt idx="96">
                  <c:v>0.77971461522660146</c:v>
                </c:pt>
                <c:pt idx="97">
                  <c:v>0.7473040838784224</c:v>
                </c:pt>
                <c:pt idx="98">
                  <c:v>0.73768994010405131</c:v>
                </c:pt>
                <c:pt idx="99">
                  <c:v>0.77916647648883341</c:v>
                </c:pt>
                <c:pt idx="100">
                  <c:v>0.75952742825357666</c:v>
                </c:pt>
                <c:pt idx="101">
                  <c:v>0.74972525687846359</c:v>
                </c:pt>
                <c:pt idx="102">
                  <c:v>0.78441316350974077</c:v>
                </c:pt>
                <c:pt idx="103">
                  <c:v>0.81229968212294945</c:v>
                </c:pt>
                <c:pt idx="104">
                  <c:v>0.78714437706599782</c:v>
                </c:pt>
                <c:pt idx="105">
                  <c:v>0.7870101128759186</c:v>
                </c:pt>
                <c:pt idx="106">
                  <c:v>0.72137643992878164</c:v>
                </c:pt>
                <c:pt idx="107">
                  <c:v>0.73185880584841256</c:v>
                </c:pt>
                <c:pt idx="108">
                  <c:v>0.72316608751104972</c:v>
                </c:pt>
                <c:pt idx="109">
                  <c:v>0.72175634326424465</c:v>
                </c:pt>
                <c:pt idx="110">
                  <c:v>0.74961211479864887</c:v>
                </c:pt>
                <c:pt idx="111">
                  <c:v>0.74937800173724778</c:v>
                </c:pt>
                <c:pt idx="112">
                  <c:v>0.76798316845212888</c:v>
                </c:pt>
                <c:pt idx="113">
                  <c:v>0.78160861268465431</c:v>
                </c:pt>
                <c:pt idx="114">
                  <c:v>0.77948970079122537</c:v>
                </c:pt>
                <c:pt idx="115">
                  <c:v>0.77590518500687289</c:v>
                </c:pt>
                <c:pt idx="116">
                  <c:v>0.77361018682764704</c:v>
                </c:pt>
                <c:pt idx="117">
                  <c:v>0.79698927789693419</c:v>
                </c:pt>
                <c:pt idx="118">
                  <c:v>0.87081512760231516</c:v>
                </c:pt>
                <c:pt idx="119">
                  <c:v>0.85281422942289764</c:v>
                </c:pt>
                <c:pt idx="120">
                  <c:v>0.818700807309931</c:v>
                </c:pt>
                <c:pt idx="121">
                  <c:v>0.81846793835292186</c:v>
                </c:pt>
                <c:pt idx="122">
                  <c:v>0.81767590392146938</c:v>
                </c:pt>
                <c:pt idx="123">
                  <c:v>0.76961589132767927</c:v>
                </c:pt>
                <c:pt idx="124">
                  <c:v>0.90191973596342156</c:v>
                </c:pt>
                <c:pt idx="125">
                  <c:v>0.88895153472171562</c:v>
                </c:pt>
                <c:pt idx="126">
                  <c:v>0.89187451824856279</c:v>
                </c:pt>
                <c:pt idx="127">
                  <c:v>0.9225674652024709</c:v>
                </c:pt>
                <c:pt idx="128">
                  <c:v>0.91329862036408405</c:v>
                </c:pt>
                <c:pt idx="129">
                  <c:v>0.87256701876065001</c:v>
                </c:pt>
                <c:pt idx="130">
                  <c:v>0.88053945116473198</c:v>
                </c:pt>
                <c:pt idx="131">
                  <c:v>0.89192625458879637</c:v>
                </c:pt>
                <c:pt idx="132">
                  <c:v>0.8915865034947662</c:v>
                </c:pt>
                <c:pt idx="133">
                  <c:v>0.87519405784970905</c:v>
                </c:pt>
                <c:pt idx="134">
                  <c:v>0.89613499314194733</c:v>
                </c:pt>
                <c:pt idx="135">
                  <c:v>0.87926782799913628</c:v>
                </c:pt>
                <c:pt idx="136">
                  <c:v>0.87974203557287556</c:v>
                </c:pt>
                <c:pt idx="137">
                  <c:v>0.97036634559104229</c:v>
                </c:pt>
                <c:pt idx="138">
                  <c:v>0.99599159513173008</c:v>
                </c:pt>
                <c:pt idx="139">
                  <c:v>1.0670011653440614</c:v>
                </c:pt>
                <c:pt idx="140">
                  <c:v>1.0596847588260176</c:v>
                </c:pt>
                <c:pt idx="141">
                  <c:v>1.0880679710086176</c:v>
                </c:pt>
                <c:pt idx="142">
                  <c:v>1.0801895506642245</c:v>
                </c:pt>
                <c:pt idx="143">
                  <c:v>1.0754871688900032</c:v>
                </c:pt>
                <c:pt idx="144">
                  <c:v>1.0846333445708625</c:v>
                </c:pt>
                <c:pt idx="145">
                  <c:v>1.0939560485159419</c:v>
                </c:pt>
                <c:pt idx="146">
                  <c:v>1.0963129206324476</c:v>
                </c:pt>
                <c:pt idx="147">
                  <c:v>1.0877494390713867</c:v>
                </c:pt>
                <c:pt idx="148">
                  <c:v>1.0707360182911068</c:v>
                </c:pt>
                <c:pt idx="149">
                  <c:v>1.0755209120479092</c:v>
                </c:pt>
                <c:pt idx="150">
                  <c:v>1.0655392128829437</c:v>
                </c:pt>
                <c:pt idx="151">
                  <c:v>1.0653373765287848</c:v>
                </c:pt>
                <c:pt idx="152">
                  <c:v>1.0744227559183415</c:v>
                </c:pt>
                <c:pt idx="153">
                  <c:v>1.0769554177309322</c:v>
                </c:pt>
                <c:pt idx="154">
                  <c:v>0.96298550168237118</c:v>
                </c:pt>
                <c:pt idx="155">
                  <c:v>0.96092548434265934</c:v>
                </c:pt>
                <c:pt idx="156">
                  <c:v>0.95800455325169409</c:v>
                </c:pt>
                <c:pt idx="157">
                  <c:v>0.94159313076725448</c:v>
                </c:pt>
                <c:pt idx="158">
                  <c:v>0.94671534673726698</c:v>
                </c:pt>
                <c:pt idx="159">
                  <c:v>0.93783088249443891</c:v>
                </c:pt>
                <c:pt idx="160">
                  <c:v>0.93358652573650436</c:v>
                </c:pt>
                <c:pt idx="161">
                  <c:v>0.93694178620733337</c:v>
                </c:pt>
                <c:pt idx="162">
                  <c:v>0.92197024601456268</c:v>
                </c:pt>
                <c:pt idx="163">
                  <c:v>0.92130746292709598</c:v>
                </c:pt>
                <c:pt idx="164">
                  <c:v>0.90206066408929098</c:v>
                </c:pt>
                <c:pt idx="165">
                  <c:v>0.9078121570428056</c:v>
                </c:pt>
                <c:pt idx="166">
                  <c:v>0.90578174413568213</c:v>
                </c:pt>
                <c:pt idx="167">
                  <c:v>0.81678205997226816</c:v>
                </c:pt>
                <c:pt idx="168">
                  <c:v>0.77686489913969703</c:v>
                </c:pt>
                <c:pt idx="169">
                  <c:v>0.70583674327443868</c:v>
                </c:pt>
                <c:pt idx="170">
                  <c:v>0.71814262756189529</c:v>
                </c:pt>
                <c:pt idx="171">
                  <c:v>0.66263367688430796</c:v>
                </c:pt>
                <c:pt idx="172">
                  <c:v>0.66451392658888853</c:v>
                </c:pt>
                <c:pt idx="173">
                  <c:v>0.66280938965006186</c:v>
                </c:pt>
                <c:pt idx="174">
                  <c:v>0.67033544596777128</c:v>
                </c:pt>
                <c:pt idx="175">
                  <c:v>0.69322333924925417</c:v>
                </c:pt>
                <c:pt idx="176">
                  <c:v>0.6952194465236472</c:v>
                </c:pt>
                <c:pt idx="177">
                  <c:v>0.69287676812034593</c:v>
                </c:pt>
                <c:pt idx="178">
                  <c:v>0.62472425401936627</c:v>
                </c:pt>
                <c:pt idx="179">
                  <c:v>0.6218900956233081</c:v>
                </c:pt>
                <c:pt idx="180">
                  <c:v>0.64617552896133135</c:v>
                </c:pt>
                <c:pt idx="181">
                  <c:v>0.64199950867528521</c:v>
                </c:pt>
                <c:pt idx="182">
                  <c:v>0.63870117800069626</c:v>
                </c:pt>
                <c:pt idx="183">
                  <c:v>0.6414861453059062</c:v>
                </c:pt>
                <c:pt idx="184">
                  <c:v>0.64118501039741038</c:v>
                </c:pt>
                <c:pt idx="185">
                  <c:v>0.64077066976080665</c:v>
                </c:pt>
                <c:pt idx="186">
                  <c:v>0.65000435221861452</c:v>
                </c:pt>
                <c:pt idx="187">
                  <c:v>0.62909699476809822</c:v>
                </c:pt>
                <c:pt idx="188">
                  <c:v>0.63271562907175316</c:v>
                </c:pt>
                <c:pt idx="189">
                  <c:v>0.62782921181651075</c:v>
                </c:pt>
                <c:pt idx="190">
                  <c:v>0.62790100068983146</c:v>
                </c:pt>
                <c:pt idx="191">
                  <c:v>0.61214593329620404</c:v>
                </c:pt>
                <c:pt idx="192">
                  <c:v>0.61168838313884955</c:v>
                </c:pt>
                <c:pt idx="193">
                  <c:v>0.61407666624739732</c:v>
                </c:pt>
                <c:pt idx="194">
                  <c:v>0.67984333125688468</c:v>
                </c:pt>
                <c:pt idx="195">
                  <c:v>0.67322817075988794</c:v>
                </c:pt>
                <c:pt idx="196">
                  <c:v>0.71161917372739203</c:v>
                </c:pt>
                <c:pt idx="197">
                  <c:v>0.71461347130735708</c:v>
                </c:pt>
                <c:pt idx="198">
                  <c:v>0.71325635816838595</c:v>
                </c:pt>
                <c:pt idx="199">
                  <c:v>0.71908431178848076</c:v>
                </c:pt>
                <c:pt idx="200">
                  <c:v>0.71552601139148764</c:v>
                </c:pt>
                <c:pt idx="201">
                  <c:v>0.74201864881296442</c:v>
                </c:pt>
                <c:pt idx="202">
                  <c:v>0.7393961869782828</c:v>
                </c:pt>
                <c:pt idx="203">
                  <c:v>0.7359540125715256</c:v>
                </c:pt>
                <c:pt idx="204">
                  <c:v>0.74431326183092406</c:v>
                </c:pt>
                <c:pt idx="205">
                  <c:v>0.6793781827392773</c:v>
                </c:pt>
                <c:pt idx="206">
                  <c:v>0.69225273291535827</c:v>
                </c:pt>
                <c:pt idx="207">
                  <c:v>0.69925222112965546</c:v>
                </c:pt>
                <c:pt idx="208">
                  <c:v>0.71207412127868008</c:v>
                </c:pt>
                <c:pt idx="209">
                  <c:v>0.71298659157785049</c:v>
                </c:pt>
                <c:pt idx="210">
                  <c:v>0.68572882201797714</c:v>
                </c:pt>
                <c:pt idx="211">
                  <c:v>0.72291989879085017</c:v>
                </c:pt>
                <c:pt idx="212">
                  <c:v>0.72552193259459141</c:v>
                </c:pt>
                <c:pt idx="213">
                  <c:v>0.7289360490590775</c:v>
                </c:pt>
                <c:pt idx="214">
                  <c:v>0.74131719510371608</c:v>
                </c:pt>
                <c:pt idx="215">
                  <c:v>0.73724352395388193</c:v>
                </c:pt>
                <c:pt idx="216">
                  <c:v>0.729486930845332</c:v>
                </c:pt>
                <c:pt idx="217">
                  <c:v>0.77052466182321278</c:v>
                </c:pt>
                <c:pt idx="218">
                  <c:v>0.78669938749392532</c:v>
                </c:pt>
                <c:pt idx="219">
                  <c:v>0.80087116749890341</c:v>
                </c:pt>
                <c:pt idx="220">
                  <c:v>0.8024076358491532</c:v>
                </c:pt>
                <c:pt idx="221">
                  <c:v>0.85476505644985556</c:v>
                </c:pt>
                <c:pt idx="222">
                  <c:v>0.85482967488478812</c:v>
                </c:pt>
                <c:pt idx="223">
                  <c:v>0.89568392600310265</c:v>
                </c:pt>
                <c:pt idx="224">
                  <c:v>0.85648527607050984</c:v>
                </c:pt>
                <c:pt idx="225">
                  <c:v>0.85620890339508571</c:v>
                </c:pt>
                <c:pt idx="226">
                  <c:v>0.82600376976455347</c:v>
                </c:pt>
                <c:pt idx="227">
                  <c:v>0.78433434885441156</c:v>
                </c:pt>
                <c:pt idx="228">
                  <c:v>0.77784653639296863</c:v>
                </c:pt>
                <c:pt idx="229">
                  <c:v>0.77576120701655926</c:v>
                </c:pt>
                <c:pt idx="230">
                  <c:v>0.76189939545580998</c:v>
                </c:pt>
                <c:pt idx="231">
                  <c:v>0.73930552294383423</c:v>
                </c:pt>
                <c:pt idx="232">
                  <c:v>0.73670072341997972</c:v>
                </c:pt>
                <c:pt idx="233">
                  <c:v>0.73726453126783242</c:v>
                </c:pt>
                <c:pt idx="234">
                  <c:v>0.70810167803639923</c:v>
                </c:pt>
                <c:pt idx="235">
                  <c:v>0.70619553598277807</c:v>
                </c:pt>
                <c:pt idx="236">
                  <c:v>0.71453219294778925</c:v>
                </c:pt>
                <c:pt idx="237">
                  <c:v>0.71531067629297462</c:v>
                </c:pt>
                <c:pt idx="238">
                  <c:v>0.70289770358977111</c:v>
                </c:pt>
                <c:pt idx="239">
                  <c:v>0.70286070585137017</c:v>
                </c:pt>
                <c:pt idx="240">
                  <c:v>0.71000060343890792</c:v>
                </c:pt>
                <c:pt idx="241">
                  <c:v>0.67896246701538465</c:v>
                </c:pt>
                <c:pt idx="242">
                  <c:v>0.67686580923039419</c:v>
                </c:pt>
                <c:pt idx="243">
                  <c:v>0.67360865610369303</c:v>
                </c:pt>
                <c:pt idx="244">
                  <c:v>0.69148911158158211</c:v>
                </c:pt>
                <c:pt idx="245">
                  <c:v>0.699879191250945</c:v>
                </c:pt>
                <c:pt idx="246">
                  <c:v>0.71788046425252017</c:v>
                </c:pt>
                <c:pt idx="247">
                  <c:v>0.68495975023538436</c:v>
                </c:pt>
                <c:pt idx="248">
                  <c:v>0.67477467798539659</c:v>
                </c:pt>
                <c:pt idx="249">
                  <c:v>0.65116762808789141</c:v>
                </c:pt>
                <c:pt idx="250">
                  <c:v>0.6786591717668109</c:v>
                </c:pt>
                <c:pt idx="251">
                  <c:v>0.63418272793150154</c:v>
                </c:pt>
                <c:pt idx="252">
                  <c:v>0.64464947595319821</c:v>
                </c:pt>
                <c:pt idx="253">
                  <c:v>0.59201754447587063</c:v>
                </c:pt>
                <c:pt idx="254">
                  <c:v>0.59296681081860514</c:v>
                </c:pt>
                <c:pt idx="255">
                  <c:v>0.59169573520119778</c:v>
                </c:pt>
                <c:pt idx="256">
                  <c:v>0.59810987072783073</c:v>
                </c:pt>
                <c:pt idx="257">
                  <c:v>0.59872182581481537</c:v>
                </c:pt>
                <c:pt idx="258">
                  <c:v>0.5996997742096376</c:v>
                </c:pt>
                <c:pt idx="259">
                  <c:v>0.59503251770879917</c:v>
                </c:pt>
                <c:pt idx="260">
                  <c:v>0.7924250848522183</c:v>
                </c:pt>
                <c:pt idx="261">
                  <c:v>0.79083721506604787</c:v>
                </c:pt>
                <c:pt idx="262">
                  <c:v>0.82814765798970513</c:v>
                </c:pt>
                <c:pt idx="263">
                  <c:v>0.8259383656261241</c:v>
                </c:pt>
                <c:pt idx="264">
                  <c:v>0.82923436474003542</c:v>
                </c:pt>
                <c:pt idx="265">
                  <c:v>0.83209430707662424</c:v>
                </c:pt>
                <c:pt idx="266">
                  <c:v>0.81690359834585125</c:v>
                </c:pt>
                <c:pt idx="267">
                  <c:v>0.83912252952202948</c:v>
                </c:pt>
                <c:pt idx="268">
                  <c:v>0.83722600771382882</c:v>
                </c:pt>
                <c:pt idx="269">
                  <c:v>0.83865761866869803</c:v>
                </c:pt>
                <c:pt idx="270">
                  <c:v>0.84374526371326719</c:v>
                </c:pt>
                <c:pt idx="271">
                  <c:v>0.85611632091545975</c:v>
                </c:pt>
                <c:pt idx="272">
                  <c:v>0.86192058384604875</c:v>
                </c:pt>
                <c:pt idx="273">
                  <c:v>0.85971171694317738</c:v>
                </c:pt>
                <c:pt idx="274">
                  <c:v>0.93140895735186924</c:v>
                </c:pt>
                <c:pt idx="275">
                  <c:v>0.92567546220306207</c:v>
                </c:pt>
                <c:pt idx="276">
                  <c:v>0.89820021948914119</c:v>
                </c:pt>
                <c:pt idx="277">
                  <c:v>0.89657333061202704</c:v>
                </c:pt>
                <c:pt idx="278">
                  <c:v>0.89377280567040229</c:v>
                </c:pt>
                <c:pt idx="279">
                  <c:v>0.89868649670446354</c:v>
                </c:pt>
                <c:pt idx="280">
                  <c:v>0.90022523041903246</c:v>
                </c:pt>
                <c:pt idx="281">
                  <c:v>0.90212233861324631</c:v>
                </c:pt>
                <c:pt idx="282">
                  <c:v>0.89435437902735582</c:v>
                </c:pt>
                <c:pt idx="283">
                  <c:v>0.89106114637910749</c:v>
                </c:pt>
                <c:pt idx="284">
                  <c:v>0.89356310443785236</c:v>
                </c:pt>
                <c:pt idx="285">
                  <c:v>0.9409931940328381</c:v>
                </c:pt>
                <c:pt idx="286">
                  <c:v>0.93128192982933355</c:v>
                </c:pt>
                <c:pt idx="287">
                  <c:v>0.97248553856882125</c:v>
                </c:pt>
                <c:pt idx="288">
                  <c:v>0.97628097018884508</c:v>
                </c:pt>
                <c:pt idx="289">
                  <c:v>0.97138681420980222</c:v>
                </c:pt>
                <c:pt idx="290">
                  <c:v>0.81016950943538413</c:v>
                </c:pt>
                <c:pt idx="291">
                  <c:v>0.78270980032161264</c:v>
                </c:pt>
                <c:pt idx="292">
                  <c:v>0.76617395130465293</c:v>
                </c:pt>
                <c:pt idx="293">
                  <c:v>0.75655927556660052</c:v>
                </c:pt>
                <c:pt idx="294">
                  <c:v>0.75640476118632305</c:v>
                </c:pt>
                <c:pt idx="295">
                  <c:v>0.78505891723688814</c:v>
                </c:pt>
                <c:pt idx="296">
                  <c:v>0.78097908281706652</c:v>
                </c:pt>
                <c:pt idx="297">
                  <c:v>0.79369313281854026</c:v>
                </c:pt>
                <c:pt idx="298">
                  <c:v>0.87471041250967663</c:v>
                </c:pt>
                <c:pt idx="299">
                  <c:v>0.87608459153966356</c:v>
                </c:pt>
                <c:pt idx="300">
                  <c:v>0.87123769965143338</c:v>
                </c:pt>
                <c:pt idx="301">
                  <c:v>0.87443401074381666</c:v>
                </c:pt>
                <c:pt idx="302">
                  <c:v>0.90801846380022611</c:v>
                </c:pt>
                <c:pt idx="303">
                  <c:v>0.91039618177183779</c:v>
                </c:pt>
                <c:pt idx="304">
                  <c:v>0.83381455849878094</c:v>
                </c:pt>
                <c:pt idx="305">
                  <c:v>0.83403212410641892</c:v>
                </c:pt>
                <c:pt idx="306">
                  <c:v>0.84134783687224213</c:v>
                </c:pt>
                <c:pt idx="307">
                  <c:v>0.8627046253840116</c:v>
                </c:pt>
                <c:pt idx="308">
                  <c:v>0.87444842879384654</c:v>
                </c:pt>
                <c:pt idx="309">
                  <c:v>0.86164237071342964</c:v>
                </c:pt>
                <c:pt idx="310">
                  <c:v>0.84834451486338602</c:v>
                </c:pt>
                <c:pt idx="311">
                  <c:v>0.8355455142411764</c:v>
                </c:pt>
                <c:pt idx="312">
                  <c:v>0.84348921551319878</c:v>
                </c:pt>
                <c:pt idx="313">
                  <c:v>0.844649328791513</c:v>
                </c:pt>
                <c:pt idx="314">
                  <c:v>0.86728872761083298</c:v>
                </c:pt>
                <c:pt idx="315">
                  <c:v>0.81754372811258813</c:v>
                </c:pt>
                <c:pt idx="316">
                  <c:v>0.83397605657616547</c:v>
                </c:pt>
                <c:pt idx="317">
                  <c:v>0.78238390875991981</c:v>
                </c:pt>
                <c:pt idx="318">
                  <c:v>0.78016373154558627</c:v>
                </c:pt>
                <c:pt idx="319">
                  <c:v>0.78060818896089501</c:v>
                </c:pt>
                <c:pt idx="320">
                  <c:v>0.76196375236604452</c:v>
                </c:pt>
                <c:pt idx="321">
                  <c:v>0.75817359386065397</c:v>
                </c:pt>
                <c:pt idx="322">
                  <c:v>0.75816082034399546</c:v>
                </c:pt>
                <c:pt idx="323">
                  <c:v>0.75349520712211859</c:v>
                </c:pt>
                <c:pt idx="324">
                  <c:v>0.75365864271316829</c:v>
                </c:pt>
                <c:pt idx="325">
                  <c:v>0.74073447046890917</c:v>
                </c:pt>
                <c:pt idx="326">
                  <c:v>0.74123178025724457</c:v>
                </c:pt>
                <c:pt idx="327">
                  <c:v>0.70413644498827477</c:v>
                </c:pt>
                <c:pt idx="328">
                  <c:v>0.60833972938289294</c:v>
                </c:pt>
                <c:pt idx="329">
                  <c:v>0.61902505962549381</c:v>
                </c:pt>
                <c:pt idx="330">
                  <c:v>0.63848203497421119</c:v>
                </c:pt>
                <c:pt idx="331">
                  <c:v>0.61793785775735732</c:v>
                </c:pt>
                <c:pt idx="332">
                  <c:v>0.53568062644195769</c:v>
                </c:pt>
                <c:pt idx="333">
                  <c:v>0.53602717831661684</c:v>
                </c:pt>
                <c:pt idx="334">
                  <c:v>0.52449285235344478</c:v>
                </c:pt>
                <c:pt idx="335">
                  <c:v>0.58888982929338118</c:v>
                </c:pt>
                <c:pt idx="336">
                  <c:v>0.58444400630721471</c:v>
                </c:pt>
                <c:pt idx="337">
                  <c:v>0.55954762110272516</c:v>
                </c:pt>
                <c:pt idx="338">
                  <c:v>0.53110012306246257</c:v>
                </c:pt>
                <c:pt idx="339">
                  <c:v>0.52916881493579127</c:v>
                </c:pt>
                <c:pt idx="340">
                  <c:v>0.60182442588749752</c:v>
                </c:pt>
                <c:pt idx="341">
                  <c:v>0.59515540888373308</c:v>
                </c:pt>
                <c:pt idx="342">
                  <c:v>0.59540336548751227</c:v>
                </c:pt>
                <c:pt idx="343">
                  <c:v>0.60975711900389995</c:v>
                </c:pt>
                <c:pt idx="344">
                  <c:v>0.5807721515461175</c:v>
                </c:pt>
                <c:pt idx="345">
                  <c:v>0.57928998781568442</c:v>
                </c:pt>
                <c:pt idx="346">
                  <c:v>0.56490693019190164</c:v>
                </c:pt>
                <c:pt idx="347">
                  <c:v>0.56949047677530407</c:v>
                </c:pt>
                <c:pt idx="348">
                  <c:v>0.56032832093168561</c:v>
                </c:pt>
                <c:pt idx="349">
                  <c:v>0.56038371898154127</c:v>
                </c:pt>
                <c:pt idx="350">
                  <c:v>0.56430648053152099</c:v>
                </c:pt>
                <c:pt idx="351">
                  <c:v>0.56061360998855181</c:v>
                </c:pt>
                <c:pt idx="352">
                  <c:v>0.55342369101982436</c:v>
                </c:pt>
                <c:pt idx="353">
                  <c:v>0.55352127870513712</c:v>
                </c:pt>
                <c:pt idx="354">
                  <c:v>0.56230140821918917</c:v>
                </c:pt>
                <c:pt idx="355">
                  <c:v>0.58293527916349364</c:v>
                </c:pt>
                <c:pt idx="356">
                  <c:v>0.59113602395202947</c:v>
                </c:pt>
                <c:pt idx="357">
                  <c:v>0.58971991357127318</c:v>
                </c:pt>
                <c:pt idx="358">
                  <c:v>0.60389752616399595</c:v>
                </c:pt>
                <c:pt idx="359">
                  <c:v>0.60376811179441781</c:v>
                </c:pt>
                <c:pt idx="360">
                  <c:v>0.58850631859668934</c:v>
                </c:pt>
                <c:pt idx="361">
                  <c:v>0.59125927170733639</c:v>
                </c:pt>
                <c:pt idx="362">
                  <c:v>0.5859681354773808</c:v>
                </c:pt>
                <c:pt idx="363">
                  <c:v>0.62529171547684859</c:v>
                </c:pt>
                <c:pt idx="364">
                  <c:v>0.65538717034791283</c:v>
                </c:pt>
                <c:pt idx="365">
                  <c:v>0.61313746945789105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213640"/>
        <c:axId val="604200704"/>
      </c:lineChart>
      <c:dateAx>
        <c:axId val="604213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200704"/>
        <c:crosses val="autoZero"/>
        <c:auto val="1"/>
        <c:lblOffset val="100"/>
        <c:baseTimeUnit val="days"/>
      </c:dateAx>
      <c:valAx>
        <c:axId val="6042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21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'USDCETH_0.3% Charts'!$AF$1</c:f>
              <c:strCache>
                <c:ptCount val="1"/>
                <c:pt idx="0">
                  <c:v>30 Day IL + Fees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'USDCETH_0.3% Charts'!$A$2:$A$386</c:f>
              <c:numCache>
                <c:formatCode>m/d/yyyy</c:formatCode>
                <c:ptCount val="385"/>
                <c:pt idx="0">
                  <c:v>44322.33353009259</c:v>
                </c:pt>
                <c:pt idx="1">
                  <c:v>44323.333483796298</c:v>
                </c:pt>
                <c:pt idx="2">
                  <c:v>44324.333356481482</c:v>
                </c:pt>
                <c:pt idx="3">
                  <c:v>44325.333356481482</c:v>
                </c:pt>
                <c:pt idx="4">
                  <c:v>44326.333333333336</c:v>
                </c:pt>
                <c:pt idx="5">
                  <c:v>44327.333668981482</c:v>
                </c:pt>
                <c:pt idx="6">
                  <c:v>44328.333414351851</c:v>
                </c:pt>
                <c:pt idx="7">
                  <c:v>44329.333564814813</c:v>
                </c:pt>
                <c:pt idx="8">
                  <c:v>44330.333379629628</c:v>
                </c:pt>
                <c:pt idx="9">
                  <c:v>44331.333564814813</c:v>
                </c:pt>
                <c:pt idx="10">
                  <c:v>44332.333460648151</c:v>
                </c:pt>
                <c:pt idx="11">
                  <c:v>44333.333611111113</c:v>
                </c:pt>
                <c:pt idx="12">
                  <c:v>44334.333333333336</c:v>
                </c:pt>
                <c:pt idx="13">
                  <c:v>44335.333333333336</c:v>
                </c:pt>
                <c:pt idx="14">
                  <c:v>44336.333425925928</c:v>
                </c:pt>
                <c:pt idx="15">
                  <c:v>44337.333587962959</c:v>
                </c:pt>
                <c:pt idx="16">
                  <c:v>44338.333472222221</c:v>
                </c:pt>
                <c:pt idx="17">
                  <c:v>44339.333414351851</c:v>
                </c:pt>
                <c:pt idx="18">
                  <c:v>44340.333333333336</c:v>
                </c:pt>
                <c:pt idx="19">
                  <c:v>44341.333622685182</c:v>
                </c:pt>
                <c:pt idx="20">
                  <c:v>44342.333564814813</c:v>
                </c:pt>
                <c:pt idx="21">
                  <c:v>44343.333344907405</c:v>
                </c:pt>
                <c:pt idx="22">
                  <c:v>44344.333784722221</c:v>
                </c:pt>
                <c:pt idx="23">
                  <c:v>44345.333518518521</c:v>
                </c:pt>
                <c:pt idx="24">
                  <c:v>44346.333495370367</c:v>
                </c:pt>
                <c:pt idx="25">
                  <c:v>44347.334201388891</c:v>
                </c:pt>
                <c:pt idx="26">
                  <c:v>44348.333333333336</c:v>
                </c:pt>
                <c:pt idx="27">
                  <c:v>44349.333449074074</c:v>
                </c:pt>
                <c:pt idx="28">
                  <c:v>44350.333344907405</c:v>
                </c:pt>
                <c:pt idx="29">
                  <c:v>44351.333784722221</c:v>
                </c:pt>
                <c:pt idx="30">
                  <c:v>44352.333553240744</c:v>
                </c:pt>
                <c:pt idx="31">
                  <c:v>44353.333333333336</c:v>
                </c:pt>
                <c:pt idx="32">
                  <c:v>44354.333599537036</c:v>
                </c:pt>
                <c:pt idx="33">
                  <c:v>44355.333460648151</c:v>
                </c:pt>
                <c:pt idx="34">
                  <c:v>44356.333391203705</c:v>
                </c:pt>
                <c:pt idx="35">
                  <c:v>44357.333402777775</c:v>
                </c:pt>
                <c:pt idx="36">
                  <c:v>44358.333391203705</c:v>
                </c:pt>
                <c:pt idx="37">
                  <c:v>44359.333506944444</c:v>
                </c:pt>
                <c:pt idx="38">
                  <c:v>44360.333437499998</c:v>
                </c:pt>
                <c:pt idx="39">
                  <c:v>44361.333425925928</c:v>
                </c:pt>
                <c:pt idx="40">
                  <c:v>44362.333472222221</c:v>
                </c:pt>
                <c:pt idx="41">
                  <c:v>44363.333483796298</c:v>
                </c:pt>
                <c:pt idx="42">
                  <c:v>44364.333344907405</c:v>
                </c:pt>
                <c:pt idx="43">
                  <c:v>44365.333541666667</c:v>
                </c:pt>
                <c:pt idx="44">
                  <c:v>44366.333622685182</c:v>
                </c:pt>
                <c:pt idx="45">
                  <c:v>44367.333449074074</c:v>
                </c:pt>
                <c:pt idx="46">
                  <c:v>44368.333425925928</c:v>
                </c:pt>
                <c:pt idx="47">
                  <c:v>44369.333541666667</c:v>
                </c:pt>
                <c:pt idx="48">
                  <c:v>44370.333692129629</c:v>
                </c:pt>
                <c:pt idx="49">
                  <c:v>44371.333344907405</c:v>
                </c:pt>
                <c:pt idx="50">
                  <c:v>44372.333333333336</c:v>
                </c:pt>
                <c:pt idx="51">
                  <c:v>44373.333333333336</c:v>
                </c:pt>
                <c:pt idx="52">
                  <c:v>44374.333391203705</c:v>
                </c:pt>
                <c:pt idx="53">
                  <c:v>44375.333391203705</c:v>
                </c:pt>
                <c:pt idx="54">
                  <c:v>44376.333587962959</c:v>
                </c:pt>
                <c:pt idx="55">
                  <c:v>44377.333344907405</c:v>
                </c:pt>
                <c:pt idx="56">
                  <c:v>44378.333425925928</c:v>
                </c:pt>
                <c:pt idx="57">
                  <c:v>44379.333402777775</c:v>
                </c:pt>
                <c:pt idx="58">
                  <c:v>44380.333449074074</c:v>
                </c:pt>
                <c:pt idx="59">
                  <c:v>44381.333379629628</c:v>
                </c:pt>
                <c:pt idx="60">
                  <c:v>44382.333391203705</c:v>
                </c:pt>
                <c:pt idx="61">
                  <c:v>44383.333518518521</c:v>
                </c:pt>
                <c:pt idx="62">
                  <c:v>44384.333333333336</c:v>
                </c:pt>
                <c:pt idx="63">
                  <c:v>44385.333368055559</c:v>
                </c:pt>
                <c:pt idx="64">
                  <c:v>44386.33357638889</c:v>
                </c:pt>
                <c:pt idx="65">
                  <c:v>44387.333402777775</c:v>
                </c:pt>
                <c:pt idx="66">
                  <c:v>44388.333425925928</c:v>
                </c:pt>
                <c:pt idx="67">
                  <c:v>44389.333368055559</c:v>
                </c:pt>
                <c:pt idx="68">
                  <c:v>44390.333680555559</c:v>
                </c:pt>
                <c:pt idx="69">
                  <c:v>44391.333425925928</c:v>
                </c:pt>
                <c:pt idx="70">
                  <c:v>44392.333472222221</c:v>
                </c:pt>
                <c:pt idx="71">
                  <c:v>44393.333379629628</c:v>
                </c:pt>
                <c:pt idx="72">
                  <c:v>44394.333425925928</c:v>
                </c:pt>
                <c:pt idx="73">
                  <c:v>44395.333854166667</c:v>
                </c:pt>
                <c:pt idx="74">
                  <c:v>44396.333541666667</c:v>
                </c:pt>
                <c:pt idx="75">
                  <c:v>44397.333368055559</c:v>
                </c:pt>
                <c:pt idx="76">
                  <c:v>44398.333379629628</c:v>
                </c:pt>
                <c:pt idx="77">
                  <c:v>44399.333344907405</c:v>
                </c:pt>
                <c:pt idx="78">
                  <c:v>44400.33353009259</c:v>
                </c:pt>
                <c:pt idx="79">
                  <c:v>44401.333645833336</c:v>
                </c:pt>
                <c:pt idx="80">
                  <c:v>44402.333599537036</c:v>
                </c:pt>
                <c:pt idx="81">
                  <c:v>44403.333483796298</c:v>
                </c:pt>
                <c:pt idx="82">
                  <c:v>44404.333391203705</c:v>
                </c:pt>
                <c:pt idx="83">
                  <c:v>44405.333645833336</c:v>
                </c:pt>
                <c:pt idx="84">
                  <c:v>44406.333414351851</c:v>
                </c:pt>
                <c:pt idx="85">
                  <c:v>44407.333703703705</c:v>
                </c:pt>
                <c:pt idx="86">
                  <c:v>44408.333495370367</c:v>
                </c:pt>
                <c:pt idx="87">
                  <c:v>44409.33353009259</c:v>
                </c:pt>
                <c:pt idx="88">
                  <c:v>44410.333449074074</c:v>
                </c:pt>
                <c:pt idx="89">
                  <c:v>44411.333437499998</c:v>
                </c:pt>
                <c:pt idx="90">
                  <c:v>44412.333460648151</c:v>
                </c:pt>
                <c:pt idx="91">
                  <c:v>44413.333761574075</c:v>
                </c:pt>
                <c:pt idx="92">
                  <c:v>44414.333541666667</c:v>
                </c:pt>
                <c:pt idx="93">
                  <c:v>44415.333483796298</c:v>
                </c:pt>
                <c:pt idx="94">
                  <c:v>44416.333333333336</c:v>
                </c:pt>
                <c:pt idx="95">
                  <c:v>44417.333391203705</c:v>
                </c:pt>
                <c:pt idx="96">
                  <c:v>44418.333460648151</c:v>
                </c:pt>
                <c:pt idx="97">
                  <c:v>44419.333703703705</c:v>
                </c:pt>
                <c:pt idx="98">
                  <c:v>44420.333622685182</c:v>
                </c:pt>
                <c:pt idx="99">
                  <c:v>44421.333344907405</c:v>
                </c:pt>
                <c:pt idx="100">
                  <c:v>44422.333356481482</c:v>
                </c:pt>
                <c:pt idx="101">
                  <c:v>44423.333344907405</c:v>
                </c:pt>
                <c:pt idx="102">
                  <c:v>44424.333356481482</c:v>
                </c:pt>
                <c:pt idx="103">
                  <c:v>44425.333333333336</c:v>
                </c:pt>
                <c:pt idx="104">
                  <c:v>44426.333391203705</c:v>
                </c:pt>
                <c:pt idx="105">
                  <c:v>44427.333472222221</c:v>
                </c:pt>
                <c:pt idx="106">
                  <c:v>44428.333541666667</c:v>
                </c:pt>
                <c:pt idx="107">
                  <c:v>44429.333761574075</c:v>
                </c:pt>
                <c:pt idx="108">
                  <c:v>44430.333715277775</c:v>
                </c:pt>
                <c:pt idx="109">
                  <c:v>44431.333344907405</c:v>
                </c:pt>
                <c:pt idx="110">
                  <c:v>44432.333344907405</c:v>
                </c:pt>
                <c:pt idx="111">
                  <c:v>44433.333356481482</c:v>
                </c:pt>
                <c:pt idx="112">
                  <c:v>44434.333553240744</c:v>
                </c:pt>
                <c:pt idx="113">
                  <c:v>44435.333634259259</c:v>
                </c:pt>
                <c:pt idx="114">
                  <c:v>44436.333356481482</c:v>
                </c:pt>
                <c:pt idx="115">
                  <c:v>44437.333333333336</c:v>
                </c:pt>
                <c:pt idx="116">
                  <c:v>44438.333518518521</c:v>
                </c:pt>
                <c:pt idx="117">
                  <c:v>44439.333391203705</c:v>
                </c:pt>
                <c:pt idx="118">
                  <c:v>44440.333460648151</c:v>
                </c:pt>
                <c:pt idx="119">
                  <c:v>44441.333495370367</c:v>
                </c:pt>
                <c:pt idx="120">
                  <c:v>44442.333495370367</c:v>
                </c:pt>
                <c:pt idx="121">
                  <c:v>44443.333414351851</c:v>
                </c:pt>
                <c:pt idx="122">
                  <c:v>44444.333541666667</c:v>
                </c:pt>
                <c:pt idx="123">
                  <c:v>44445.333449074074</c:v>
                </c:pt>
                <c:pt idx="124">
                  <c:v>44446.333553240744</c:v>
                </c:pt>
                <c:pt idx="125">
                  <c:v>44447.33384259259</c:v>
                </c:pt>
                <c:pt idx="126">
                  <c:v>44448.333634259259</c:v>
                </c:pt>
                <c:pt idx="127">
                  <c:v>44449.333356481482</c:v>
                </c:pt>
                <c:pt idx="128">
                  <c:v>44450.333460648151</c:v>
                </c:pt>
                <c:pt idx="129">
                  <c:v>44451.333449074074</c:v>
                </c:pt>
                <c:pt idx="130">
                  <c:v>44452.333680555559</c:v>
                </c:pt>
                <c:pt idx="131">
                  <c:v>44453.333379629628</c:v>
                </c:pt>
                <c:pt idx="132">
                  <c:v>44454.333333333336</c:v>
                </c:pt>
                <c:pt idx="133">
                  <c:v>44455.333344907405</c:v>
                </c:pt>
                <c:pt idx="134">
                  <c:v>44456.333391203705</c:v>
                </c:pt>
                <c:pt idx="135">
                  <c:v>44457.333333333336</c:v>
                </c:pt>
                <c:pt idx="136">
                  <c:v>44458.333414351851</c:v>
                </c:pt>
                <c:pt idx="137">
                  <c:v>44459.333368055559</c:v>
                </c:pt>
                <c:pt idx="138">
                  <c:v>44460.334004629629</c:v>
                </c:pt>
                <c:pt idx="139">
                  <c:v>44461.333425925928</c:v>
                </c:pt>
                <c:pt idx="140">
                  <c:v>44462.333402777775</c:v>
                </c:pt>
                <c:pt idx="141">
                  <c:v>44463.333391203705</c:v>
                </c:pt>
                <c:pt idx="142">
                  <c:v>44464.333356481482</c:v>
                </c:pt>
                <c:pt idx="143">
                  <c:v>44465.333437499998</c:v>
                </c:pt>
                <c:pt idx="144">
                  <c:v>44466.333518518521</c:v>
                </c:pt>
                <c:pt idx="145">
                  <c:v>44467.333784722221</c:v>
                </c:pt>
                <c:pt idx="146">
                  <c:v>44468.333564814813</c:v>
                </c:pt>
                <c:pt idx="147">
                  <c:v>44469.333402777775</c:v>
                </c:pt>
                <c:pt idx="148">
                  <c:v>44470.33357638889</c:v>
                </c:pt>
                <c:pt idx="149">
                  <c:v>44471.333564814813</c:v>
                </c:pt>
                <c:pt idx="150">
                  <c:v>44472.333645833336</c:v>
                </c:pt>
                <c:pt idx="151">
                  <c:v>44473.333402777775</c:v>
                </c:pt>
                <c:pt idx="152">
                  <c:v>44474.333553240744</c:v>
                </c:pt>
                <c:pt idx="153">
                  <c:v>44475.333356481482</c:v>
                </c:pt>
                <c:pt idx="154">
                  <c:v>44476.333599537036</c:v>
                </c:pt>
                <c:pt idx="155">
                  <c:v>44477.333379629628</c:v>
                </c:pt>
                <c:pt idx="156">
                  <c:v>44478.333449074074</c:v>
                </c:pt>
                <c:pt idx="157">
                  <c:v>44479.333414351851</c:v>
                </c:pt>
                <c:pt idx="158">
                  <c:v>44480.333344907405</c:v>
                </c:pt>
                <c:pt idx="159">
                  <c:v>44481.333402777775</c:v>
                </c:pt>
                <c:pt idx="160">
                  <c:v>44482.333356481482</c:v>
                </c:pt>
                <c:pt idx="161">
                  <c:v>44483.333368055559</c:v>
                </c:pt>
                <c:pt idx="162">
                  <c:v>44484.333472222221</c:v>
                </c:pt>
                <c:pt idx="163">
                  <c:v>44485.333356481482</c:v>
                </c:pt>
                <c:pt idx="164">
                  <c:v>44486.333356481482</c:v>
                </c:pt>
                <c:pt idx="165">
                  <c:v>44487.333425925928</c:v>
                </c:pt>
                <c:pt idx="166">
                  <c:v>44488.333541666667</c:v>
                </c:pt>
                <c:pt idx="167">
                  <c:v>44489.333344907405</c:v>
                </c:pt>
                <c:pt idx="168">
                  <c:v>44490.333483796298</c:v>
                </c:pt>
                <c:pt idx="169">
                  <c:v>44491.333495370367</c:v>
                </c:pt>
                <c:pt idx="170">
                  <c:v>44492.333333333336</c:v>
                </c:pt>
                <c:pt idx="171">
                  <c:v>44493.333379629628</c:v>
                </c:pt>
                <c:pt idx="172">
                  <c:v>44494.333437499998</c:v>
                </c:pt>
                <c:pt idx="173">
                  <c:v>44495.333402777775</c:v>
                </c:pt>
                <c:pt idx="174">
                  <c:v>44496.333587962959</c:v>
                </c:pt>
                <c:pt idx="175">
                  <c:v>44497.333368055559</c:v>
                </c:pt>
                <c:pt idx="176">
                  <c:v>44498.333344907405</c:v>
                </c:pt>
                <c:pt idx="177">
                  <c:v>44499.333506944444</c:v>
                </c:pt>
                <c:pt idx="178">
                  <c:v>44500.33357638889</c:v>
                </c:pt>
                <c:pt idx="179">
                  <c:v>44501.333472222221</c:v>
                </c:pt>
                <c:pt idx="180">
                  <c:v>44502.33357638889</c:v>
                </c:pt>
                <c:pt idx="181">
                  <c:v>44503.333692129629</c:v>
                </c:pt>
                <c:pt idx="182">
                  <c:v>44504.334328703706</c:v>
                </c:pt>
                <c:pt idx="183">
                  <c:v>44505.333344907405</c:v>
                </c:pt>
                <c:pt idx="184">
                  <c:v>44506.333379629628</c:v>
                </c:pt>
                <c:pt idx="185">
                  <c:v>44507.333796296298</c:v>
                </c:pt>
                <c:pt idx="186">
                  <c:v>44508.333599537036</c:v>
                </c:pt>
                <c:pt idx="187">
                  <c:v>44509.333553240744</c:v>
                </c:pt>
                <c:pt idx="188">
                  <c:v>44510.333425925928</c:v>
                </c:pt>
                <c:pt idx="189">
                  <c:v>44511.333379629628</c:v>
                </c:pt>
                <c:pt idx="190">
                  <c:v>44512.334085648145</c:v>
                </c:pt>
                <c:pt idx="191">
                  <c:v>44513.333564814813</c:v>
                </c:pt>
                <c:pt idx="192">
                  <c:v>44514.333645833336</c:v>
                </c:pt>
                <c:pt idx="193">
                  <c:v>44515.333506944444</c:v>
                </c:pt>
                <c:pt idx="194">
                  <c:v>44516.333402777775</c:v>
                </c:pt>
                <c:pt idx="195">
                  <c:v>44517.333518518521</c:v>
                </c:pt>
                <c:pt idx="196">
                  <c:v>44518.33384259259</c:v>
                </c:pt>
                <c:pt idx="197">
                  <c:v>44519.333449074074</c:v>
                </c:pt>
                <c:pt idx="198">
                  <c:v>44520.333402777775</c:v>
                </c:pt>
                <c:pt idx="199">
                  <c:v>44521.333634259259</c:v>
                </c:pt>
                <c:pt idx="200">
                  <c:v>44522.333506944444</c:v>
                </c:pt>
                <c:pt idx="201">
                  <c:v>44523.333425925928</c:v>
                </c:pt>
                <c:pt idx="202">
                  <c:v>44524.333437499998</c:v>
                </c:pt>
                <c:pt idx="203">
                  <c:v>44525.333391203705</c:v>
                </c:pt>
                <c:pt idx="204">
                  <c:v>44526.333414351851</c:v>
                </c:pt>
                <c:pt idx="205">
                  <c:v>44527.333344907405</c:v>
                </c:pt>
                <c:pt idx="206">
                  <c:v>44528.333472222221</c:v>
                </c:pt>
                <c:pt idx="207">
                  <c:v>44529.333344907405</c:v>
                </c:pt>
                <c:pt idx="208">
                  <c:v>44530.333402777775</c:v>
                </c:pt>
                <c:pt idx="209">
                  <c:v>44531.333402777775</c:v>
                </c:pt>
                <c:pt idx="210">
                  <c:v>44532.333402777775</c:v>
                </c:pt>
                <c:pt idx="211">
                  <c:v>44533.333425925928</c:v>
                </c:pt>
                <c:pt idx="212">
                  <c:v>44534.333344907405</c:v>
                </c:pt>
                <c:pt idx="213">
                  <c:v>44535.333379629628</c:v>
                </c:pt>
                <c:pt idx="214">
                  <c:v>44536.333668981482</c:v>
                </c:pt>
                <c:pt idx="215">
                  <c:v>44537.333437499998</c:v>
                </c:pt>
                <c:pt idx="216">
                  <c:v>44538.333819444444</c:v>
                </c:pt>
                <c:pt idx="217">
                  <c:v>44539.333368055559</c:v>
                </c:pt>
                <c:pt idx="218">
                  <c:v>44540.33357638889</c:v>
                </c:pt>
                <c:pt idx="219">
                  <c:v>44541.333715277775</c:v>
                </c:pt>
                <c:pt idx="220">
                  <c:v>44542.333611111113</c:v>
                </c:pt>
                <c:pt idx="221">
                  <c:v>44543.333368055559</c:v>
                </c:pt>
                <c:pt idx="222">
                  <c:v>44544.333622685182</c:v>
                </c:pt>
                <c:pt idx="223">
                  <c:v>44545.333599537036</c:v>
                </c:pt>
                <c:pt idx="224">
                  <c:v>44546.333587962959</c:v>
                </c:pt>
                <c:pt idx="225">
                  <c:v>44547.333495370367</c:v>
                </c:pt>
                <c:pt idx="226">
                  <c:v>44548.333645833336</c:v>
                </c:pt>
                <c:pt idx="227">
                  <c:v>44549.333356481482</c:v>
                </c:pt>
                <c:pt idx="228">
                  <c:v>44550.333541666667</c:v>
                </c:pt>
                <c:pt idx="229">
                  <c:v>44551.333495370367</c:v>
                </c:pt>
                <c:pt idx="230">
                  <c:v>44552.333356481482</c:v>
                </c:pt>
                <c:pt idx="231">
                  <c:v>44553.333379629628</c:v>
                </c:pt>
                <c:pt idx="232">
                  <c:v>44554.33353009259</c:v>
                </c:pt>
                <c:pt idx="233">
                  <c:v>44555.333553240744</c:v>
                </c:pt>
                <c:pt idx="234">
                  <c:v>44556.333414351851</c:v>
                </c:pt>
                <c:pt idx="235">
                  <c:v>44557.333460648151</c:v>
                </c:pt>
                <c:pt idx="236">
                  <c:v>44558.333402777775</c:v>
                </c:pt>
                <c:pt idx="237">
                  <c:v>44559.333379629628</c:v>
                </c:pt>
                <c:pt idx="238">
                  <c:v>44560.333472222221</c:v>
                </c:pt>
                <c:pt idx="239">
                  <c:v>44561.333483796298</c:v>
                </c:pt>
                <c:pt idx="240">
                  <c:v>44562.333356481482</c:v>
                </c:pt>
                <c:pt idx="241">
                  <c:v>44563.333969907406</c:v>
                </c:pt>
                <c:pt idx="242">
                  <c:v>44564.33353009259</c:v>
                </c:pt>
                <c:pt idx="243">
                  <c:v>44565.333483796298</c:v>
                </c:pt>
                <c:pt idx="244">
                  <c:v>44566.333425925928</c:v>
                </c:pt>
                <c:pt idx="245">
                  <c:v>44567.333587962959</c:v>
                </c:pt>
                <c:pt idx="246">
                  <c:v>44568.333414351851</c:v>
                </c:pt>
                <c:pt idx="247">
                  <c:v>44569.333344907405</c:v>
                </c:pt>
                <c:pt idx="248">
                  <c:v>44570.333483796298</c:v>
                </c:pt>
                <c:pt idx="249">
                  <c:v>44571.333437499998</c:v>
                </c:pt>
                <c:pt idx="250">
                  <c:v>44572.333680555559</c:v>
                </c:pt>
                <c:pt idx="251">
                  <c:v>44573.333437499998</c:v>
                </c:pt>
                <c:pt idx="252">
                  <c:v>44574.333587962959</c:v>
                </c:pt>
                <c:pt idx="253">
                  <c:v>44575.333541666667</c:v>
                </c:pt>
                <c:pt idx="254">
                  <c:v>44576.333344907405</c:v>
                </c:pt>
                <c:pt idx="255">
                  <c:v>44577.333495370367</c:v>
                </c:pt>
                <c:pt idx="256">
                  <c:v>44578.333402777775</c:v>
                </c:pt>
                <c:pt idx="257">
                  <c:v>44579.333333333336</c:v>
                </c:pt>
                <c:pt idx="258">
                  <c:v>44580.333356481482</c:v>
                </c:pt>
                <c:pt idx="259">
                  <c:v>44581.333344907405</c:v>
                </c:pt>
                <c:pt idx="260">
                  <c:v>44582.333541666667</c:v>
                </c:pt>
                <c:pt idx="261">
                  <c:v>44583.334016203706</c:v>
                </c:pt>
                <c:pt idx="262">
                  <c:v>44584.333483796298</c:v>
                </c:pt>
                <c:pt idx="263">
                  <c:v>44585.333923611113</c:v>
                </c:pt>
                <c:pt idx="264">
                  <c:v>44586.33357638889</c:v>
                </c:pt>
                <c:pt idx="265">
                  <c:v>44587.333379629628</c:v>
                </c:pt>
                <c:pt idx="266">
                  <c:v>44588.333333333336</c:v>
                </c:pt>
                <c:pt idx="267">
                  <c:v>44589.333344907405</c:v>
                </c:pt>
                <c:pt idx="268">
                  <c:v>44590.333356481482</c:v>
                </c:pt>
                <c:pt idx="269">
                  <c:v>44591.333379629628</c:v>
                </c:pt>
                <c:pt idx="270">
                  <c:v>44592.333611111113</c:v>
                </c:pt>
                <c:pt idx="271">
                  <c:v>44593.333356481482</c:v>
                </c:pt>
                <c:pt idx="272">
                  <c:v>44594.333553240744</c:v>
                </c:pt>
                <c:pt idx="273">
                  <c:v>44595.333460648151</c:v>
                </c:pt>
                <c:pt idx="274">
                  <c:v>44596.333402777775</c:v>
                </c:pt>
                <c:pt idx="275">
                  <c:v>44597.333344907405</c:v>
                </c:pt>
                <c:pt idx="276">
                  <c:v>44598.333425925928</c:v>
                </c:pt>
                <c:pt idx="277">
                  <c:v>44599.333402777775</c:v>
                </c:pt>
                <c:pt idx="278">
                  <c:v>44600.333564814813</c:v>
                </c:pt>
                <c:pt idx="279">
                  <c:v>44601.333391203705</c:v>
                </c:pt>
                <c:pt idx="280">
                  <c:v>44602.333495370367</c:v>
                </c:pt>
                <c:pt idx="281">
                  <c:v>44603.333460648151</c:v>
                </c:pt>
                <c:pt idx="282">
                  <c:v>44604.333483796298</c:v>
                </c:pt>
                <c:pt idx="283">
                  <c:v>44605.333356481482</c:v>
                </c:pt>
                <c:pt idx="284">
                  <c:v>44606.333472222221</c:v>
                </c:pt>
                <c:pt idx="285">
                  <c:v>44607.333472222221</c:v>
                </c:pt>
                <c:pt idx="286">
                  <c:v>44608.333599537036</c:v>
                </c:pt>
                <c:pt idx="287">
                  <c:v>44609.333368055559</c:v>
                </c:pt>
                <c:pt idx="288">
                  <c:v>44610.333553240744</c:v>
                </c:pt>
                <c:pt idx="289">
                  <c:v>44611.333460648151</c:v>
                </c:pt>
                <c:pt idx="290">
                  <c:v>44612.333495370367</c:v>
                </c:pt>
                <c:pt idx="291">
                  <c:v>44613.333379629628</c:v>
                </c:pt>
                <c:pt idx="292">
                  <c:v>44614.333391203705</c:v>
                </c:pt>
                <c:pt idx="293">
                  <c:v>44615.333518518521</c:v>
                </c:pt>
                <c:pt idx="294">
                  <c:v>44616.333333333336</c:v>
                </c:pt>
                <c:pt idx="295">
                  <c:v>44617.333368055559</c:v>
                </c:pt>
                <c:pt idx="296">
                  <c:v>44618.333449074074</c:v>
                </c:pt>
                <c:pt idx="297">
                  <c:v>44619.333449074074</c:v>
                </c:pt>
                <c:pt idx="298">
                  <c:v>44620.333402777775</c:v>
                </c:pt>
                <c:pt idx="299">
                  <c:v>44621.333854166667</c:v>
                </c:pt>
                <c:pt idx="300">
                  <c:v>44622.333483796298</c:v>
                </c:pt>
                <c:pt idx="301">
                  <c:v>44623.333495370367</c:v>
                </c:pt>
                <c:pt idx="302">
                  <c:v>44624.333356481482</c:v>
                </c:pt>
                <c:pt idx="303">
                  <c:v>44625.333437499998</c:v>
                </c:pt>
                <c:pt idx="304">
                  <c:v>44626.333425925928</c:v>
                </c:pt>
                <c:pt idx="305">
                  <c:v>44627.333333333336</c:v>
                </c:pt>
                <c:pt idx="306">
                  <c:v>44628.333368055559</c:v>
                </c:pt>
                <c:pt idx="307">
                  <c:v>44629.333333333336</c:v>
                </c:pt>
                <c:pt idx="308">
                  <c:v>44630.33357638889</c:v>
                </c:pt>
                <c:pt idx="309">
                  <c:v>44631.333414351851</c:v>
                </c:pt>
                <c:pt idx="310">
                  <c:v>44632.334016203706</c:v>
                </c:pt>
                <c:pt idx="311">
                  <c:v>44633.333425925928</c:v>
                </c:pt>
                <c:pt idx="312">
                  <c:v>44634.333749999998</c:v>
                </c:pt>
                <c:pt idx="313">
                  <c:v>44635.333379629628</c:v>
                </c:pt>
                <c:pt idx="314">
                  <c:v>44636.333379629628</c:v>
                </c:pt>
                <c:pt idx="315">
                  <c:v>44637.333587962959</c:v>
                </c:pt>
                <c:pt idx="316">
                  <c:v>44638.33384259259</c:v>
                </c:pt>
                <c:pt idx="317">
                  <c:v>44639.333356481482</c:v>
                </c:pt>
                <c:pt idx="318">
                  <c:v>44640.333379629628</c:v>
                </c:pt>
                <c:pt idx="319">
                  <c:v>44641.333333333336</c:v>
                </c:pt>
                <c:pt idx="320">
                  <c:v>44642.333344907405</c:v>
                </c:pt>
                <c:pt idx="321">
                  <c:v>44643.333379629628</c:v>
                </c:pt>
                <c:pt idx="322">
                  <c:v>44644.333402777775</c:v>
                </c:pt>
                <c:pt idx="323">
                  <c:v>44645.333344907405</c:v>
                </c:pt>
                <c:pt idx="324">
                  <c:v>44646.333460648151</c:v>
                </c:pt>
                <c:pt idx="325">
                  <c:v>44647.333368055559</c:v>
                </c:pt>
                <c:pt idx="326">
                  <c:v>44648.333854166667</c:v>
                </c:pt>
                <c:pt idx="327">
                  <c:v>44649.333425925928</c:v>
                </c:pt>
                <c:pt idx="328">
                  <c:v>44650.333506944444</c:v>
                </c:pt>
                <c:pt idx="329">
                  <c:v>44651.333379629628</c:v>
                </c:pt>
                <c:pt idx="330">
                  <c:v>44652.333541666667</c:v>
                </c:pt>
                <c:pt idx="331">
                  <c:v>44653.333506944444</c:v>
                </c:pt>
                <c:pt idx="332">
                  <c:v>44654.333356481482</c:v>
                </c:pt>
                <c:pt idx="333">
                  <c:v>44655.333368055559</c:v>
                </c:pt>
                <c:pt idx="334">
                  <c:v>44656.333368055559</c:v>
                </c:pt>
                <c:pt idx="335">
                  <c:v>44657.333333333336</c:v>
                </c:pt>
                <c:pt idx="336">
                  <c:v>44658.333506944444</c:v>
                </c:pt>
                <c:pt idx="337">
                  <c:v>44659.333437499998</c:v>
                </c:pt>
                <c:pt idx="338">
                  <c:v>44660.333414351851</c:v>
                </c:pt>
                <c:pt idx="339">
                  <c:v>44661.333344907405</c:v>
                </c:pt>
                <c:pt idx="340">
                  <c:v>44662.333391203705</c:v>
                </c:pt>
                <c:pt idx="341">
                  <c:v>44663.333634259259</c:v>
                </c:pt>
                <c:pt idx="342">
                  <c:v>44664.333333333336</c:v>
                </c:pt>
                <c:pt idx="343">
                  <c:v>44665.333680555559</c:v>
                </c:pt>
                <c:pt idx="344">
                  <c:v>44666.333391203705</c:v>
                </c:pt>
                <c:pt idx="345">
                  <c:v>44667.33357638889</c:v>
                </c:pt>
                <c:pt idx="346">
                  <c:v>44668.333449074074</c:v>
                </c:pt>
                <c:pt idx="347">
                  <c:v>44669.333819444444</c:v>
                </c:pt>
                <c:pt idx="348">
                  <c:v>44670.333379629628</c:v>
                </c:pt>
                <c:pt idx="349">
                  <c:v>44671.333495370367</c:v>
                </c:pt>
                <c:pt idx="350">
                  <c:v>44672.333425925928</c:v>
                </c:pt>
                <c:pt idx="351">
                  <c:v>44673.333414351851</c:v>
                </c:pt>
                <c:pt idx="352">
                  <c:v>44674.333865740744</c:v>
                </c:pt>
                <c:pt idx="353">
                  <c:v>44675.333368055559</c:v>
                </c:pt>
                <c:pt idx="354">
                  <c:v>44676.333333333336</c:v>
                </c:pt>
                <c:pt idx="355">
                  <c:v>44677.333807870367</c:v>
                </c:pt>
                <c:pt idx="356">
                  <c:v>44678.333344907405</c:v>
                </c:pt>
                <c:pt idx="357">
                  <c:v>44679.333344907405</c:v>
                </c:pt>
                <c:pt idx="358">
                  <c:v>44680.333402777775</c:v>
                </c:pt>
                <c:pt idx="359">
                  <c:v>44681.333854166667</c:v>
                </c:pt>
                <c:pt idx="360">
                  <c:v>44682.333796296298</c:v>
                </c:pt>
                <c:pt idx="361">
                  <c:v>44683.333344907405</c:v>
                </c:pt>
                <c:pt idx="362">
                  <c:v>44684.33388888889</c:v>
                </c:pt>
                <c:pt idx="363">
                  <c:v>44685.333495370367</c:v>
                </c:pt>
                <c:pt idx="364">
                  <c:v>44686.333402777775</c:v>
                </c:pt>
                <c:pt idx="365">
                  <c:v>44687.333425925928</c:v>
                </c:pt>
              </c:numCache>
            </c:numRef>
          </c:cat>
          <c:val>
            <c:numRef>
              <c:f>'USDCETH_0.3% Charts'!$AF$2:$AF$386</c:f>
              <c:numCache>
                <c:formatCode>General</c:formatCode>
                <c:ptCount val="385"/>
                <c:pt idx="29">
                  <c:v>4.9770059835294367E-2</c:v>
                </c:pt>
                <c:pt idx="30">
                  <c:v>5.1919442445219177E-2</c:v>
                </c:pt>
                <c:pt idx="31">
                  <c:v>5.1856018594228503E-2</c:v>
                </c:pt>
                <c:pt idx="32">
                  <c:v>4.7885400955899771E-2</c:v>
                </c:pt>
                <c:pt idx="33">
                  <c:v>3.2922160307489623E-2</c:v>
                </c:pt>
                <c:pt idx="34">
                  <c:v>3.4760676494787646E-2</c:v>
                </c:pt>
                <c:pt idx="35">
                  <c:v>2.7443362920291925E-2</c:v>
                </c:pt>
                <c:pt idx="36">
                  <c:v>3.7343774600581137E-2</c:v>
                </c:pt>
                <c:pt idx="37">
                  <c:v>2.230424842243095E-2</c:v>
                </c:pt>
                <c:pt idx="38">
                  <c:v>2.3369226197347048E-2</c:v>
                </c:pt>
                <c:pt idx="39">
                  <c:v>3.1686170772861288E-2</c:v>
                </c:pt>
                <c:pt idx="40">
                  <c:v>4.2273270641431715E-2</c:v>
                </c:pt>
                <c:pt idx="41">
                  <c:v>3.5403359594355033E-2</c:v>
                </c:pt>
                <c:pt idx="42">
                  <c:v>4.9809977891871027E-2</c:v>
                </c:pt>
                <c:pt idx="43">
                  <c:v>4.3236623737499924E-2</c:v>
                </c:pt>
                <c:pt idx="44">
                  <c:v>3.5747163967003059E-2</c:v>
                </c:pt>
                <c:pt idx="45">
                  <c:v>3.5107373340566239E-2</c:v>
                </c:pt>
                <c:pt idx="46">
                  <c:v>3.5811491202335066E-2</c:v>
                </c:pt>
                <c:pt idx="47">
                  <c:v>2.7133472883253962E-2</c:v>
                </c:pt>
                <c:pt idx="48">
                  <c:v>2.6448566531007689E-2</c:v>
                </c:pt>
                <c:pt idx="49">
                  <c:v>1.0357940631816831E-2</c:v>
                </c:pt>
                <c:pt idx="50">
                  <c:v>4.3395379523691879E-3</c:v>
                </c:pt>
                <c:pt idx="51">
                  <c:v>1.4397438878009261E-2</c:v>
                </c:pt>
                <c:pt idx="52">
                  <c:v>1.4603319645076107E-2</c:v>
                </c:pt>
                <c:pt idx="53">
                  <c:v>1.8941671276242467E-2</c:v>
                </c:pt>
                <c:pt idx="54">
                  <c:v>2.0098203970720041E-2</c:v>
                </c:pt>
                <c:pt idx="55">
                  <c:v>1.8477697399813753E-2</c:v>
                </c:pt>
                <c:pt idx="56">
                  <c:v>1.6448749521235095E-2</c:v>
                </c:pt>
                <c:pt idx="57">
                  <c:v>9.9954477405215236E-3</c:v>
                </c:pt>
                <c:pt idx="58">
                  <c:v>1.9239730744061267E-2</c:v>
                </c:pt>
                <c:pt idx="59">
                  <c:v>2.0896115971323459E-2</c:v>
                </c:pt>
                <c:pt idx="60">
                  <c:v>1.7085592001809591E-2</c:v>
                </c:pt>
                <c:pt idx="61">
                  <c:v>1.7609965708517583E-2</c:v>
                </c:pt>
                <c:pt idx="62">
                  <c:v>2.2584609133553535E-2</c:v>
                </c:pt>
                <c:pt idx="63">
                  <c:v>1.9543116054239418E-2</c:v>
                </c:pt>
                <c:pt idx="64">
                  <c:v>1.6835213023298046E-2</c:v>
                </c:pt>
                <c:pt idx="65">
                  <c:v>1.9568571655560474E-2</c:v>
                </c:pt>
                <c:pt idx="66">
                  <c:v>2.0717604868991435E-2</c:v>
                </c:pt>
                <c:pt idx="67">
                  <c:v>2.0273396201037741E-2</c:v>
                </c:pt>
                <c:pt idx="68">
                  <c:v>1.6085014551645571E-2</c:v>
                </c:pt>
                <c:pt idx="69">
                  <c:v>1.254950372142738E-2</c:v>
                </c:pt>
                <c:pt idx="70">
                  <c:v>1.427936229529414E-2</c:v>
                </c:pt>
                <c:pt idx="71">
                  <c:v>1.3545677842908166E-2</c:v>
                </c:pt>
                <c:pt idx="72">
                  <c:v>1.6755844203287129E-2</c:v>
                </c:pt>
                <c:pt idx="73">
                  <c:v>2.045591972576255E-2</c:v>
                </c:pt>
                <c:pt idx="74">
                  <c:v>2.0912696696462119E-2</c:v>
                </c:pt>
                <c:pt idx="75">
                  <c:v>2.0718793268052593E-2</c:v>
                </c:pt>
                <c:pt idx="76">
                  <c:v>1.8475868664602046E-2</c:v>
                </c:pt>
                <c:pt idx="77">
                  <c:v>1.7397685230999382E-2</c:v>
                </c:pt>
                <c:pt idx="78">
                  <c:v>1.5970366198555741E-2</c:v>
                </c:pt>
                <c:pt idx="79">
                  <c:v>1.3279684723022323E-2</c:v>
                </c:pt>
                <c:pt idx="80">
                  <c:v>1.1392120620466573E-2</c:v>
                </c:pt>
                <c:pt idx="81">
                  <c:v>7.8117582560566223E-3</c:v>
                </c:pt>
                <c:pt idx="82">
                  <c:v>1.3142713725190491E-2</c:v>
                </c:pt>
                <c:pt idx="83">
                  <c:v>1.4579538680211446E-2</c:v>
                </c:pt>
                <c:pt idx="84">
                  <c:v>1.4174129964254156E-2</c:v>
                </c:pt>
                <c:pt idx="85">
                  <c:v>1.3330512013101536E-2</c:v>
                </c:pt>
                <c:pt idx="86">
                  <c:v>9.5306594305173409E-3</c:v>
                </c:pt>
                <c:pt idx="87">
                  <c:v>1.0823175258663831E-2</c:v>
                </c:pt>
                <c:pt idx="88">
                  <c:v>1.2910008666162653E-2</c:v>
                </c:pt>
                <c:pt idx="89">
                  <c:v>1.2295166510005284E-2</c:v>
                </c:pt>
                <c:pt idx="90">
                  <c:v>1.3577417559724969E-2</c:v>
                </c:pt>
                <c:pt idx="91">
                  <c:v>1.3403101314068966E-2</c:v>
                </c:pt>
                <c:pt idx="92">
                  <c:v>7.359281745520363E-3</c:v>
                </c:pt>
                <c:pt idx="93">
                  <c:v>-5.7408433066026276E-3</c:v>
                </c:pt>
                <c:pt idx="94">
                  <c:v>-4.1167224384001111E-3</c:v>
                </c:pt>
                <c:pt idx="95">
                  <c:v>-4.1196445787200497E-3</c:v>
                </c:pt>
                <c:pt idx="96">
                  <c:v>-4.7262416082110015E-3</c:v>
                </c:pt>
                <c:pt idx="97">
                  <c:v>-1.270703440933707E-2</c:v>
                </c:pt>
                <c:pt idx="98">
                  <c:v>-1.1311341409953823E-2</c:v>
                </c:pt>
                <c:pt idx="99">
                  <c:v>-1.829430299843493E-2</c:v>
                </c:pt>
                <c:pt idx="100">
                  <c:v>-2.2769629516825374E-2</c:v>
                </c:pt>
                <c:pt idx="101">
                  <c:v>-1.9555547337315571E-2</c:v>
                </c:pt>
                <c:pt idx="102">
                  <c:v>-1.8774408042179558E-2</c:v>
                </c:pt>
                <c:pt idx="103">
                  <c:v>-2.3713410307851901E-2</c:v>
                </c:pt>
                <c:pt idx="104">
                  <c:v>-2.043766400701863E-2</c:v>
                </c:pt>
                <c:pt idx="105">
                  <c:v>-1.0146930674119314E-2</c:v>
                </c:pt>
                <c:pt idx="106">
                  <c:v>-1.4270989102288856E-2</c:v>
                </c:pt>
                <c:pt idx="107">
                  <c:v>-1.1884352963757561E-2</c:v>
                </c:pt>
                <c:pt idx="108">
                  <c:v>-7.8945193788926282E-3</c:v>
                </c:pt>
                <c:pt idx="109">
                  <c:v>-9.7679391276092042E-3</c:v>
                </c:pt>
                <c:pt idx="110">
                  <c:v>-1.2496946710505163E-3</c:v>
                </c:pt>
                <c:pt idx="111">
                  <c:v>7.1018561036884087E-4</c:v>
                </c:pt>
                <c:pt idx="112">
                  <c:v>3.0763792460362094E-3</c:v>
                </c:pt>
                <c:pt idx="113">
                  <c:v>1.3731074432343782E-4</c:v>
                </c:pt>
                <c:pt idx="114">
                  <c:v>-5.2198787785506795E-5</c:v>
                </c:pt>
                <c:pt idx="115">
                  <c:v>4.1031308376993092E-3</c:v>
                </c:pt>
                <c:pt idx="116">
                  <c:v>6.883931031026691E-3</c:v>
                </c:pt>
                <c:pt idx="117">
                  <c:v>2.7995318844529216E-3</c:v>
                </c:pt>
                <c:pt idx="118">
                  <c:v>-2.8777400044377455E-3</c:v>
                </c:pt>
                <c:pt idx="119">
                  <c:v>-8.376876405942979E-3</c:v>
                </c:pt>
                <c:pt idx="120">
                  <c:v>-8.5350531514106764E-3</c:v>
                </c:pt>
                <c:pt idx="121">
                  <c:v>-3.0898409448499864E-3</c:v>
                </c:pt>
                <c:pt idx="122">
                  <c:v>5.0186357598391851E-3</c:v>
                </c:pt>
                <c:pt idx="123">
                  <c:v>5.2639555799234294E-3</c:v>
                </c:pt>
                <c:pt idx="124">
                  <c:v>7.5598085330641496E-3</c:v>
                </c:pt>
                <c:pt idx="125">
                  <c:v>1.3164369099758266E-2</c:v>
                </c:pt>
                <c:pt idx="126">
                  <c:v>1.3220581586817159E-2</c:v>
                </c:pt>
                <c:pt idx="127">
                  <c:v>1.3089869190350933E-2</c:v>
                </c:pt>
                <c:pt idx="128">
                  <c:v>1.4519410709438185E-2</c:v>
                </c:pt>
                <c:pt idx="129">
                  <c:v>1.3966657948758066E-2</c:v>
                </c:pt>
                <c:pt idx="130">
                  <c:v>1.4609260037782734E-2</c:v>
                </c:pt>
                <c:pt idx="131">
                  <c:v>1.5161880170619035E-2</c:v>
                </c:pt>
                <c:pt idx="132">
                  <c:v>1.5013918167090523E-2</c:v>
                </c:pt>
                <c:pt idx="133">
                  <c:v>1.0815110575700615E-2</c:v>
                </c:pt>
                <c:pt idx="134">
                  <c:v>1.2530961157953158E-2</c:v>
                </c:pt>
                <c:pt idx="135">
                  <c:v>1.3985924069832567E-2</c:v>
                </c:pt>
                <c:pt idx="136">
                  <c:v>1.4874896225004264E-2</c:v>
                </c:pt>
                <c:pt idx="137">
                  <c:v>1.4439774631360036E-2</c:v>
                </c:pt>
                <c:pt idx="138">
                  <c:v>1.5911271809207594E-2</c:v>
                </c:pt>
                <c:pt idx="139">
                  <c:v>1.657897990650925E-2</c:v>
                </c:pt>
                <c:pt idx="140">
                  <c:v>1.9416448565331867E-2</c:v>
                </c:pt>
                <c:pt idx="141">
                  <c:v>1.931492502557508E-2</c:v>
                </c:pt>
                <c:pt idx="142">
                  <c:v>2.0017751861481248E-2</c:v>
                </c:pt>
                <c:pt idx="143">
                  <c:v>2.0513036930013717E-2</c:v>
                </c:pt>
                <c:pt idx="144">
                  <c:v>2.1544599233120243E-2</c:v>
                </c:pt>
                <c:pt idx="145">
                  <c:v>2.1206990946851523E-2</c:v>
                </c:pt>
                <c:pt idx="146">
                  <c:v>1.9502508636487281E-2</c:v>
                </c:pt>
                <c:pt idx="147">
                  <c:v>1.8289406978304168E-2</c:v>
                </c:pt>
                <c:pt idx="148">
                  <c:v>1.9643906595122385E-2</c:v>
                </c:pt>
                <c:pt idx="149">
                  <c:v>1.8095814726935444E-2</c:v>
                </c:pt>
                <c:pt idx="150">
                  <c:v>1.9149558978672321E-2</c:v>
                </c:pt>
                <c:pt idx="151">
                  <c:v>1.7930231368086469E-2</c:v>
                </c:pt>
                <c:pt idx="152">
                  <c:v>1.9752904524021897E-2</c:v>
                </c:pt>
                <c:pt idx="153">
                  <c:v>2.0626321549452653E-2</c:v>
                </c:pt>
                <c:pt idx="154">
                  <c:v>2.1645655104033379E-2</c:v>
                </c:pt>
                <c:pt idx="155">
                  <c:v>1.885619589705545E-2</c:v>
                </c:pt>
                <c:pt idx="156">
                  <c:v>1.8145881571687505E-2</c:v>
                </c:pt>
                <c:pt idx="157">
                  <c:v>1.734597859542153E-2</c:v>
                </c:pt>
                <c:pt idx="158">
                  <c:v>1.7509491732434546E-2</c:v>
                </c:pt>
                <c:pt idx="159">
                  <c:v>1.7097957650927809E-2</c:v>
                </c:pt>
                <c:pt idx="160">
                  <c:v>1.7172251440392694E-2</c:v>
                </c:pt>
                <c:pt idx="161">
                  <c:v>1.5878236004501778E-2</c:v>
                </c:pt>
                <c:pt idx="162">
                  <c:v>1.6653040311399359E-2</c:v>
                </c:pt>
                <c:pt idx="163">
                  <c:v>1.4425782880801652E-2</c:v>
                </c:pt>
                <c:pt idx="164">
                  <c:v>1.5316022788554262E-2</c:v>
                </c:pt>
                <c:pt idx="165">
                  <c:v>1.4986005704997307E-2</c:v>
                </c:pt>
                <c:pt idx="166">
                  <c:v>1.0321208209023602E-2</c:v>
                </c:pt>
                <c:pt idx="167">
                  <c:v>9.6855805715687637E-3</c:v>
                </c:pt>
                <c:pt idx="168">
                  <c:v>-2.3309443580707967E-3</c:v>
                </c:pt>
                <c:pt idx="169">
                  <c:v>2.1440938739476501E-3</c:v>
                </c:pt>
                <c:pt idx="170">
                  <c:v>-2.5834231441065336E-3</c:v>
                </c:pt>
                <c:pt idx="171">
                  <c:v>-1.2124112498678175E-3</c:v>
                </c:pt>
                <c:pt idx="172">
                  <c:v>-2.1271276491043878E-3</c:v>
                </c:pt>
                <c:pt idx="173">
                  <c:v>-1.1781649314848153E-3</c:v>
                </c:pt>
                <c:pt idx="174">
                  <c:v>-1.3411718457619903E-3</c:v>
                </c:pt>
                <c:pt idx="175">
                  <c:v>-4.0937047706659513E-3</c:v>
                </c:pt>
                <c:pt idx="176">
                  <c:v>-6.9382287994167458E-3</c:v>
                </c:pt>
                <c:pt idx="177">
                  <c:v>-9.35709767655446E-5</c:v>
                </c:pt>
                <c:pt idx="178">
                  <c:v>3.015456023511609E-3</c:v>
                </c:pt>
                <c:pt idx="179">
                  <c:v>3.482416793656018E-3</c:v>
                </c:pt>
                <c:pt idx="180">
                  <c:v>-2.1683892168899987E-4</c:v>
                </c:pt>
                <c:pt idx="181">
                  <c:v>3.4403531351157035E-4</c:v>
                </c:pt>
                <c:pt idx="182">
                  <c:v>-5.3546848275520809E-5</c:v>
                </c:pt>
                <c:pt idx="183">
                  <c:v>3.4885828199828772E-3</c:v>
                </c:pt>
                <c:pt idx="184">
                  <c:v>5.0711779992216321E-3</c:v>
                </c:pt>
                <c:pt idx="185">
                  <c:v>2.0493182802228116E-3</c:v>
                </c:pt>
                <c:pt idx="186">
                  <c:v>-6.8525491599191746E-4</c:v>
                </c:pt>
                <c:pt idx="187">
                  <c:v>-1.4032823860511412E-3</c:v>
                </c:pt>
                <c:pt idx="188">
                  <c:v>-2.867444925812479E-3</c:v>
                </c:pt>
                <c:pt idx="189">
                  <c:v>-2.5203564825936331E-3</c:v>
                </c:pt>
                <c:pt idx="190">
                  <c:v>3.8254045592809316E-3</c:v>
                </c:pt>
                <c:pt idx="191">
                  <c:v>4.0353343018140198E-3</c:v>
                </c:pt>
                <c:pt idx="192">
                  <c:v>5.7653889909190514E-3</c:v>
                </c:pt>
                <c:pt idx="193">
                  <c:v>3.5085135014929492E-3</c:v>
                </c:pt>
                <c:pt idx="194">
                  <c:v>7.600820941680908E-3</c:v>
                </c:pt>
                <c:pt idx="195">
                  <c:v>8.2713766584729953E-3</c:v>
                </c:pt>
                <c:pt idx="196">
                  <c:v>8.9611875777442229E-3</c:v>
                </c:pt>
                <c:pt idx="197">
                  <c:v>1.036161183515949E-2</c:v>
                </c:pt>
                <c:pt idx="198">
                  <c:v>9.5855728260587636E-3</c:v>
                </c:pt>
                <c:pt idx="199">
                  <c:v>8.8843715155846326E-3</c:v>
                </c:pt>
                <c:pt idx="200">
                  <c:v>9.4173891912368024E-3</c:v>
                </c:pt>
                <c:pt idx="201">
                  <c:v>9.8922126041474101E-3</c:v>
                </c:pt>
                <c:pt idx="202">
                  <c:v>1.0028070806839651E-2</c:v>
                </c:pt>
                <c:pt idx="203">
                  <c:v>8.7853331634784038E-3</c:v>
                </c:pt>
                <c:pt idx="204">
                  <c:v>1.058334643931591E-2</c:v>
                </c:pt>
                <c:pt idx="205">
                  <c:v>1.0248804224908925E-2</c:v>
                </c:pt>
                <c:pt idx="206">
                  <c:v>9.9943259090027325E-3</c:v>
                </c:pt>
                <c:pt idx="207">
                  <c:v>1.0566982047189644E-2</c:v>
                </c:pt>
                <c:pt idx="208">
                  <c:v>9.8343538178069512E-3</c:v>
                </c:pt>
                <c:pt idx="209">
                  <c:v>1.0389098198563707E-2</c:v>
                </c:pt>
                <c:pt idx="210">
                  <c:v>1.0849691373491899E-2</c:v>
                </c:pt>
                <c:pt idx="211">
                  <c:v>1.0867432731356708E-2</c:v>
                </c:pt>
                <c:pt idx="212">
                  <c:v>9.7357698161617545E-3</c:v>
                </c:pt>
                <c:pt idx="213">
                  <c:v>1.2127618014803554E-2</c:v>
                </c:pt>
                <c:pt idx="214">
                  <c:v>1.0810369647984652E-2</c:v>
                </c:pt>
                <c:pt idx="215">
                  <c:v>1.2070630759682954E-2</c:v>
                </c:pt>
                <c:pt idx="216">
                  <c:v>1.1601362071909094E-2</c:v>
                </c:pt>
                <c:pt idx="217">
                  <c:v>1.2331390332124714E-2</c:v>
                </c:pt>
                <c:pt idx="218">
                  <c:v>1.1789867994944858E-2</c:v>
                </c:pt>
                <c:pt idx="219">
                  <c:v>1.184388373823908E-2</c:v>
                </c:pt>
                <c:pt idx="220">
                  <c:v>1.1807255517069182E-2</c:v>
                </c:pt>
                <c:pt idx="221">
                  <c:v>1.1507639605031539E-2</c:v>
                </c:pt>
                <c:pt idx="222">
                  <c:v>8.9990681421081575E-3</c:v>
                </c:pt>
                <c:pt idx="223">
                  <c:v>1.3295765564241835E-2</c:v>
                </c:pt>
                <c:pt idx="224">
                  <c:v>1.3595507710302712E-2</c:v>
                </c:pt>
                <c:pt idx="225">
                  <c:v>1.2688651751038726E-2</c:v>
                </c:pt>
                <c:pt idx="226">
                  <c:v>1.3568005787875093E-2</c:v>
                </c:pt>
                <c:pt idx="227">
                  <c:v>1.2171400273445432E-2</c:v>
                </c:pt>
                <c:pt idx="228">
                  <c:v>1.1502625296189173E-2</c:v>
                </c:pt>
                <c:pt idx="229">
                  <c:v>1.3809861360171372E-2</c:v>
                </c:pt>
                <c:pt idx="230">
                  <c:v>1.3436388082278095E-2</c:v>
                </c:pt>
                <c:pt idx="231">
                  <c:v>1.2451028977597867E-2</c:v>
                </c:pt>
                <c:pt idx="232">
                  <c:v>1.2177942369706818E-2</c:v>
                </c:pt>
                <c:pt idx="233">
                  <c:v>1.296984239160115E-2</c:v>
                </c:pt>
                <c:pt idx="234">
                  <c:v>1.1922314430024672E-2</c:v>
                </c:pt>
                <c:pt idx="235">
                  <c:v>1.1696289412169714E-2</c:v>
                </c:pt>
                <c:pt idx="236">
                  <c:v>1.038687996448906E-2</c:v>
                </c:pt>
                <c:pt idx="237">
                  <c:v>6.0952826005735705E-3</c:v>
                </c:pt>
                <c:pt idx="238">
                  <c:v>5.3234203209482356E-3</c:v>
                </c:pt>
                <c:pt idx="239">
                  <c:v>7.348650886693564E-3</c:v>
                </c:pt>
                <c:pt idx="240">
                  <c:v>5.5026133447473313E-3</c:v>
                </c:pt>
                <c:pt idx="241">
                  <c:v>1.1063549927538663E-2</c:v>
                </c:pt>
                <c:pt idx="242">
                  <c:v>8.7136743580484843E-3</c:v>
                </c:pt>
                <c:pt idx="243">
                  <c:v>9.2613079276793187E-3</c:v>
                </c:pt>
                <c:pt idx="244">
                  <c:v>6.7883759899507456E-3</c:v>
                </c:pt>
                <c:pt idx="245">
                  <c:v>4.036101623724031E-3</c:v>
                </c:pt>
                <c:pt idx="246">
                  <c:v>2.8670659767906503E-3</c:v>
                </c:pt>
                <c:pt idx="247">
                  <c:v>4.4966384395033199E-3</c:v>
                </c:pt>
                <c:pt idx="248">
                  <c:v>4.8968082792042456E-3</c:v>
                </c:pt>
                <c:pt idx="249">
                  <c:v>2.6548371334655929E-3</c:v>
                </c:pt>
                <c:pt idx="250">
                  <c:v>5.4464875726281115E-3</c:v>
                </c:pt>
                <c:pt idx="251">
                  <c:v>1.0315129293770431E-2</c:v>
                </c:pt>
                <c:pt idx="252">
                  <c:v>1.0644887238655532E-2</c:v>
                </c:pt>
                <c:pt idx="253">
                  <c:v>6.2779410315620954E-3</c:v>
                </c:pt>
                <c:pt idx="254">
                  <c:v>9.3706147667054207E-3</c:v>
                </c:pt>
                <c:pt idx="255">
                  <c:v>8.4778757713706021E-3</c:v>
                </c:pt>
                <c:pt idx="256">
                  <c:v>7.6265166505364856E-3</c:v>
                </c:pt>
                <c:pt idx="257">
                  <c:v>7.9110525606871374E-3</c:v>
                </c:pt>
                <c:pt idx="258">
                  <c:v>3.5152971340055572E-3</c:v>
                </c:pt>
                <c:pt idx="259">
                  <c:v>4.6835145885033569E-3</c:v>
                </c:pt>
                <c:pt idx="260">
                  <c:v>-1.1768500828605033E-3</c:v>
                </c:pt>
                <c:pt idx="261">
                  <c:v>-9.8078176049672949E-3</c:v>
                </c:pt>
                <c:pt idx="262">
                  <c:v>-8.1379457314344483E-3</c:v>
                </c:pt>
                <c:pt idx="263">
                  <c:v>-2.0397928947230803E-2</c:v>
                </c:pt>
                <c:pt idx="264">
                  <c:v>-6.0445193271209119E-3</c:v>
                </c:pt>
                <c:pt idx="265">
                  <c:v>3.6421879497425813E-3</c:v>
                </c:pt>
                <c:pt idx="266">
                  <c:v>6.2937128096736128E-3</c:v>
                </c:pt>
                <c:pt idx="267">
                  <c:v>2.7871177298461891E-3</c:v>
                </c:pt>
                <c:pt idx="268">
                  <c:v>1.0403044319623689E-2</c:v>
                </c:pt>
                <c:pt idx="269">
                  <c:v>1.3597589226746587E-2</c:v>
                </c:pt>
                <c:pt idx="270">
                  <c:v>9.8344077104772776E-3</c:v>
                </c:pt>
                <c:pt idx="271">
                  <c:v>1.6184955761465503E-2</c:v>
                </c:pt>
                <c:pt idx="272">
                  <c:v>1.7338385368994791E-2</c:v>
                </c:pt>
                <c:pt idx="273">
                  <c:v>1.2711500225962569E-2</c:v>
                </c:pt>
                <c:pt idx="274">
                  <c:v>2.6645939612209624E-2</c:v>
                </c:pt>
                <c:pt idx="275">
                  <c:v>2.7518847516921463E-2</c:v>
                </c:pt>
                <c:pt idx="276">
                  <c:v>2.605853368192812E-2</c:v>
                </c:pt>
                <c:pt idx="277">
                  <c:v>2.613580727470266E-2</c:v>
                </c:pt>
                <c:pt idx="278">
                  <c:v>2.5902816399272277E-2</c:v>
                </c:pt>
                <c:pt idx="279">
                  <c:v>2.5995243920710509E-2</c:v>
                </c:pt>
                <c:pt idx="280">
                  <c:v>2.5757150066994638E-2</c:v>
                </c:pt>
                <c:pt idx="281">
                  <c:v>2.5331123804748445E-2</c:v>
                </c:pt>
                <c:pt idx="282">
                  <c:v>2.5215480774532839E-2</c:v>
                </c:pt>
                <c:pt idx="283">
                  <c:v>2.5054610292996493E-2</c:v>
                </c:pt>
                <c:pt idx="284">
                  <c:v>2.4464646774881471E-2</c:v>
                </c:pt>
                <c:pt idx="285">
                  <c:v>2.6518512975944208E-2</c:v>
                </c:pt>
                <c:pt idx="286">
                  <c:v>2.6858261997798172E-2</c:v>
                </c:pt>
                <c:pt idx="287">
                  <c:v>2.6960364784616164E-2</c:v>
                </c:pt>
                <c:pt idx="288">
                  <c:v>2.6207103277728239E-2</c:v>
                </c:pt>
                <c:pt idx="289">
                  <c:v>2.7299643386124339E-2</c:v>
                </c:pt>
                <c:pt idx="290">
                  <c:v>2.4163101158258371E-2</c:v>
                </c:pt>
                <c:pt idx="291">
                  <c:v>1.8235709402271816E-2</c:v>
                </c:pt>
                <c:pt idx="292">
                  <c:v>1.3551146097429578E-2</c:v>
                </c:pt>
                <c:pt idx="293">
                  <c:v>1.3151129689020102E-2</c:v>
                </c:pt>
                <c:pt idx="294">
                  <c:v>1.4304642041644389E-2</c:v>
                </c:pt>
                <c:pt idx="295">
                  <c:v>1.4432230189471262E-2</c:v>
                </c:pt>
                <c:pt idx="296">
                  <c:v>1.2318831976252609E-2</c:v>
                </c:pt>
                <c:pt idx="297">
                  <c:v>1.3536818868915113E-2</c:v>
                </c:pt>
                <c:pt idx="298">
                  <c:v>1.4882160794173815E-2</c:v>
                </c:pt>
                <c:pt idx="299">
                  <c:v>1.2425113497971818E-2</c:v>
                </c:pt>
                <c:pt idx="300">
                  <c:v>1.4878493949489702E-2</c:v>
                </c:pt>
                <c:pt idx="301">
                  <c:v>1.5425278529676456E-2</c:v>
                </c:pt>
                <c:pt idx="302">
                  <c:v>1.5377173745477757E-2</c:v>
                </c:pt>
                <c:pt idx="303">
                  <c:v>1.4834234693428483E-2</c:v>
                </c:pt>
                <c:pt idx="304">
                  <c:v>1.251520765054237E-2</c:v>
                </c:pt>
                <c:pt idx="305">
                  <c:v>1.1811585448134432E-2</c:v>
                </c:pt>
                <c:pt idx="306">
                  <c:v>1.1430747876285841E-2</c:v>
                </c:pt>
                <c:pt idx="307">
                  <c:v>1.4151175976985009E-2</c:v>
                </c:pt>
                <c:pt idx="308">
                  <c:v>1.0533419320164716E-2</c:v>
                </c:pt>
                <c:pt idx="309">
                  <c:v>1.0558774312591224E-2</c:v>
                </c:pt>
                <c:pt idx="310">
                  <c:v>1.1341455224618047E-2</c:v>
                </c:pt>
                <c:pt idx="311">
                  <c:v>1.3164771958566579E-2</c:v>
                </c:pt>
                <c:pt idx="312">
                  <c:v>1.2638151803050723E-2</c:v>
                </c:pt>
                <c:pt idx="313">
                  <c:v>1.2165191217660354E-2</c:v>
                </c:pt>
                <c:pt idx="314">
                  <c:v>1.2273458558274886E-2</c:v>
                </c:pt>
                <c:pt idx="315">
                  <c:v>1.3080965291174973E-2</c:v>
                </c:pt>
                <c:pt idx="316">
                  <c:v>1.3695874345604375E-2</c:v>
                </c:pt>
                <c:pt idx="317">
                  <c:v>1.4673613822693721E-2</c:v>
                </c:pt>
                <c:pt idx="318">
                  <c:v>1.400556270719755E-2</c:v>
                </c:pt>
                <c:pt idx="319">
                  <c:v>1.2951234300294878E-2</c:v>
                </c:pt>
                <c:pt idx="320">
                  <c:v>1.1487386658485477E-2</c:v>
                </c:pt>
                <c:pt idx="321">
                  <c:v>1.2031312060406529E-2</c:v>
                </c:pt>
                <c:pt idx="322">
                  <c:v>1.1902266417889384E-2</c:v>
                </c:pt>
                <c:pt idx="323">
                  <c:v>2.5449243096784535E-3</c:v>
                </c:pt>
                <c:pt idx="324">
                  <c:v>9.3887146325655202E-3</c:v>
                </c:pt>
                <c:pt idx="325">
                  <c:v>8.3307644013752569E-3</c:v>
                </c:pt>
                <c:pt idx="326">
                  <c:v>6.4627126936485091E-3</c:v>
                </c:pt>
                <c:pt idx="327">
                  <c:v>7.4766088574529377E-4</c:v>
                </c:pt>
                <c:pt idx="328">
                  <c:v>6.5700401309607415E-3</c:v>
                </c:pt>
                <c:pt idx="329">
                  <c:v>6.5764691106988682E-3</c:v>
                </c:pt>
                <c:pt idx="330">
                  <c:v>6.36264652367724E-3</c:v>
                </c:pt>
                <c:pt idx="331">
                  <c:v>4.7046494227709346E-4</c:v>
                </c:pt>
                <c:pt idx="332">
                  <c:v>-1.2152353444556674E-3</c:v>
                </c:pt>
                <c:pt idx="333">
                  <c:v>-2.4428205406906711E-3</c:v>
                </c:pt>
                <c:pt idx="334">
                  <c:v>-4.7280348127842764E-3</c:v>
                </c:pt>
                <c:pt idx="335">
                  <c:v>-2.3825890034334662E-4</c:v>
                </c:pt>
                <c:pt idx="336">
                  <c:v>3.7795314725419527E-3</c:v>
                </c:pt>
                <c:pt idx="337">
                  <c:v>6.6842332917760316E-4</c:v>
                </c:pt>
                <c:pt idx="338">
                  <c:v>2.5382416812174124E-3</c:v>
                </c:pt>
                <c:pt idx="339">
                  <c:v>1.6034442850054731E-4</c:v>
                </c:pt>
                <c:pt idx="340">
                  <c:v>3.2193328538920873E-3</c:v>
                </c:pt>
                <c:pt idx="341">
                  <c:v>3.8020684368162971E-3</c:v>
                </c:pt>
                <c:pt idx="342">
                  <c:v>3.1793034601959036E-3</c:v>
                </c:pt>
                <c:pt idx="343">
                  <c:v>4.7378356335885385E-3</c:v>
                </c:pt>
                <c:pt idx="344">
                  <c:v>5.6358965685368023E-3</c:v>
                </c:pt>
                <c:pt idx="345">
                  <c:v>5.4646984793476072E-3</c:v>
                </c:pt>
                <c:pt idx="346">
                  <c:v>6.1328820864310352E-3</c:v>
                </c:pt>
                <c:pt idx="347">
                  <c:v>6.5232324180168888E-3</c:v>
                </c:pt>
                <c:pt idx="348">
                  <c:v>6.235816776606562E-3</c:v>
                </c:pt>
                <c:pt idx="349">
                  <c:v>6.1823537087539737E-3</c:v>
                </c:pt>
                <c:pt idx="350">
                  <c:v>5.6785707840911748E-3</c:v>
                </c:pt>
                <c:pt idx="351">
                  <c:v>6.133126162312097E-3</c:v>
                </c:pt>
                <c:pt idx="352">
                  <c:v>5.5193754127014216E-3</c:v>
                </c:pt>
                <c:pt idx="353">
                  <c:v>5.4776954618691587E-3</c:v>
                </c:pt>
                <c:pt idx="354">
                  <c:v>4.7855953380540051E-3</c:v>
                </c:pt>
                <c:pt idx="355">
                  <c:v>4.6547967494754428E-3</c:v>
                </c:pt>
                <c:pt idx="356">
                  <c:v>2.164168072856798E-3</c:v>
                </c:pt>
                <c:pt idx="357">
                  <c:v>3.5398059535358684E-3</c:v>
                </c:pt>
                <c:pt idx="358">
                  <c:v>2.2875205409937927E-3</c:v>
                </c:pt>
                <c:pt idx="359">
                  <c:v>3.8398658550624631E-3</c:v>
                </c:pt>
                <c:pt idx="360">
                  <c:v>-1.7523390723483967E-4</c:v>
                </c:pt>
                <c:pt idx="361">
                  <c:v>5.9627570507236882E-4</c:v>
                </c:pt>
                <c:pt idx="362">
                  <c:v>1.52104643997375E-3</c:v>
                </c:pt>
                <c:pt idx="363">
                  <c:v>1.5371676644797549E-3</c:v>
                </c:pt>
                <c:pt idx="364">
                  <c:v>4.8120439013055183E-3</c:v>
                </c:pt>
                <c:pt idx="365">
                  <c:v>2.0637344015232983E-3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9298688"/>
        <c:axId val="779299864"/>
      </c:lineChart>
      <c:dateAx>
        <c:axId val="77929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99864"/>
        <c:crosses val="autoZero"/>
        <c:auto val="1"/>
        <c:lblOffset val="100"/>
        <c:baseTimeUnit val="days"/>
      </c:dateAx>
      <c:valAx>
        <c:axId val="77929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9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[2]Sheet4!$A$1:$A$107</c:f>
              <c:strCache>
                <c:ptCount val="107"/>
                <c:pt idx="0">
                  <c:v>Datetime</c:v>
                </c:pt>
                <c:pt idx="1">
                  <c:v>1/26/2022</c:v>
                </c:pt>
                <c:pt idx="2">
                  <c:v>1/27/2022</c:v>
                </c:pt>
                <c:pt idx="3">
                  <c:v>1/28/2022</c:v>
                </c:pt>
                <c:pt idx="4">
                  <c:v>1/29/2022</c:v>
                </c:pt>
                <c:pt idx="5">
                  <c:v>1/30/2022</c:v>
                </c:pt>
                <c:pt idx="6">
                  <c:v>1/31/2022</c:v>
                </c:pt>
                <c:pt idx="7">
                  <c:v>2/1/2022</c:v>
                </c:pt>
                <c:pt idx="8">
                  <c:v>2/2/2022</c:v>
                </c:pt>
                <c:pt idx="9">
                  <c:v>2/3/2022</c:v>
                </c:pt>
                <c:pt idx="10">
                  <c:v>2/4/2022</c:v>
                </c:pt>
                <c:pt idx="11">
                  <c:v>2/5/2022</c:v>
                </c:pt>
                <c:pt idx="12">
                  <c:v>2/6/2022</c:v>
                </c:pt>
                <c:pt idx="13">
                  <c:v>2/7/2022</c:v>
                </c:pt>
                <c:pt idx="14">
                  <c:v>2/8/2022</c:v>
                </c:pt>
                <c:pt idx="15">
                  <c:v>2/9/2022</c:v>
                </c:pt>
                <c:pt idx="16">
                  <c:v>2/10/2022</c:v>
                </c:pt>
                <c:pt idx="17">
                  <c:v>2/11/2022</c:v>
                </c:pt>
                <c:pt idx="18">
                  <c:v>2/12/2022</c:v>
                </c:pt>
                <c:pt idx="19">
                  <c:v>2/13/2022</c:v>
                </c:pt>
                <c:pt idx="20">
                  <c:v>2/14/2022</c:v>
                </c:pt>
                <c:pt idx="21">
                  <c:v>2/15/2022</c:v>
                </c:pt>
                <c:pt idx="22">
                  <c:v>2/16/2022</c:v>
                </c:pt>
                <c:pt idx="23">
                  <c:v>2/17/2022</c:v>
                </c:pt>
                <c:pt idx="24">
                  <c:v>2/18/2022</c:v>
                </c:pt>
                <c:pt idx="25">
                  <c:v>2/19/2022</c:v>
                </c:pt>
                <c:pt idx="26">
                  <c:v>2/20/2022</c:v>
                </c:pt>
                <c:pt idx="27">
                  <c:v>2/21/2022</c:v>
                </c:pt>
                <c:pt idx="28">
                  <c:v>2/22/2022</c:v>
                </c:pt>
                <c:pt idx="29">
                  <c:v>2/23/2022</c:v>
                </c:pt>
                <c:pt idx="30">
                  <c:v>2/24/2022</c:v>
                </c:pt>
                <c:pt idx="31">
                  <c:v>2/25/2022</c:v>
                </c:pt>
                <c:pt idx="32">
                  <c:v>2/26/2022</c:v>
                </c:pt>
                <c:pt idx="33">
                  <c:v>2/27/2022</c:v>
                </c:pt>
                <c:pt idx="34">
                  <c:v>2/28/2022</c:v>
                </c:pt>
                <c:pt idx="35">
                  <c:v>3/1/2022</c:v>
                </c:pt>
                <c:pt idx="36">
                  <c:v>3/2/2022</c:v>
                </c:pt>
                <c:pt idx="37">
                  <c:v>3/3/2022</c:v>
                </c:pt>
                <c:pt idx="38">
                  <c:v>3/4/2022</c:v>
                </c:pt>
                <c:pt idx="39">
                  <c:v>3/5/2022</c:v>
                </c:pt>
                <c:pt idx="40">
                  <c:v>3/6/2022</c:v>
                </c:pt>
                <c:pt idx="41">
                  <c:v>3/7/2022</c:v>
                </c:pt>
                <c:pt idx="42">
                  <c:v>3/8/2022</c:v>
                </c:pt>
                <c:pt idx="43">
                  <c:v>3/9/2022</c:v>
                </c:pt>
                <c:pt idx="44">
                  <c:v>3/10/2022</c:v>
                </c:pt>
                <c:pt idx="45">
                  <c:v>3/11/2022</c:v>
                </c:pt>
                <c:pt idx="46">
                  <c:v>3/12/2022</c:v>
                </c:pt>
                <c:pt idx="47">
                  <c:v>3/13/2022</c:v>
                </c:pt>
                <c:pt idx="48">
                  <c:v>3/14/2022</c:v>
                </c:pt>
                <c:pt idx="49">
                  <c:v>3/15/2022</c:v>
                </c:pt>
                <c:pt idx="50">
                  <c:v>3/16/2022</c:v>
                </c:pt>
                <c:pt idx="51">
                  <c:v>3/17/2022</c:v>
                </c:pt>
                <c:pt idx="52">
                  <c:v>3/18/2022</c:v>
                </c:pt>
                <c:pt idx="53">
                  <c:v>3/19/2022</c:v>
                </c:pt>
                <c:pt idx="54">
                  <c:v>3/20/2022</c:v>
                </c:pt>
                <c:pt idx="55">
                  <c:v>3/21/2022</c:v>
                </c:pt>
                <c:pt idx="56">
                  <c:v>3/22/2022</c:v>
                </c:pt>
                <c:pt idx="57">
                  <c:v>3/23/2022</c:v>
                </c:pt>
                <c:pt idx="58">
                  <c:v>3/24/2022</c:v>
                </c:pt>
                <c:pt idx="59">
                  <c:v>3/25/2022</c:v>
                </c:pt>
                <c:pt idx="60">
                  <c:v>3/26/2022</c:v>
                </c:pt>
                <c:pt idx="61">
                  <c:v>3/27/2022</c:v>
                </c:pt>
                <c:pt idx="62">
                  <c:v>3/28/2022</c:v>
                </c:pt>
                <c:pt idx="63">
                  <c:v>3/29/2022</c:v>
                </c:pt>
                <c:pt idx="64">
                  <c:v>3/30/2022</c:v>
                </c:pt>
                <c:pt idx="65">
                  <c:v>3/31/2022</c:v>
                </c:pt>
                <c:pt idx="66">
                  <c:v>4/1/2022</c:v>
                </c:pt>
                <c:pt idx="67">
                  <c:v>4/2/2022</c:v>
                </c:pt>
                <c:pt idx="68">
                  <c:v>4/3/2022</c:v>
                </c:pt>
                <c:pt idx="69">
                  <c:v>4/4/2022</c:v>
                </c:pt>
                <c:pt idx="70">
                  <c:v>4/5/2022</c:v>
                </c:pt>
                <c:pt idx="71">
                  <c:v>4/6/2022</c:v>
                </c:pt>
                <c:pt idx="72">
                  <c:v>4/7/2022</c:v>
                </c:pt>
                <c:pt idx="73">
                  <c:v>4/8/2022</c:v>
                </c:pt>
                <c:pt idx="74">
                  <c:v>4/9/2022</c:v>
                </c:pt>
                <c:pt idx="75">
                  <c:v>4/10/2022</c:v>
                </c:pt>
                <c:pt idx="76">
                  <c:v>4/11/2022</c:v>
                </c:pt>
                <c:pt idx="77">
                  <c:v>4/12/2022</c:v>
                </c:pt>
                <c:pt idx="78">
                  <c:v>4/13/2022</c:v>
                </c:pt>
                <c:pt idx="79">
                  <c:v>4/14/2022</c:v>
                </c:pt>
                <c:pt idx="80">
                  <c:v>4/15/2022</c:v>
                </c:pt>
                <c:pt idx="81">
                  <c:v>4/16/2022</c:v>
                </c:pt>
                <c:pt idx="82">
                  <c:v>4/17/2022</c:v>
                </c:pt>
                <c:pt idx="83">
                  <c:v>4/18/2022</c:v>
                </c:pt>
                <c:pt idx="84">
                  <c:v>4/19/2022</c:v>
                </c:pt>
                <c:pt idx="85">
                  <c:v>4/20/2022</c:v>
                </c:pt>
                <c:pt idx="86">
                  <c:v>4/21/2022</c:v>
                </c:pt>
                <c:pt idx="87">
                  <c:v>4/22/2022</c:v>
                </c:pt>
                <c:pt idx="88">
                  <c:v>4/23/2022</c:v>
                </c:pt>
                <c:pt idx="89">
                  <c:v>4/24/2022</c:v>
                </c:pt>
                <c:pt idx="90">
                  <c:v>4/25/2022</c:v>
                </c:pt>
                <c:pt idx="91">
                  <c:v>4/26/2022</c:v>
                </c:pt>
                <c:pt idx="92">
                  <c:v>4/27/2022</c:v>
                </c:pt>
                <c:pt idx="93">
                  <c:v>4/28/2022</c:v>
                </c:pt>
                <c:pt idx="94">
                  <c:v>4/29/2022</c:v>
                </c:pt>
                <c:pt idx="95">
                  <c:v>4/30/2022</c:v>
                </c:pt>
                <c:pt idx="96">
                  <c:v>5/1/2022</c:v>
                </c:pt>
                <c:pt idx="97">
                  <c:v>5/2/2022</c:v>
                </c:pt>
                <c:pt idx="98">
                  <c:v>5/3/2022</c:v>
                </c:pt>
                <c:pt idx="99">
                  <c:v>5/4/2022</c:v>
                </c:pt>
                <c:pt idx="100">
                  <c:v>5/5/2022</c:v>
                </c:pt>
                <c:pt idx="101">
                  <c:v>5/6/2022</c:v>
                </c:pt>
                <c:pt idx="102">
                  <c:v>5/7/2022</c:v>
                </c:pt>
                <c:pt idx="103">
                  <c:v>5/8/2022</c:v>
                </c:pt>
                <c:pt idx="104">
                  <c:v>5/9/2022</c:v>
                </c:pt>
                <c:pt idx="105">
                  <c:v>5/10/2022</c:v>
                </c:pt>
                <c:pt idx="106">
                  <c:v>5/11/2022</c:v>
                </c:pt>
              </c:strCache>
            </c:strRef>
          </c:cat>
          <c:val>
            <c:numRef>
              <c:f>[2]Sheet4!$T$1:$T$107</c:f>
              <c:numCache>
                <c:formatCode>General</c:formatCode>
                <c:ptCount val="107"/>
                <c:pt idx="0">
                  <c:v>0</c:v>
                </c:pt>
                <c:pt idx="1">
                  <c:v>3.489083083887401E-4</c:v>
                </c:pt>
                <c:pt idx="2">
                  <c:v>7.1592791899743879E-4</c:v>
                </c:pt>
                <c:pt idx="3">
                  <c:v>1.0602543586897273E-3</c:v>
                </c:pt>
                <c:pt idx="4">
                  <c:v>1.4558384782550338E-3</c:v>
                </c:pt>
                <c:pt idx="5">
                  <c:v>1.4433552752339818E-3</c:v>
                </c:pt>
                <c:pt idx="6">
                  <c:v>1.7879409257439693E-3</c:v>
                </c:pt>
                <c:pt idx="7">
                  <c:v>8.4851609202063472E-4</c:v>
                </c:pt>
                <c:pt idx="8">
                  <c:v>8.436405961276261E-4</c:v>
                </c:pt>
                <c:pt idx="9">
                  <c:v>2.1226704149297504E-3</c:v>
                </c:pt>
                <c:pt idx="10">
                  <c:v>6.234577960055887E-4</c:v>
                </c:pt>
                <c:pt idx="11">
                  <c:v>-1.5332022839750215E-3</c:v>
                </c:pt>
                <c:pt idx="12">
                  <c:v>-1.2957981957784082E-3</c:v>
                </c:pt>
                <c:pt idx="13">
                  <c:v>-1.9545531890319268E-3</c:v>
                </c:pt>
                <c:pt idx="14">
                  <c:v>-2.0961029157974265E-3</c:v>
                </c:pt>
                <c:pt idx="15">
                  <c:v>-3.2314566689805035E-3</c:v>
                </c:pt>
                <c:pt idx="16">
                  <c:v>-4.8551654334407779E-3</c:v>
                </c:pt>
                <c:pt idx="17">
                  <c:v>-1.8412215865450943E-3</c:v>
                </c:pt>
                <c:pt idx="18">
                  <c:v>1.1249047792638578E-3</c:v>
                </c:pt>
                <c:pt idx="19">
                  <c:v>1.1338681906032377E-3</c:v>
                </c:pt>
                <c:pt idx="20">
                  <c:v>1.4596192230156291E-3</c:v>
                </c:pt>
                <c:pt idx="21">
                  <c:v>-1.0181415631590474E-3</c:v>
                </c:pt>
                <c:pt idx="22">
                  <c:v>-1.5651960916273078E-3</c:v>
                </c:pt>
                <c:pt idx="23">
                  <c:v>-3.7125025431494763E-4</c:v>
                </c:pt>
                <c:pt idx="24">
                  <c:v>2.32838079838249E-3</c:v>
                </c:pt>
                <c:pt idx="25">
                  <c:v>4.2035053597264671E-3</c:v>
                </c:pt>
                <c:pt idx="26">
                  <c:v>4.8412421265842109E-3</c:v>
                </c:pt>
                <c:pt idx="27">
                  <c:v>5.2575015549063409E-3</c:v>
                </c:pt>
                <c:pt idx="28">
                  <c:v>5.6972829205341746E-3</c:v>
                </c:pt>
                <c:pt idx="29">
                  <c:v>5.2195890840966985E-3</c:v>
                </c:pt>
                <c:pt idx="30">
                  <c:v>6.0181913712697988E-3</c:v>
                </c:pt>
                <c:pt idx="31">
                  <c:v>6.4381047035451111E-3</c:v>
                </c:pt>
                <c:pt idx="32">
                  <c:v>6.2756378087156506E-3</c:v>
                </c:pt>
                <c:pt idx="33">
                  <c:v>5.9750409554073514E-3</c:v>
                </c:pt>
                <c:pt idx="34">
                  <c:v>7.5041743025205943E-3</c:v>
                </c:pt>
                <c:pt idx="35">
                  <c:v>5.2153059059905083E-3</c:v>
                </c:pt>
                <c:pt idx="36">
                  <c:v>4.8671727663727182E-3</c:v>
                </c:pt>
                <c:pt idx="37">
                  <c:v>5.8562174636413999E-3</c:v>
                </c:pt>
                <c:pt idx="38">
                  <c:v>7.791559839863238E-3</c:v>
                </c:pt>
                <c:pt idx="39">
                  <c:v>8.5230432323852856E-3</c:v>
                </c:pt>
                <c:pt idx="40">
                  <c:v>8.7742992142412213E-3</c:v>
                </c:pt>
                <c:pt idx="41">
                  <c:v>9.2451222719118764E-3</c:v>
                </c:pt>
                <c:pt idx="42">
                  <c:v>9.5469156791783139E-3</c:v>
                </c:pt>
                <c:pt idx="43">
                  <c:v>8.9761192624966402E-3</c:v>
                </c:pt>
                <c:pt idx="44">
                  <c:v>9.9342855300188493E-3</c:v>
                </c:pt>
                <c:pt idx="45">
                  <c:v>9.9872071137090401E-3</c:v>
                </c:pt>
                <c:pt idx="46">
                  <c:v>1.0345077504140043E-2</c:v>
                </c:pt>
                <c:pt idx="47">
                  <c:v>1.0391131097651218E-2</c:v>
                </c:pt>
                <c:pt idx="48">
                  <c:v>1.0498122545850697E-2</c:v>
                </c:pt>
                <c:pt idx="49">
                  <c:v>1.0671517298650901E-2</c:v>
                </c:pt>
                <c:pt idx="50">
                  <c:v>1.0432042582431356E-2</c:v>
                </c:pt>
                <c:pt idx="51">
                  <c:v>1.0001091104935966E-2</c:v>
                </c:pt>
                <c:pt idx="52">
                  <c:v>9.8100847542377245E-3</c:v>
                </c:pt>
                <c:pt idx="53">
                  <c:v>8.3385470392376426E-3</c:v>
                </c:pt>
                <c:pt idx="54">
                  <c:v>8.953008774444049E-3</c:v>
                </c:pt>
                <c:pt idx="55">
                  <c:v>8.988823903539167E-3</c:v>
                </c:pt>
                <c:pt idx="56">
                  <c:v>7.755549159736308E-3</c:v>
                </c:pt>
                <c:pt idx="57">
                  <c:v>9.4070541684514453E-3</c:v>
                </c:pt>
                <c:pt idx="58">
                  <c:v>8.2244352893907635E-3</c:v>
                </c:pt>
                <c:pt idx="59">
                  <c:v>6.3436802334542186E-3</c:v>
                </c:pt>
                <c:pt idx="60">
                  <c:v>7.1380991230343138E-3</c:v>
                </c:pt>
                <c:pt idx="61">
                  <c:v>6.5749813356015263E-3</c:v>
                </c:pt>
                <c:pt idx="62">
                  <c:v>2.8170227248525137E-3</c:v>
                </c:pt>
                <c:pt idx="63">
                  <c:v>5.8739336832358546E-4</c:v>
                </c:pt>
                <c:pt idx="64">
                  <c:v>2.0446164308278725E-3</c:v>
                </c:pt>
                <c:pt idx="65">
                  <c:v>1.7658207503359336E-3</c:v>
                </c:pt>
                <c:pt idx="66">
                  <c:v>4.6780262608079326E-3</c:v>
                </c:pt>
                <c:pt idx="67">
                  <c:v>5.1238849207724257E-4</c:v>
                </c:pt>
                <c:pt idx="68">
                  <c:v>5.4597420881119518E-4</c:v>
                </c:pt>
                <c:pt idx="69">
                  <c:v>9.0113907473576838E-4</c:v>
                </c:pt>
                <c:pt idx="70">
                  <c:v>-4.0733767236433849E-4</c:v>
                </c:pt>
                <c:pt idx="71">
                  <c:v>5.186651120193897E-3</c:v>
                </c:pt>
                <c:pt idx="72">
                  <c:v>7.0312646089014663E-3</c:v>
                </c:pt>
                <c:pt idx="73">
                  <c:v>6.2072423156829259E-3</c:v>
                </c:pt>
                <c:pt idx="74">
                  <c:v>7.5004014752086956E-3</c:v>
                </c:pt>
                <c:pt idx="75">
                  <c:v>6.7336483234341493E-3</c:v>
                </c:pt>
                <c:pt idx="76">
                  <c:v>1.0496810212606178E-2</c:v>
                </c:pt>
                <c:pt idx="77">
                  <c:v>1.1009632379320955E-2</c:v>
                </c:pt>
                <c:pt idx="78">
                  <c:v>1.1132742005660168E-2</c:v>
                </c:pt>
                <c:pt idx="79">
                  <c:v>1.0396049849283884E-2</c:v>
                </c:pt>
                <c:pt idx="80">
                  <c:v>1.1384556867750195E-2</c:v>
                </c:pt>
                <c:pt idx="81">
                  <c:v>1.1529276720948722E-2</c:v>
                </c:pt>
                <c:pt idx="82">
                  <c:v>1.1447880637363017E-2</c:v>
                </c:pt>
                <c:pt idx="83">
                  <c:v>1.3449342434605827E-2</c:v>
                </c:pt>
                <c:pt idx="84">
                  <c:v>1.1561489003971692E-2</c:v>
                </c:pt>
                <c:pt idx="85">
                  <c:v>1.022508210876838E-2</c:v>
                </c:pt>
                <c:pt idx="86">
                  <c:v>1.0330891830143685E-2</c:v>
                </c:pt>
                <c:pt idx="87">
                  <c:v>1.2642853970440848E-2</c:v>
                </c:pt>
                <c:pt idx="88">
                  <c:v>1.3867969261366797E-2</c:v>
                </c:pt>
                <c:pt idx="89">
                  <c:v>1.3887193448335555E-2</c:v>
                </c:pt>
                <c:pt idx="90">
                  <c:v>1.5353316395638084E-2</c:v>
                </c:pt>
                <c:pt idx="91">
                  <c:v>1.3467698515953641E-2</c:v>
                </c:pt>
                <c:pt idx="92">
                  <c:v>1.5345390217525345E-2</c:v>
                </c:pt>
                <c:pt idx="93">
                  <c:v>1.4797882036818866E-2</c:v>
                </c:pt>
                <c:pt idx="94">
                  <c:v>1.602095106079604E-2</c:v>
                </c:pt>
                <c:pt idx="95">
                  <c:v>1.620350076028032E-2</c:v>
                </c:pt>
                <c:pt idx="96">
                  <c:v>1.7087767466815063E-2</c:v>
                </c:pt>
                <c:pt idx="97">
                  <c:v>1.684951498597842E-2</c:v>
                </c:pt>
                <c:pt idx="98">
                  <c:v>1.662401383972556E-2</c:v>
                </c:pt>
                <c:pt idx="99">
                  <c:v>1.6401569066224475E-2</c:v>
                </c:pt>
                <c:pt idx="100">
                  <c:v>1.5802285645918568E-2</c:v>
                </c:pt>
                <c:pt idx="101">
                  <c:v>1.8481676712506667E-2</c:v>
                </c:pt>
                <c:pt idx="102">
                  <c:v>1.8599128403224974E-2</c:v>
                </c:pt>
                <c:pt idx="103">
                  <c:v>1.9561867502562613E-2</c:v>
                </c:pt>
                <c:pt idx="104">
                  <c:v>1.9733583601832638E-2</c:v>
                </c:pt>
                <c:pt idx="105">
                  <c:v>4.4698707524849279E-2</c:v>
                </c:pt>
                <c:pt idx="106">
                  <c:v>0.13629306663305663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8602856"/>
        <c:axId val="858600112"/>
      </c:lineChart>
      <c:catAx>
        <c:axId val="85860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00112"/>
        <c:crosses val="autoZero"/>
        <c:auto val="1"/>
        <c:lblAlgn val="ctr"/>
        <c:lblOffset val="100"/>
        <c:noMultiLvlLbl val="0"/>
      </c:catAx>
      <c:valAx>
        <c:axId val="85860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0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[2]Sheet6!$T$1</c:f>
              <c:strCache>
                <c:ptCount val="1"/>
                <c:pt idx="0">
                  <c:v>impLoss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[2]Sheet6!$A$2:$A$126</c:f>
              <c:numCache>
                <c:formatCode>m/d/yyyy\ h:mm</c:formatCode>
                <c:ptCount val="125"/>
                <c:pt idx="0">
                  <c:v>44587.333379629628</c:v>
                </c:pt>
                <c:pt idx="1">
                  <c:v>44588.333333333336</c:v>
                </c:pt>
                <c:pt idx="2">
                  <c:v>44589.333344907405</c:v>
                </c:pt>
                <c:pt idx="3">
                  <c:v>44590.333356481482</c:v>
                </c:pt>
                <c:pt idx="4">
                  <c:v>44591.333379629628</c:v>
                </c:pt>
                <c:pt idx="5">
                  <c:v>44592.333611111113</c:v>
                </c:pt>
                <c:pt idx="6">
                  <c:v>44593.333356481482</c:v>
                </c:pt>
                <c:pt idx="7">
                  <c:v>44594.333553240744</c:v>
                </c:pt>
                <c:pt idx="8">
                  <c:v>44595.333460648151</c:v>
                </c:pt>
                <c:pt idx="9">
                  <c:v>44596.333402777775</c:v>
                </c:pt>
                <c:pt idx="10">
                  <c:v>44597.333344907405</c:v>
                </c:pt>
                <c:pt idx="11">
                  <c:v>44598.333425925928</c:v>
                </c:pt>
                <c:pt idx="12">
                  <c:v>44599.333402777775</c:v>
                </c:pt>
                <c:pt idx="13">
                  <c:v>44600.333564814813</c:v>
                </c:pt>
                <c:pt idx="14">
                  <c:v>44601.333391203705</c:v>
                </c:pt>
                <c:pt idx="15">
                  <c:v>44602.333495370367</c:v>
                </c:pt>
                <c:pt idx="16">
                  <c:v>44603.333460648151</c:v>
                </c:pt>
                <c:pt idx="17">
                  <c:v>44604.333483796298</c:v>
                </c:pt>
                <c:pt idx="18">
                  <c:v>44605.333356481482</c:v>
                </c:pt>
                <c:pt idx="19">
                  <c:v>44606.333472222221</c:v>
                </c:pt>
                <c:pt idx="20">
                  <c:v>44607.333472222221</c:v>
                </c:pt>
                <c:pt idx="21">
                  <c:v>44608.333599537036</c:v>
                </c:pt>
                <c:pt idx="22">
                  <c:v>44609.333368055559</c:v>
                </c:pt>
                <c:pt idx="23">
                  <c:v>44610.333553240744</c:v>
                </c:pt>
                <c:pt idx="24">
                  <c:v>44611.333460648151</c:v>
                </c:pt>
                <c:pt idx="25">
                  <c:v>44612.333495370367</c:v>
                </c:pt>
                <c:pt idx="26">
                  <c:v>44613.333379629628</c:v>
                </c:pt>
                <c:pt idx="27">
                  <c:v>44614.333391203705</c:v>
                </c:pt>
                <c:pt idx="28">
                  <c:v>44615.333518518521</c:v>
                </c:pt>
                <c:pt idx="29">
                  <c:v>44616.333333333336</c:v>
                </c:pt>
                <c:pt idx="30">
                  <c:v>44617.333368055559</c:v>
                </c:pt>
                <c:pt idx="31">
                  <c:v>44618.333449074074</c:v>
                </c:pt>
                <c:pt idx="32">
                  <c:v>44619.333449074074</c:v>
                </c:pt>
                <c:pt idx="33">
                  <c:v>44620.333402777775</c:v>
                </c:pt>
                <c:pt idx="34">
                  <c:v>44621.333854166667</c:v>
                </c:pt>
                <c:pt idx="35">
                  <c:v>44622.333483796298</c:v>
                </c:pt>
                <c:pt idx="36">
                  <c:v>44623.333495370367</c:v>
                </c:pt>
                <c:pt idx="37">
                  <c:v>44624.333356481482</c:v>
                </c:pt>
                <c:pt idx="38">
                  <c:v>44625.333437499998</c:v>
                </c:pt>
                <c:pt idx="39">
                  <c:v>44626.333425925928</c:v>
                </c:pt>
                <c:pt idx="40">
                  <c:v>44627.333333333336</c:v>
                </c:pt>
                <c:pt idx="41">
                  <c:v>44628.333368055559</c:v>
                </c:pt>
                <c:pt idx="42">
                  <c:v>44629.333333333336</c:v>
                </c:pt>
                <c:pt idx="43">
                  <c:v>44630.33357638889</c:v>
                </c:pt>
                <c:pt idx="44">
                  <c:v>44631.333414351851</c:v>
                </c:pt>
                <c:pt idx="45">
                  <c:v>44632.334016203706</c:v>
                </c:pt>
                <c:pt idx="46">
                  <c:v>44633.333425925928</c:v>
                </c:pt>
                <c:pt idx="47">
                  <c:v>44634.333749999998</c:v>
                </c:pt>
                <c:pt idx="48">
                  <c:v>44635.333379629628</c:v>
                </c:pt>
                <c:pt idx="49">
                  <c:v>44636.333379629628</c:v>
                </c:pt>
                <c:pt idx="50">
                  <c:v>44637.333587962959</c:v>
                </c:pt>
                <c:pt idx="51">
                  <c:v>44638.33384259259</c:v>
                </c:pt>
                <c:pt idx="52">
                  <c:v>44639.333356481482</c:v>
                </c:pt>
                <c:pt idx="53">
                  <c:v>44640.333379629628</c:v>
                </c:pt>
                <c:pt idx="54">
                  <c:v>44641.333333333336</c:v>
                </c:pt>
                <c:pt idx="55">
                  <c:v>44642.333344907405</c:v>
                </c:pt>
                <c:pt idx="56">
                  <c:v>44643.333379629628</c:v>
                </c:pt>
                <c:pt idx="57">
                  <c:v>44644.333402777775</c:v>
                </c:pt>
                <c:pt idx="58">
                  <c:v>44645.333344907405</c:v>
                </c:pt>
                <c:pt idx="59">
                  <c:v>44646.333460648151</c:v>
                </c:pt>
                <c:pt idx="60">
                  <c:v>44647.333368055559</c:v>
                </c:pt>
                <c:pt idx="61">
                  <c:v>44648.333854166667</c:v>
                </c:pt>
                <c:pt idx="62">
                  <c:v>44649.333425925928</c:v>
                </c:pt>
                <c:pt idx="63">
                  <c:v>44650.333506944444</c:v>
                </c:pt>
                <c:pt idx="64">
                  <c:v>44651.333379629628</c:v>
                </c:pt>
                <c:pt idx="65">
                  <c:v>44652.333541666667</c:v>
                </c:pt>
                <c:pt idx="66">
                  <c:v>44653.333506944444</c:v>
                </c:pt>
                <c:pt idx="67">
                  <c:v>44654.333356481482</c:v>
                </c:pt>
                <c:pt idx="68">
                  <c:v>44655.333368055559</c:v>
                </c:pt>
                <c:pt idx="69">
                  <c:v>44656.333368055559</c:v>
                </c:pt>
                <c:pt idx="70">
                  <c:v>44657.333333333336</c:v>
                </c:pt>
                <c:pt idx="71">
                  <c:v>44658.333506944444</c:v>
                </c:pt>
                <c:pt idx="72">
                  <c:v>44659.333437499998</c:v>
                </c:pt>
                <c:pt idx="73">
                  <c:v>44660.333414351851</c:v>
                </c:pt>
                <c:pt idx="74">
                  <c:v>44661.333344907405</c:v>
                </c:pt>
                <c:pt idx="75">
                  <c:v>44662.333391203705</c:v>
                </c:pt>
                <c:pt idx="76">
                  <c:v>44663.333634259259</c:v>
                </c:pt>
                <c:pt idx="77">
                  <c:v>44664.333333333336</c:v>
                </c:pt>
                <c:pt idx="78">
                  <c:v>44665.333680555559</c:v>
                </c:pt>
                <c:pt idx="79">
                  <c:v>44666.333391203705</c:v>
                </c:pt>
                <c:pt idx="80">
                  <c:v>44667.33357638889</c:v>
                </c:pt>
                <c:pt idx="81">
                  <c:v>44668.333449074074</c:v>
                </c:pt>
                <c:pt idx="82">
                  <c:v>44669.333819444444</c:v>
                </c:pt>
                <c:pt idx="83">
                  <c:v>44670.333379629628</c:v>
                </c:pt>
                <c:pt idx="84">
                  <c:v>44671.333495370367</c:v>
                </c:pt>
                <c:pt idx="85">
                  <c:v>44672.333425925928</c:v>
                </c:pt>
                <c:pt idx="86">
                  <c:v>44673.333414351851</c:v>
                </c:pt>
                <c:pt idx="87">
                  <c:v>44674.333865740744</c:v>
                </c:pt>
                <c:pt idx="88">
                  <c:v>44675.333368055559</c:v>
                </c:pt>
                <c:pt idx="89">
                  <c:v>44676.333333333336</c:v>
                </c:pt>
                <c:pt idx="90">
                  <c:v>44677.333807870367</c:v>
                </c:pt>
                <c:pt idx="91">
                  <c:v>44678.333344907405</c:v>
                </c:pt>
                <c:pt idx="92">
                  <c:v>44679.333344907405</c:v>
                </c:pt>
                <c:pt idx="93">
                  <c:v>44680.333402777775</c:v>
                </c:pt>
                <c:pt idx="94">
                  <c:v>44681.333854166667</c:v>
                </c:pt>
                <c:pt idx="95">
                  <c:v>44682.333796296298</c:v>
                </c:pt>
                <c:pt idx="96">
                  <c:v>44683.333344907405</c:v>
                </c:pt>
                <c:pt idx="97">
                  <c:v>44684.33388888889</c:v>
                </c:pt>
                <c:pt idx="98">
                  <c:v>44685.333495370367</c:v>
                </c:pt>
                <c:pt idx="99">
                  <c:v>44686.333402777775</c:v>
                </c:pt>
                <c:pt idx="100">
                  <c:v>44687.333425925928</c:v>
                </c:pt>
                <c:pt idx="101">
                  <c:v>44688.333356481482</c:v>
                </c:pt>
                <c:pt idx="102">
                  <c:v>44689.333425925928</c:v>
                </c:pt>
                <c:pt idx="103">
                  <c:v>44690.333344907405</c:v>
                </c:pt>
                <c:pt idx="104">
                  <c:v>44691.333379629628</c:v>
                </c:pt>
                <c:pt idx="105">
                  <c:v>44692.333391203705</c:v>
                </c:pt>
                <c:pt idx="106">
                  <c:v>44693.333414351851</c:v>
                </c:pt>
                <c:pt idx="107">
                  <c:v>44694.333553240744</c:v>
                </c:pt>
                <c:pt idx="108">
                  <c:v>44695.333657407406</c:v>
                </c:pt>
                <c:pt idx="109">
                  <c:v>44696.333425925928</c:v>
                </c:pt>
                <c:pt idx="110">
                  <c:v>44697.333460648151</c:v>
                </c:pt>
                <c:pt idx="111">
                  <c:v>44698.333460648151</c:v>
                </c:pt>
                <c:pt idx="112">
                  <c:v>44699.333645833336</c:v>
                </c:pt>
                <c:pt idx="113">
                  <c:v>44700.333796296298</c:v>
                </c:pt>
                <c:pt idx="114">
                  <c:v>44701.333414351851</c:v>
                </c:pt>
                <c:pt idx="115">
                  <c:v>44702.333402777775</c:v>
                </c:pt>
                <c:pt idx="116">
                  <c:v>44703.333472222221</c:v>
                </c:pt>
                <c:pt idx="117">
                  <c:v>44704.333368055559</c:v>
                </c:pt>
                <c:pt idx="118">
                  <c:v>44705.33353009259</c:v>
                </c:pt>
                <c:pt idx="119">
                  <c:v>44706.333622685182</c:v>
                </c:pt>
                <c:pt idx="120">
                  <c:v>44707.333634259259</c:v>
                </c:pt>
                <c:pt idx="121">
                  <c:v>44708.33353009259</c:v>
                </c:pt>
                <c:pt idx="122">
                  <c:v>44709.333587962959</c:v>
                </c:pt>
                <c:pt idx="123">
                  <c:v>44710.333414351851</c:v>
                </c:pt>
                <c:pt idx="124">
                  <c:v>44711.333506944444</c:v>
                </c:pt>
              </c:numCache>
            </c:numRef>
          </c:cat>
          <c:val>
            <c:numRef>
              <c:f>[2]Sheet6!$T$2:$T$126</c:f>
              <c:numCache>
                <c:formatCode>General</c:formatCode>
                <c:ptCount val="125"/>
                <c:pt idx="0">
                  <c:v>2.2007651024713581E-4</c:v>
                </c:pt>
                <c:pt idx="1">
                  <c:v>3.2186633886244209E-4</c:v>
                </c:pt>
                <c:pt idx="2">
                  <c:v>-4.4283905661731682E-3</c:v>
                </c:pt>
                <c:pt idx="3">
                  <c:v>-4.0936105385858124E-3</c:v>
                </c:pt>
                <c:pt idx="4">
                  <c:v>-8.0516415704692257E-3</c:v>
                </c:pt>
                <c:pt idx="5">
                  <c:v>-1.1307421587497091E-2</c:v>
                </c:pt>
                <c:pt idx="6">
                  <c:v>-8.1291218371939422E-3</c:v>
                </c:pt>
                <c:pt idx="7">
                  <c:v>-6.9327671776507893E-3</c:v>
                </c:pt>
                <c:pt idx="8">
                  <c:v>-1.0049259495123475E-2</c:v>
                </c:pt>
                <c:pt idx="9">
                  <c:v>-1.0584974594983865E-2</c:v>
                </c:pt>
                <c:pt idx="10">
                  <c:v>-7.1967265463789287E-3</c:v>
                </c:pt>
                <c:pt idx="11">
                  <c:v>-9.0584727798721509E-3</c:v>
                </c:pt>
                <c:pt idx="12">
                  <c:v>-7.5212745578711049E-3</c:v>
                </c:pt>
                <c:pt idx="13">
                  <c:v>-8.5700757667499516E-3</c:v>
                </c:pt>
                <c:pt idx="14">
                  <c:v>-1.1397629124075936E-2</c:v>
                </c:pt>
                <c:pt idx="15">
                  <c:v>-1.2675987671744493E-2</c:v>
                </c:pt>
                <c:pt idx="16">
                  <c:v>-1.326528695046969E-2</c:v>
                </c:pt>
                <c:pt idx="17">
                  <c:v>-1.0992607786628583E-2</c:v>
                </c:pt>
                <c:pt idx="18">
                  <c:v>-8.7873341680088091E-3</c:v>
                </c:pt>
                <c:pt idx="19">
                  <c:v>-9.3609177928769549E-3</c:v>
                </c:pt>
                <c:pt idx="20">
                  <c:v>-8.9826141948718963E-3</c:v>
                </c:pt>
                <c:pt idx="21">
                  <c:v>-8.1678281756398796E-3</c:v>
                </c:pt>
                <c:pt idx="22">
                  <c:v>-8.4607433456501679E-3</c:v>
                </c:pt>
                <c:pt idx="23">
                  <c:v>-1.1020848543915163E-2</c:v>
                </c:pt>
                <c:pt idx="24">
                  <c:v>-6.6206007565788871E-3</c:v>
                </c:pt>
                <c:pt idx="25">
                  <c:v>-6.667784118701503E-3</c:v>
                </c:pt>
                <c:pt idx="26">
                  <c:v>-4.9609044576872652E-3</c:v>
                </c:pt>
                <c:pt idx="27">
                  <c:v>-7.3850183131862757E-4</c:v>
                </c:pt>
                <c:pt idx="28">
                  <c:v>3.8333905445058214E-3</c:v>
                </c:pt>
                <c:pt idx="29">
                  <c:v>5.3922010962152989E-3</c:v>
                </c:pt>
                <c:pt idx="30">
                  <c:v>8.2870223506799068E-3</c:v>
                </c:pt>
                <c:pt idx="31">
                  <c:v>8.7095967517634154E-3</c:v>
                </c:pt>
                <c:pt idx="32">
                  <c:v>9.1867867010408943E-3</c:v>
                </c:pt>
                <c:pt idx="33">
                  <c:v>9.2112488291400396E-3</c:v>
                </c:pt>
                <c:pt idx="34">
                  <c:v>6.5326946251338391E-3</c:v>
                </c:pt>
                <c:pt idx="35">
                  <c:v>8.5149684524949976E-3</c:v>
                </c:pt>
                <c:pt idx="36">
                  <c:v>7.4760024898468114E-3</c:v>
                </c:pt>
                <c:pt idx="37">
                  <c:v>5.8685190497436146E-3</c:v>
                </c:pt>
                <c:pt idx="38">
                  <c:v>8.6182726766095286E-3</c:v>
                </c:pt>
                <c:pt idx="39">
                  <c:v>9.7621508346030783E-3</c:v>
                </c:pt>
                <c:pt idx="40">
                  <c:v>9.2824165731855146E-3</c:v>
                </c:pt>
                <c:pt idx="41">
                  <c:v>1.0917663812558098E-2</c:v>
                </c:pt>
                <c:pt idx="42">
                  <c:v>2.479481335314393E-3</c:v>
                </c:pt>
                <c:pt idx="43">
                  <c:v>1.6608556209607439E-3</c:v>
                </c:pt>
                <c:pt idx="44">
                  <c:v>6.1902449957118577E-4</c:v>
                </c:pt>
                <c:pt idx="45">
                  <c:v>7.8743147867825769E-3</c:v>
                </c:pt>
                <c:pt idx="46">
                  <c:v>1.000459162260392E-2</c:v>
                </c:pt>
                <c:pt idx="47">
                  <c:v>4.628633762860046E-3</c:v>
                </c:pt>
                <c:pt idx="48">
                  <c:v>4.997718363575876E-3</c:v>
                </c:pt>
                <c:pt idx="49">
                  <c:v>1.1803775670891969E-2</c:v>
                </c:pt>
                <c:pt idx="50">
                  <c:v>1.4792957243122018E-2</c:v>
                </c:pt>
                <c:pt idx="51">
                  <c:v>1.896107955149029E-2</c:v>
                </c:pt>
                <c:pt idx="52">
                  <c:v>1.8169201772958221E-2</c:v>
                </c:pt>
                <c:pt idx="53">
                  <c:v>1.5660401717321637E-2</c:v>
                </c:pt>
                <c:pt idx="54">
                  <c:v>1.4141850598449413E-2</c:v>
                </c:pt>
                <c:pt idx="55">
                  <c:v>1.7653395074139988E-2</c:v>
                </c:pt>
                <c:pt idx="56">
                  <c:v>1.7576557911067825E-2</c:v>
                </c:pt>
                <c:pt idx="57">
                  <c:v>1.850620549471782E-2</c:v>
                </c:pt>
                <c:pt idx="58">
                  <c:v>2.0926569464147837E-2</c:v>
                </c:pt>
                <c:pt idx="59">
                  <c:v>2.1861388284365235E-2</c:v>
                </c:pt>
                <c:pt idx="60">
                  <c:v>2.1824352831303795E-2</c:v>
                </c:pt>
                <c:pt idx="61">
                  <c:v>2.2643198568103706E-2</c:v>
                </c:pt>
                <c:pt idx="62">
                  <c:v>2.1023761560373666E-2</c:v>
                </c:pt>
                <c:pt idx="63">
                  <c:v>1.943352759655248E-2</c:v>
                </c:pt>
                <c:pt idx="64">
                  <c:v>1.9302349427827714E-2</c:v>
                </c:pt>
                <c:pt idx="65">
                  <c:v>2.0120529238121465E-2</c:v>
                </c:pt>
                <c:pt idx="66">
                  <c:v>1.8671945613723873E-2</c:v>
                </c:pt>
                <c:pt idx="67">
                  <c:v>1.6924464314151733E-2</c:v>
                </c:pt>
                <c:pt idx="68">
                  <c:v>1.7695047776169481E-2</c:v>
                </c:pt>
                <c:pt idx="69">
                  <c:v>1.6483982288188148E-2</c:v>
                </c:pt>
                <c:pt idx="70">
                  <c:v>1.5414203454485742E-2</c:v>
                </c:pt>
                <c:pt idx="71">
                  <c:v>1.8090911909540264E-2</c:v>
                </c:pt>
                <c:pt idx="72">
                  <c:v>2.1955189657415941E-2</c:v>
                </c:pt>
                <c:pt idx="73">
                  <c:v>2.4127067223789878E-2</c:v>
                </c:pt>
                <c:pt idx="74">
                  <c:v>2.4875580911590589E-2</c:v>
                </c:pt>
                <c:pt idx="75">
                  <c:v>2.6213556663847948E-2</c:v>
                </c:pt>
                <c:pt idx="76">
                  <c:v>2.6668869476514034E-2</c:v>
                </c:pt>
                <c:pt idx="77">
                  <c:v>2.7329273798810449E-2</c:v>
                </c:pt>
                <c:pt idx="78">
                  <c:v>2.728751800047946E-2</c:v>
                </c:pt>
                <c:pt idx="79">
                  <c:v>2.8161675082370552E-2</c:v>
                </c:pt>
                <c:pt idx="80">
                  <c:v>2.8429147903375585E-2</c:v>
                </c:pt>
                <c:pt idx="81">
                  <c:v>2.8364581209825657E-2</c:v>
                </c:pt>
                <c:pt idx="82">
                  <c:v>2.8205797191587223E-2</c:v>
                </c:pt>
                <c:pt idx="83">
                  <c:v>2.5996654952966436E-2</c:v>
                </c:pt>
                <c:pt idx="84">
                  <c:v>2.4340080668164843E-2</c:v>
                </c:pt>
                <c:pt idx="85">
                  <c:v>2.4237739456157703E-2</c:v>
                </c:pt>
                <c:pt idx="86">
                  <c:v>2.3153241973092875E-2</c:v>
                </c:pt>
                <c:pt idx="87">
                  <c:v>2.3854366482032097E-2</c:v>
                </c:pt>
                <c:pt idx="88">
                  <c:v>2.4706075449866249E-2</c:v>
                </c:pt>
                <c:pt idx="89">
                  <c:v>2.4052720762875346E-2</c:v>
                </c:pt>
                <c:pt idx="90">
                  <c:v>2.2913528350832602E-2</c:v>
                </c:pt>
                <c:pt idx="91">
                  <c:v>2.4671957247326182E-2</c:v>
                </c:pt>
                <c:pt idx="92">
                  <c:v>2.4506570280846018E-2</c:v>
                </c:pt>
                <c:pt idx="93">
                  <c:v>2.6662282248705482E-2</c:v>
                </c:pt>
                <c:pt idx="94">
                  <c:v>2.7012249058239846E-2</c:v>
                </c:pt>
                <c:pt idx="95">
                  <c:v>2.8139912121197153E-2</c:v>
                </c:pt>
                <c:pt idx="96">
                  <c:v>2.7609959240108006E-2</c:v>
                </c:pt>
                <c:pt idx="97">
                  <c:v>2.7124001248286511E-2</c:v>
                </c:pt>
                <c:pt idx="98">
                  <c:v>2.6737825827081174E-2</c:v>
                </c:pt>
                <c:pt idx="99">
                  <c:v>2.7952050719963317E-2</c:v>
                </c:pt>
                <c:pt idx="100">
                  <c:v>2.7806845752715637E-2</c:v>
                </c:pt>
                <c:pt idx="101">
                  <c:v>3.0232744683105439E-2</c:v>
                </c:pt>
                <c:pt idx="102">
                  <c:v>3.2224794015673019E-2</c:v>
                </c:pt>
                <c:pt idx="103">
                  <c:v>3.3109185481144499E-2</c:v>
                </c:pt>
                <c:pt idx="104">
                  <c:v>1.0961341856699836E-2</c:v>
                </c:pt>
                <c:pt idx="105">
                  <c:v>-0.27841799696070679</c:v>
                </c:pt>
                <c:pt idx="106">
                  <c:v>-0.61930904691336108</c:v>
                </c:pt>
                <c:pt idx="107">
                  <c:v>-0.98192273259901441</c:v>
                </c:pt>
                <c:pt idx="108">
                  <c:v>-0.98428394088999349</c:v>
                </c:pt>
                <c:pt idx="109">
                  <c:v>-0.98602994990314896</c:v>
                </c:pt>
                <c:pt idx="110">
                  <c:v>-0.98802356594938656</c:v>
                </c:pt>
                <c:pt idx="111">
                  <c:v>-0.98778900008108128</c:v>
                </c:pt>
                <c:pt idx="112">
                  <c:v>-0.98779095785605675</c:v>
                </c:pt>
                <c:pt idx="113">
                  <c:v>-0.98916336691643658</c:v>
                </c:pt>
                <c:pt idx="114">
                  <c:v>-0.98926685426985572</c:v>
                </c:pt>
                <c:pt idx="115">
                  <c:v>-0.99025299258584831</c:v>
                </c:pt>
                <c:pt idx="116">
                  <c:v>-0.98664039660836078</c:v>
                </c:pt>
                <c:pt idx="117">
                  <c:v>-0.98738588041995567</c:v>
                </c:pt>
                <c:pt idx="118">
                  <c:v>-0.98803689022024188</c:v>
                </c:pt>
                <c:pt idx="119">
                  <c:v>-0.98772589548494105</c:v>
                </c:pt>
                <c:pt idx="120">
                  <c:v>-0.98808050279014503</c:v>
                </c:pt>
                <c:pt idx="121">
                  <c:v>-0.9885764985518809</c:v>
                </c:pt>
                <c:pt idx="122">
                  <c:v>-0.99042396240254937</c:v>
                </c:pt>
                <c:pt idx="123">
                  <c:v>-0.989614378098568</c:v>
                </c:pt>
                <c:pt idx="124">
                  <c:v>-0.98699954342516683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593000"/>
        <c:axId val="792593392"/>
      </c:lineChart>
      <c:dateAx>
        <c:axId val="792593000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593392"/>
        <c:crosses val="autoZero"/>
        <c:auto val="1"/>
        <c:lblOffset val="100"/>
        <c:baseTimeUnit val="days"/>
      </c:dateAx>
      <c:valAx>
        <c:axId val="79259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59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[2]Sheet6!$G$1</c:f>
              <c:strCache>
                <c:ptCount val="1"/>
                <c:pt idx="0">
                  <c:v>posCount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[2]Sheet6!$A$2:$A$126</c:f>
              <c:numCache>
                <c:formatCode>m/d/yyyy\ h:mm</c:formatCode>
                <c:ptCount val="125"/>
                <c:pt idx="0">
                  <c:v>44587.333379629628</c:v>
                </c:pt>
                <c:pt idx="1">
                  <c:v>44588.333333333336</c:v>
                </c:pt>
                <c:pt idx="2">
                  <c:v>44589.333344907405</c:v>
                </c:pt>
                <c:pt idx="3">
                  <c:v>44590.333356481482</c:v>
                </c:pt>
                <c:pt idx="4">
                  <c:v>44591.333379629628</c:v>
                </c:pt>
                <c:pt idx="5">
                  <c:v>44592.333611111113</c:v>
                </c:pt>
                <c:pt idx="6">
                  <c:v>44593.333356481482</c:v>
                </c:pt>
                <c:pt idx="7">
                  <c:v>44594.333553240744</c:v>
                </c:pt>
                <c:pt idx="8">
                  <c:v>44595.333460648151</c:v>
                </c:pt>
                <c:pt idx="9">
                  <c:v>44596.333402777775</c:v>
                </c:pt>
                <c:pt idx="10">
                  <c:v>44597.333344907405</c:v>
                </c:pt>
                <c:pt idx="11">
                  <c:v>44598.333425925928</c:v>
                </c:pt>
                <c:pt idx="12">
                  <c:v>44599.333402777775</c:v>
                </c:pt>
                <c:pt idx="13">
                  <c:v>44600.333564814813</c:v>
                </c:pt>
                <c:pt idx="14">
                  <c:v>44601.333391203705</c:v>
                </c:pt>
                <c:pt idx="15">
                  <c:v>44602.333495370367</c:v>
                </c:pt>
                <c:pt idx="16">
                  <c:v>44603.333460648151</c:v>
                </c:pt>
                <c:pt idx="17">
                  <c:v>44604.333483796298</c:v>
                </c:pt>
                <c:pt idx="18">
                  <c:v>44605.333356481482</c:v>
                </c:pt>
                <c:pt idx="19">
                  <c:v>44606.333472222221</c:v>
                </c:pt>
                <c:pt idx="20">
                  <c:v>44607.333472222221</c:v>
                </c:pt>
                <c:pt idx="21">
                  <c:v>44608.333599537036</c:v>
                </c:pt>
                <c:pt idx="22">
                  <c:v>44609.333368055559</c:v>
                </c:pt>
                <c:pt idx="23">
                  <c:v>44610.333553240744</c:v>
                </c:pt>
                <c:pt idx="24">
                  <c:v>44611.333460648151</c:v>
                </c:pt>
                <c:pt idx="25">
                  <c:v>44612.333495370367</c:v>
                </c:pt>
                <c:pt idx="26">
                  <c:v>44613.333379629628</c:v>
                </c:pt>
                <c:pt idx="27">
                  <c:v>44614.333391203705</c:v>
                </c:pt>
                <c:pt idx="28">
                  <c:v>44615.333518518521</c:v>
                </c:pt>
                <c:pt idx="29">
                  <c:v>44616.333333333336</c:v>
                </c:pt>
                <c:pt idx="30">
                  <c:v>44617.333368055559</c:v>
                </c:pt>
                <c:pt idx="31">
                  <c:v>44618.333449074074</c:v>
                </c:pt>
                <c:pt idx="32">
                  <c:v>44619.333449074074</c:v>
                </c:pt>
                <c:pt idx="33">
                  <c:v>44620.333402777775</c:v>
                </c:pt>
                <c:pt idx="34">
                  <c:v>44621.333854166667</c:v>
                </c:pt>
                <c:pt idx="35">
                  <c:v>44622.333483796298</c:v>
                </c:pt>
                <c:pt idx="36">
                  <c:v>44623.333495370367</c:v>
                </c:pt>
                <c:pt idx="37">
                  <c:v>44624.333356481482</c:v>
                </c:pt>
                <c:pt idx="38">
                  <c:v>44625.333437499998</c:v>
                </c:pt>
                <c:pt idx="39">
                  <c:v>44626.333425925928</c:v>
                </c:pt>
                <c:pt idx="40">
                  <c:v>44627.333333333336</c:v>
                </c:pt>
                <c:pt idx="41">
                  <c:v>44628.333368055559</c:v>
                </c:pt>
                <c:pt idx="42">
                  <c:v>44629.333333333336</c:v>
                </c:pt>
                <c:pt idx="43">
                  <c:v>44630.33357638889</c:v>
                </c:pt>
                <c:pt idx="44">
                  <c:v>44631.333414351851</c:v>
                </c:pt>
                <c:pt idx="45">
                  <c:v>44632.334016203706</c:v>
                </c:pt>
                <c:pt idx="46">
                  <c:v>44633.333425925928</c:v>
                </c:pt>
                <c:pt idx="47">
                  <c:v>44634.333749999998</c:v>
                </c:pt>
                <c:pt idx="48">
                  <c:v>44635.333379629628</c:v>
                </c:pt>
                <c:pt idx="49">
                  <c:v>44636.333379629628</c:v>
                </c:pt>
                <c:pt idx="50">
                  <c:v>44637.333587962959</c:v>
                </c:pt>
                <c:pt idx="51">
                  <c:v>44638.33384259259</c:v>
                </c:pt>
                <c:pt idx="52">
                  <c:v>44639.333356481482</c:v>
                </c:pt>
                <c:pt idx="53">
                  <c:v>44640.333379629628</c:v>
                </c:pt>
                <c:pt idx="54">
                  <c:v>44641.333333333336</c:v>
                </c:pt>
                <c:pt idx="55">
                  <c:v>44642.333344907405</c:v>
                </c:pt>
                <c:pt idx="56">
                  <c:v>44643.333379629628</c:v>
                </c:pt>
                <c:pt idx="57">
                  <c:v>44644.333402777775</c:v>
                </c:pt>
                <c:pt idx="58">
                  <c:v>44645.333344907405</c:v>
                </c:pt>
                <c:pt idx="59">
                  <c:v>44646.333460648151</c:v>
                </c:pt>
                <c:pt idx="60">
                  <c:v>44647.333368055559</c:v>
                </c:pt>
                <c:pt idx="61">
                  <c:v>44648.333854166667</c:v>
                </c:pt>
                <c:pt idx="62">
                  <c:v>44649.333425925928</c:v>
                </c:pt>
                <c:pt idx="63">
                  <c:v>44650.333506944444</c:v>
                </c:pt>
                <c:pt idx="64">
                  <c:v>44651.333379629628</c:v>
                </c:pt>
                <c:pt idx="65">
                  <c:v>44652.333541666667</c:v>
                </c:pt>
                <c:pt idx="66">
                  <c:v>44653.333506944444</c:v>
                </c:pt>
                <c:pt idx="67">
                  <c:v>44654.333356481482</c:v>
                </c:pt>
                <c:pt idx="68">
                  <c:v>44655.333368055559</c:v>
                </c:pt>
                <c:pt idx="69">
                  <c:v>44656.333368055559</c:v>
                </c:pt>
                <c:pt idx="70">
                  <c:v>44657.333333333336</c:v>
                </c:pt>
                <c:pt idx="71">
                  <c:v>44658.333506944444</c:v>
                </c:pt>
                <c:pt idx="72">
                  <c:v>44659.333437499998</c:v>
                </c:pt>
                <c:pt idx="73">
                  <c:v>44660.333414351851</c:v>
                </c:pt>
                <c:pt idx="74">
                  <c:v>44661.333344907405</c:v>
                </c:pt>
                <c:pt idx="75">
                  <c:v>44662.333391203705</c:v>
                </c:pt>
                <c:pt idx="76">
                  <c:v>44663.333634259259</c:v>
                </c:pt>
                <c:pt idx="77">
                  <c:v>44664.333333333336</c:v>
                </c:pt>
                <c:pt idx="78">
                  <c:v>44665.333680555559</c:v>
                </c:pt>
                <c:pt idx="79">
                  <c:v>44666.333391203705</c:v>
                </c:pt>
                <c:pt idx="80">
                  <c:v>44667.33357638889</c:v>
                </c:pt>
                <c:pt idx="81">
                  <c:v>44668.333449074074</c:v>
                </c:pt>
                <c:pt idx="82">
                  <c:v>44669.333819444444</c:v>
                </c:pt>
                <c:pt idx="83">
                  <c:v>44670.333379629628</c:v>
                </c:pt>
                <c:pt idx="84">
                  <c:v>44671.333495370367</c:v>
                </c:pt>
                <c:pt idx="85">
                  <c:v>44672.333425925928</c:v>
                </c:pt>
                <c:pt idx="86">
                  <c:v>44673.333414351851</c:v>
                </c:pt>
                <c:pt idx="87">
                  <c:v>44674.333865740744</c:v>
                </c:pt>
                <c:pt idx="88">
                  <c:v>44675.333368055559</c:v>
                </c:pt>
                <c:pt idx="89">
                  <c:v>44676.333333333336</c:v>
                </c:pt>
                <c:pt idx="90">
                  <c:v>44677.333807870367</c:v>
                </c:pt>
                <c:pt idx="91">
                  <c:v>44678.333344907405</c:v>
                </c:pt>
                <c:pt idx="92">
                  <c:v>44679.333344907405</c:v>
                </c:pt>
                <c:pt idx="93">
                  <c:v>44680.333402777775</c:v>
                </c:pt>
                <c:pt idx="94">
                  <c:v>44681.333854166667</c:v>
                </c:pt>
                <c:pt idx="95">
                  <c:v>44682.333796296298</c:v>
                </c:pt>
                <c:pt idx="96">
                  <c:v>44683.333344907405</c:v>
                </c:pt>
                <c:pt idx="97">
                  <c:v>44684.33388888889</c:v>
                </c:pt>
                <c:pt idx="98">
                  <c:v>44685.333495370367</c:v>
                </c:pt>
                <c:pt idx="99">
                  <c:v>44686.333402777775</c:v>
                </c:pt>
                <c:pt idx="100">
                  <c:v>44687.333425925928</c:v>
                </c:pt>
                <c:pt idx="101">
                  <c:v>44688.333356481482</c:v>
                </c:pt>
                <c:pt idx="102">
                  <c:v>44689.333425925928</c:v>
                </c:pt>
                <c:pt idx="103">
                  <c:v>44690.333344907405</c:v>
                </c:pt>
                <c:pt idx="104">
                  <c:v>44691.333379629628</c:v>
                </c:pt>
                <c:pt idx="105">
                  <c:v>44692.333391203705</c:v>
                </c:pt>
                <c:pt idx="106">
                  <c:v>44693.333414351851</c:v>
                </c:pt>
                <c:pt idx="107">
                  <c:v>44694.333553240744</c:v>
                </c:pt>
                <c:pt idx="108">
                  <c:v>44695.333657407406</c:v>
                </c:pt>
                <c:pt idx="109">
                  <c:v>44696.333425925928</c:v>
                </c:pt>
                <c:pt idx="110">
                  <c:v>44697.333460648151</c:v>
                </c:pt>
                <c:pt idx="111">
                  <c:v>44698.333460648151</c:v>
                </c:pt>
                <c:pt idx="112">
                  <c:v>44699.333645833336</c:v>
                </c:pt>
                <c:pt idx="113">
                  <c:v>44700.333796296298</c:v>
                </c:pt>
                <c:pt idx="114">
                  <c:v>44701.333414351851</c:v>
                </c:pt>
                <c:pt idx="115">
                  <c:v>44702.333402777775</c:v>
                </c:pt>
                <c:pt idx="116">
                  <c:v>44703.333472222221</c:v>
                </c:pt>
                <c:pt idx="117">
                  <c:v>44704.333368055559</c:v>
                </c:pt>
                <c:pt idx="118">
                  <c:v>44705.33353009259</c:v>
                </c:pt>
                <c:pt idx="119">
                  <c:v>44706.333622685182</c:v>
                </c:pt>
                <c:pt idx="120">
                  <c:v>44707.333634259259</c:v>
                </c:pt>
                <c:pt idx="121">
                  <c:v>44708.33353009259</c:v>
                </c:pt>
                <c:pt idx="122">
                  <c:v>44709.333587962959</c:v>
                </c:pt>
                <c:pt idx="123">
                  <c:v>44710.333414351851</c:v>
                </c:pt>
                <c:pt idx="124">
                  <c:v>44711.333506944444</c:v>
                </c:pt>
              </c:numCache>
            </c:numRef>
          </c:cat>
          <c:val>
            <c:numRef>
              <c:f>[2]Sheet6!$G$2:$G$126</c:f>
              <c:numCache>
                <c:formatCode>General</c:formatCode>
                <c:ptCount val="125"/>
                <c:pt idx="0">
                  <c:v>38</c:v>
                </c:pt>
                <c:pt idx="1">
                  <c:v>39</c:v>
                </c:pt>
                <c:pt idx="2">
                  <c:v>37</c:v>
                </c:pt>
                <c:pt idx="3">
                  <c:v>37</c:v>
                </c:pt>
                <c:pt idx="4">
                  <c:v>35</c:v>
                </c:pt>
                <c:pt idx="5">
                  <c:v>31</c:v>
                </c:pt>
                <c:pt idx="6">
                  <c:v>34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38</c:v>
                </c:pt>
                <c:pt idx="20">
                  <c:v>37</c:v>
                </c:pt>
                <c:pt idx="21">
                  <c:v>37</c:v>
                </c:pt>
                <c:pt idx="22">
                  <c:v>37</c:v>
                </c:pt>
                <c:pt idx="23">
                  <c:v>38</c:v>
                </c:pt>
                <c:pt idx="24">
                  <c:v>37</c:v>
                </c:pt>
                <c:pt idx="25">
                  <c:v>37</c:v>
                </c:pt>
                <c:pt idx="26">
                  <c:v>37</c:v>
                </c:pt>
                <c:pt idx="27">
                  <c:v>36</c:v>
                </c:pt>
                <c:pt idx="28">
                  <c:v>37</c:v>
                </c:pt>
                <c:pt idx="29">
                  <c:v>36</c:v>
                </c:pt>
                <c:pt idx="30">
                  <c:v>35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39</c:v>
                </c:pt>
                <c:pt idx="35">
                  <c:v>40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46</c:v>
                </c:pt>
                <c:pt idx="40">
                  <c:v>47</c:v>
                </c:pt>
                <c:pt idx="41">
                  <c:v>52</c:v>
                </c:pt>
                <c:pt idx="42">
                  <c:v>60</c:v>
                </c:pt>
                <c:pt idx="43">
                  <c:v>59</c:v>
                </c:pt>
                <c:pt idx="44">
                  <c:v>64</c:v>
                </c:pt>
                <c:pt idx="45">
                  <c:v>65</c:v>
                </c:pt>
                <c:pt idx="46">
                  <c:v>67</c:v>
                </c:pt>
                <c:pt idx="47">
                  <c:v>70</c:v>
                </c:pt>
                <c:pt idx="48">
                  <c:v>72</c:v>
                </c:pt>
                <c:pt idx="49">
                  <c:v>71</c:v>
                </c:pt>
                <c:pt idx="50">
                  <c:v>69</c:v>
                </c:pt>
                <c:pt idx="51">
                  <c:v>68</c:v>
                </c:pt>
                <c:pt idx="52">
                  <c:v>69</c:v>
                </c:pt>
                <c:pt idx="53">
                  <c:v>68</c:v>
                </c:pt>
                <c:pt idx="54">
                  <c:v>70</c:v>
                </c:pt>
                <c:pt idx="55">
                  <c:v>70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70</c:v>
                </c:pt>
                <c:pt idx="60">
                  <c:v>71</c:v>
                </c:pt>
                <c:pt idx="61">
                  <c:v>71</c:v>
                </c:pt>
                <c:pt idx="62">
                  <c:v>68</c:v>
                </c:pt>
                <c:pt idx="63">
                  <c:v>72</c:v>
                </c:pt>
                <c:pt idx="64">
                  <c:v>73</c:v>
                </c:pt>
                <c:pt idx="65">
                  <c:v>74</c:v>
                </c:pt>
                <c:pt idx="66">
                  <c:v>75</c:v>
                </c:pt>
                <c:pt idx="67">
                  <c:v>76</c:v>
                </c:pt>
                <c:pt idx="68">
                  <c:v>77</c:v>
                </c:pt>
                <c:pt idx="69">
                  <c:v>78</c:v>
                </c:pt>
                <c:pt idx="70">
                  <c:v>80</c:v>
                </c:pt>
                <c:pt idx="71">
                  <c:v>80</c:v>
                </c:pt>
                <c:pt idx="72">
                  <c:v>81</c:v>
                </c:pt>
                <c:pt idx="73">
                  <c:v>83</c:v>
                </c:pt>
                <c:pt idx="74">
                  <c:v>78</c:v>
                </c:pt>
                <c:pt idx="75">
                  <c:v>77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74</c:v>
                </c:pt>
                <c:pt idx="80">
                  <c:v>72</c:v>
                </c:pt>
                <c:pt idx="81">
                  <c:v>74</c:v>
                </c:pt>
                <c:pt idx="82">
                  <c:v>75</c:v>
                </c:pt>
                <c:pt idx="83">
                  <c:v>76</c:v>
                </c:pt>
                <c:pt idx="84">
                  <c:v>73</c:v>
                </c:pt>
                <c:pt idx="85">
                  <c:v>74</c:v>
                </c:pt>
                <c:pt idx="86">
                  <c:v>73</c:v>
                </c:pt>
                <c:pt idx="87">
                  <c:v>72</c:v>
                </c:pt>
                <c:pt idx="88">
                  <c:v>70</c:v>
                </c:pt>
                <c:pt idx="89">
                  <c:v>69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71</c:v>
                </c:pt>
                <c:pt idx="95">
                  <c:v>71</c:v>
                </c:pt>
                <c:pt idx="96">
                  <c:v>72</c:v>
                </c:pt>
                <c:pt idx="97">
                  <c:v>72</c:v>
                </c:pt>
                <c:pt idx="98">
                  <c:v>72</c:v>
                </c:pt>
                <c:pt idx="99">
                  <c:v>71</c:v>
                </c:pt>
                <c:pt idx="100">
                  <c:v>71</c:v>
                </c:pt>
                <c:pt idx="101">
                  <c:v>69</c:v>
                </c:pt>
                <c:pt idx="102">
                  <c:v>67</c:v>
                </c:pt>
                <c:pt idx="103">
                  <c:v>68</c:v>
                </c:pt>
                <c:pt idx="104">
                  <c:v>66</c:v>
                </c:pt>
                <c:pt idx="105">
                  <c:v>55</c:v>
                </c:pt>
                <c:pt idx="106">
                  <c:v>60</c:v>
                </c:pt>
                <c:pt idx="107">
                  <c:v>59</c:v>
                </c:pt>
                <c:pt idx="108">
                  <c:v>67</c:v>
                </c:pt>
                <c:pt idx="109">
                  <c:v>87</c:v>
                </c:pt>
                <c:pt idx="110">
                  <c:v>76</c:v>
                </c:pt>
                <c:pt idx="111">
                  <c:v>75</c:v>
                </c:pt>
                <c:pt idx="112">
                  <c:v>73</c:v>
                </c:pt>
                <c:pt idx="113">
                  <c:v>71</c:v>
                </c:pt>
                <c:pt idx="114">
                  <c:v>70</c:v>
                </c:pt>
                <c:pt idx="115">
                  <c:v>69</c:v>
                </c:pt>
                <c:pt idx="116">
                  <c:v>67</c:v>
                </c:pt>
                <c:pt idx="117">
                  <c:v>70</c:v>
                </c:pt>
                <c:pt idx="118">
                  <c:v>72</c:v>
                </c:pt>
                <c:pt idx="119">
                  <c:v>66</c:v>
                </c:pt>
                <c:pt idx="120">
                  <c:v>66</c:v>
                </c:pt>
                <c:pt idx="121">
                  <c:v>78</c:v>
                </c:pt>
                <c:pt idx="122">
                  <c:v>76</c:v>
                </c:pt>
                <c:pt idx="123">
                  <c:v>78</c:v>
                </c:pt>
                <c:pt idx="124">
                  <c:v>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576536"/>
        <c:axId val="792577320"/>
      </c:lineChart>
      <c:dateAx>
        <c:axId val="7925765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577320"/>
        <c:crosses val="autoZero"/>
        <c:auto val="1"/>
        <c:lblOffset val="100"/>
        <c:baseTimeUnit val="days"/>
      </c:dateAx>
      <c:valAx>
        <c:axId val="79257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57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85725</xdr:colOff>
          <xdr:row>1</xdr:row>
          <xdr:rowOff>57150</xdr:rowOff>
        </xdr:from>
        <xdr:to>
          <xdr:col>22</xdr:col>
          <xdr:colOff>466725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12</xdr:row>
      <xdr:rowOff>157162</xdr:rowOff>
    </xdr:from>
    <xdr:to>
      <xdr:col>17</xdr:col>
      <xdr:colOff>285750</xdr:colOff>
      <xdr:row>27</xdr:row>
      <xdr:rowOff>42862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</xdr:colOff>
      <xdr:row>20</xdr:row>
      <xdr:rowOff>23812</xdr:rowOff>
    </xdr:from>
    <xdr:to>
      <xdr:col>21</xdr:col>
      <xdr:colOff>1276350</xdr:colOff>
      <xdr:row>34</xdr:row>
      <xdr:rowOff>100012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85725</xdr:colOff>
          <xdr:row>1</xdr:row>
          <xdr:rowOff>57150</xdr:rowOff>
        </xdr:from>
        <xdr:to>
          <xdr:col>22</xdr:col>
          <xdr:colOff>466725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65</xdr:row>
      <xdr:rowOff>104775</xdr:rowOff>
    </xdr:from>
    <xdr:to>
      <xdr:col>25</xdr:col>
      <xdr:colOff>323850</xdr:colOff>
      <xdr:row>89</xdr:row>
      <xdr:rowOff>157162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85725</xdr:colOff>
          <xdr:row>1</xdr:row>
          <xdr:rowOff>57150</xdr:rowOff>
        </xdr:from>
        <xdr:to>
          <xdr:col>22</xdr:col>
          <xdr:colOff>466725</xdr:colOff>
          <xdr:row>3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8</xdr:row>
      <xdr:rowOff>133350</xdr:rowOff>
    </xdr:from>
    <xdr:to>
      <xdr:col>16</xdr:col>
      <xdr:colOff>504826</xdr:colOff>
      <xdr:row>32</xdr:row>
      <xdr:rowOff>23812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481012</xdr:colOff>
      <xdr:row>12</xdr:row>
      <xdr:rowOff>157162</xdr:rowOff>
    </xdr:from>
    <xdr:to>
      <xdr:col>15</xdr:col>
      <xdr:colOff>300037</xdr:colOff>
      <xdr:row>27</xdr:row>
      <xdr:rowOff>42862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/Documents/Danner/vegaswap/MediumArticles/Article6/UniYieldAnalysi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/Documents/Danner/vegaswap/MediumArticles/Article6/UniV3YieldAnalys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  <sheetName val="UniV3-USDC-ETH-2"/>
      <sheetName val="UniV3-USDC-ETH-2 Charts"/>
      <sheetName val="UniV3-USDC-ETH-0.3"/>
      <sheetName val="UniV3-USDC-ETH-0.3 Charts"/>
      <sheetName val="UniV2-USDC-ETH-2"/>
      <sheetName val="UniV2-USDC-ETH-2 Charts"/>
      <sheetName val="UniV2-USDC-ETH"/>
      <sheetName val="UniV2-USDC-ETH Charts"/>
      <sheetName val="UniV2-WBTC-ETH"/>
      <sheetName val="UniV2-WBTC-ETH Charts"/>
      <sheetName val="UniV2-WBTC-USDC"/>
      <sheetName val="UniV2-WBTC-USDC Charts"/>
      <sheetName val="UniV3-WBTC-ETH-0.3"/>
      <sheetName val="UniV3-WBTC-ETH-0.3 Charts"/>
      <sheetName val="UniV3-WBTC-USDC-0.3"/>
      <sheetName val="UniV3-WBTC-USDC-0.3 Charts"/>
      <sheetName val="UniV3-USDC-ETH-0.05"/>
      <sheetName val="UniV3-USDC-ETH-0.05 Charts"/>
      <sheetName val="UniV3-WBTC-ETH-0.05"/>
      <sheetName val="UniV3-WBTC-ETH-0.05 Charts"/>
      <sheetName val="UniV3-ETH-USDT-0.3"/>
      <sheetName val="UniV3-ETH-USDT-0.3 Charts"/>
      <sheetName val="UniV3-DAI-ETH-0.3"/>
      <sheetName val="UniV3-DAI-ETH-0.3 Charts"/>
      <sheetName val="UniYieldAnalysis"/>
    </sheetNames>
    <definedNames>
      <definedName name="GetHistoricalActiveLiquidity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C-ETH_0.3%"/>
      <sheetName val="USDC-ETH_0.3% Charts"/>
      <sheetName val="USTETH"/>
      <sheetName val="Sheet4"/>
      <sheetName val="ETHLUNA"/>
      <sheetName val="Sheet6"/>
    </sheetNames>
    <sheetDataSet>
      <sheetData sheetId="0"/>
      <sheetData sheetId="1">
        <row r="1">
          <cell r="G1" t="str">
            <v>posCount</v>
          </cell>
          <cell r="M1" t="str">
            <v>IV_Ret_Avg</v>
          </cell>
          <cell r="N1" t="str">
            <v>Yield</v>
          </cell>
          <cell r="O1" t="str">
            <v>HV_30D</v>
          </cell>
          <cell r="S1" t="str">
            <v>UniV3_IV_u100_Avg30D</v>
          </cell>
          <cell r="U1" t="str">
            <v>deribit_Avg30D</v>
          </cell>
          <cell r="W1" t="str">
            <v>UniV2_IV_u100_Avg30D</v>
          </cell>
          <cell r="AF1" t="str">
            <v>30 Day IL + Fees</v>
          </cell>
        </row>
        <row r="2">
          <cell r="A2">
            <v>44322.33353009259</v>
          </cell>
          <cell r="G2">
            <v>354</v>
          </cell>
          <cell r="N2">
            <v>8.6294560258137226E-2</v>
          </cell>
          <cell r="O2">
            <v>0.98148064098092314</v>
          </cell>
          <cell r="U2">
            <v>0.80833333333333335</v>
          </cell>
          <cell r="W2">
            <v>1.68012859289977</v>
          </cell>
        </row>
        <row r="3">
          <cell r="A3">
            <v>44323.333483796298</v>
          </cell>
          <cell r="G3">
            <v>684</v>
          </cell>
          <cell r="N3">
            <v>0.15506575279273618</v>
          </cell>
          <cell r="O3">
            <v>0.93082046305761601</v>
          </cell>
          <cell r="U3">
            <v>0.81453333333333333</v>
          </cell>
          <cell r="W3">
            <v>1.6861549062462413</v>
          </cell>
        </row>
        <row r="4">
          <cell r="A4">
            <v>44324.333356481482</v>
          </cell>
          <cell r="G4">
            <v>897</v>
          </cell>
          <cell r="N4">
            <v>0.1080738232149801</v>
          </cell>
          <cell r="O4">
            <v>0.97874531600459458</v>
          </cell>
          <cell r="U4">
            <v>0.82778666666666656</v>
          </cell>
          <cell r="W4">
            <v>1.6958892397419729</v>
          </cell>
        </row>
        <row r="5">
          <cell r="A5">
            <v>44325.333356481482</v>
          </cell>
          <cell r="G5">
            <v>884</v>
          </cell>
          <cell r="N5">
            <v>0.15786375084575516</v>
          </cell>
          <cell r="O5">
            <v>0.9746623165488677</v>
          </cell>
          <cell r="U5">
            <v>0.83998333333333319</v>
          </cell>
          <cell r="W5">
            <v>1.7209597891742143</v>
          </cell>
        </row>
        <row r="6">
          <cell r="A6">
            <v>44326.333333333336</v>
          </cell>
          <cell r="G6">
            <v>886</v>
          </cell>
          <cell r="N6">
            <v>0.36191843953556774</v>
          </cell>
          <cell r="O6">
            <v>0.97553550090400021</v>
          </cell>
          <cell r="U6">
            <v>0.85493666666666668</v>
          </cell>
          <cell r="W6">
            <v>1.7301884331987238</v>
          </cell>
        </row>
        <row r="7">
          <cell r="A7">
            <v>44327.333668981482</v>
          </cell>
          <cell r="G7">
            <v>882</v>
          </cell>
          <cell r="N7">
            <v>0.62318181352012814</v>
          </cell>
          <cell r="O7">
            <v>0.98135772682401656</v>
          </cell>
          <cell r="U7">
            <v>0.86870333333333327</v>
          </cell>
          <cell r="W7">
            <v>1.7631777168415006</v>
          </cell>
        </row>
        <row r="8">
          <cell r="A8">
            <v>44328.333414351851</v>
          </cell>
          <cell r="G8">
            <v>898</v>
          </cell>
          <cell r="N8">
            <v>0.33036571880245558</v>
          </cell>
          <cell r="O8">
            <v>1.0603042978050383</v>
          </cell>
          <cell r="U8">
            <v>0.88359333333333334</v>
          </cell>
          <cell r="W8">
            <v>1.8045172770469671</v>
          </cell>
        </row>
        <row r="9">
          <cell r="A9">
            <v>44329.333564814813</v>
          </cell>
          <cell r="G9">
            <v>897</v>
          </cell>
          <cell r="N9">
            <v>1.1450797956175622</v>
          </cell>
          <cell r="O9">
            <v>1.0504498774513007</v>
          </cell>
          <cell r="U9">
            <v>0.89256333333333338</v>
          </cell>
          <cell r="W9">
            <v>1.7936455660839896</v>
          </cell>
        </row>
        <row r="10">
          <cell r="A10">
            <v>44330.333379629628</v>
          </cell>
          <cell r="G10">
            <v>956</v>
          </cell>
          <cell r="N10">
            <v>0.69125986868045619</v>
          </cell>
          <cell r="O10">
            <v>1.0755419176759473</v>
          </cell>
          <cell r="U10">
            <v>0.90315666666666672</v>
          </cell>
          <cell r="W10">
            <v>1.8026925427536724</v>
          </cell>
        </row>
        <row r="11">
          <cell r="A11">
            <v>44331.333564814813</v>
          </cell>
          <cell r="G11">
            <v>997</v>
          </cell>
          <cell r="N11">
            <v>0.33735926757637097</v>
          </cell>
          <cell r="O11">
            <v>1.1670464870976345</v>
          </cell>
          <cell r="U11">
            <v>0.91703333333333348</v>
          </cell>
          <cell r="W11">
            <v>1.8228284734398248</v>
          </cell>
        </row>
        <row r="12">
          <cell r="A12">
            <v>44332.333460648151</v>
          </cell>
          <cell r="G12">
            <v>1072</v>
          </cell>
          <cell r="N12">
            <v>0.25748923355276249</v>
          </cell>
          <cell r="O12">
            <v>1.158503403707581</v>
          </cell>
          <cell r="U12">
            <v>0.93888000000000027</v>
          </cell>
          <cell r="W12">
            <v>1.8601529233573777</v>
          </cell>
        </row>
        <row r="13">
          <cell r="A13">
            <v>44333.333611111113</v>
          </cell>
          <cell r="G13">
            <v>1124</v>
          </cell>
          <cell r="N13">
            <v>0.88312211442924038</v>
          </cell>
          <cell r="O13">
            <v>1.2003294014149333</v>
          </cell>
          <cell r="U13">
            <v>0.96359666666666688</v>
          </cell>
          <cell r="W13">
            <v>1.8364806658829271</v>
          </cell>
        </row>
        <row r="14">
          <cell r="A14">
            <v>44334.333333333336</v>
          </cell>
          <cell r="G14">
            <v>1190</v>
          </cell>
          <cell r="N14">
            <v>0.52613425787243051</v>
          </cell>
          <cell r="O14">
            <v>1.1831143539145246</v>
          </cell>
          <cell r="U14">
            <v>0.97706666666666697</v>
          </cell>
          <cell r="W14">
            <v>1.9577609770151922</v>
          </cell>
        </row>
        <row r="15">
          <cell r="A15">
            <v>44335.333333333336</v>
          </cell>
          <cell r="G15">
            <v>1184</v>
          </cell>
          <cell r="N15">
            <v>1.6573535893419924</v>
          </cell>
          <cell r="O15">
            <v>1.6491718875190111</v>
          </cell>
          <cell r="U15">
            <v>1.0249800000000002</v>
          </cell>
          <cell r="W15">
            <v>2.0167030555839687</v>
          </cell>
        </row>
        <row r="16">
          <cell r="A16">
            <v>44336.333425925928</v>
          </cell>
          <cell r="G16">
            <v>1203</v>
          </cell>
          <cell r="N16">
            <v>2.5011791287024892</v>
          </cell>
          <cell r="O16">
            <v>1.6847490009588066</v>
          </cell>
          <cell r="U16">
            <v>1.0630033333333335</v>
          </cell>
          <cell r="W16">
            <v>2.0770760361222771</v>
          </cell>
        </row>
        <row r="17">
          <cell r="A17">
            <v>44337.333587962959</v>
          </cell>
          <cell r="G17">
            <v>1298</v>
          </cell>
          <cell r="N17">
            <v>1.0531774082056309</v>
          </cell>
          <cell r="O17">
            <v>1.7552516034143195</v>
          </cell>
          <cell r="U17">
            <v>1.1107933333333335</v>
          </cell>
          <cell r="W17">
            <v>2.0857833717263636</v>
          </cell>
        </row>
        <row r="18">
          <cell r="A18">
            <v>44338.333472222221</v>
          </cell>
          <cell r="G18">
            <v>1335</v>
          </cell>
          <cell r="N18">
            <v>2.1272611908023733</v>
          </cell>
          <cell r="O18">
            <v>1.7658018053459794</v>
          </cell>
          <cell r="U18">
            <v>1.1577000000000004</v>
          </cell>
          <cell r="W18">
            <v>2.1301382239644986</v>
          </cell>
        </row>
        <row r="19">
          <cell r="A19">
            <v>44339.333414351851</v>
          </cell>
          <cell r="G19">
            <v>1398</v>
          </cell>
          <cell r="N19">
            <v>1.4684908125733027</v>
          </cell>
          <cell r="O19">
            <v>1.7888430585165069</v>
          </cell>
          <cell r="U19">
            <v>1.204186666666667</v>
          </cell>
          <cell r="W19">
            <v>2.1649776040199353</v>
          </cell>
        </row>
        <row r="20">
          <cell r="A20">
            <v>44340.333333333336</v>
          </cell>
          <cell r="G20">
            <v>1454</v>
          </cell>
          <cell r="N20">
            <v>1.6987628962744015</v>
          </cell>
          <cell r="O20">
            <v>1.9435301195925663</v>
          </cell>
          <cell r="U20">
            <v>1.23089</v>
          </cell>
          <cell r="W20">
            <v>2.1897155992831401</v>
          </cell>
        </row>
        <row r="21">
          <cell r="A21">
            <v>44341.333622685182</v>
          </cell>
          <cell r="G21">
            <v>1513</v>
          </cell>
          <cell r="N21">
            <v>1.5268140845833698</v>
          </cell>
          <cell r="O21">
            <v>1.9392447992694528</v>
          </cell>
          <cell r="U21">
            <v>1.2560200000000001</v>
          </cell>
          <cell r="W21">
            <v>2.2022480623692156</v>
          </cell>
        </row>
        <row r="22">
          <cell r="A22">
            <v>44342.333564814813</v>
          </cell>
          <cell r="G22">
            <v>1590</v>
          </cell>
          <cell r="N22">
            <v>0.48505259708181092</v>
          </cell>
          <cell r="O22">
            <v>1.9273813483068807</v>
          </cell>
          <cell r="U22">
            <v>1.2792600000000001</v>
          </cell>
          <cell r="W22">
            <v>2.2098126859423806</v>
          </cell>
        </row>
        <row r="23">
          <cell r="A23">
            <v>44343.333344907405</v>
          </cell>
          <cell r="G23">
            <v>1681</v>
          </cell>
          <cell r="N23">
            <v>0.65399168106125083</v>
          </cell>
          <cell r="O23">
            <v>1.9307547292339473</v>
          </cell>
          <cell r="U23">
            <v>1.3009433333333333</v>
          </cell>
          <cell r="W23">
            <v>2.233512758485281</v>
          </cell>
        </row>
        <row r="24">
          <cell r="A24">
            <v>44344.333784722221</v>
          </cell>
          <cell r="G24">
            <v>1789</v>
          </cell>
          <cell r="N24">
            <v>0.53528932113871774</v>
          </cell>
          <cell r="O24">
            <v>1.9747545745880271</v>
          </cell>
          <cell r="U24">
            <v>1.3306466666666668</v>
          </cell>
          <cell r="W24">
            <v>2.2492786655617758</v>
          </cell>
        </row>
        <row r="25">
          <cell r="A25">
            <v>44345.333518518521</v>
          </cell>
          <cell r="G25">
            <v>1913</v>
          </cell>
          <cell r="N25">
            <v>0.53415494769202643</v>
          </cell>
          <cell r="O25">
            <v>1.9839312200271499</v>
          </cell>
          <cell r="U25">
            <v>1.3661333333333334</v>
          </cell>
          <cell r="W25">
            <v>2.2607386255216833</v>
          </cell>
        </row>
        <row r="26">
          <cell r="A26">
            <v>44346.333495370367</v>
          </cell>
          <cell r="G26">
            <v>2024</v>
          </cell>
          <cell r="N26">
            <v>0.55868978121471391</v>
          </cell>
          <cell r="O26">
            <v>1.9924350480267414</v>
          </cell>
          <cell r="U26">
            <v>1.3923299999999998</v>
          </cell>
          <cell r="W26">
            <v>2.2645269819879559</v>
          </cell>
        </row>
        <row r="27">
          <cell r="A27">
            <v>44347.334201388891</v>
          </cell>
          <cell r="G27">
            <v>2175</v>
          </cell>
          <cell r="N27">
            <v>0.18556753547640248</v>
          </cell>
          <cell r="O27">
            <v>2.0333373829221268</v>
          </cell>
          <cell r="U27">
            <v>1.4126599999999996</v>
          </cell>
          <cell r="W27">
            <v>2.2688569168070178</v>
          </cell>
        </row>
        <row r="28">
          <cell r="A28">
            <v>44348.333333333336</v>
          </cell>
          <cell r="G28">
            <v>2252</v>
          </cell>
          <cell r="N28">
            <v>0.28755274514583801</v>
          </cell>
          <cell r="O28">
            <v>2.0355351454405919</v>
          </cell>
          <cell r="U28">
            <v>1.431623333333333</v>
          </cell>
          <cell r="W28">
            <v>2.2394361412354153</v>
          </cell>
        </row>
        <row r="29">
          <cell r="A29">
            <v>44349.333449074074</v>
          </cell>
          <cell r="G29">
            <v>2361</v>
          </cell>
          <cell r="N29">
            <v>0.23469289390489423</v>
          </cell>
          <cell r="O29">
            <v>1.9621261226537374</v>
          </cell>
          <cell r="U29">
            <v>1.4403399999999997</v>
          </cell>
          <cell r="W29">
            <v>2.2075013751727393</v>
          </cell>
        </row>
        <row r="30">
          <cell r="A30">
            <v>44350.333344907405</v>
          </cell>
          <cell r="G30">
            <v>2380</v>
          </cell>
          <cell r="N30">
            <v>0.23999169101760576</v>
          </cell>
          <cell r="O30">
            <v>1.9664880676751311</v>
          </cell>
          <cell r="U30">
            <v>1.4454266666666664</v>
          </cell>
          <cell r="W30">
            <v>2.2081559654791527</v>
          </cell>
        </row>
        <row r="31">
          <cell r="A31">
            <v>44351.333784722221</v>
          </cell>
          <cell r="G31">
            <v>2448</v>
          </cell>
          <cell r="M31">
            <v>1.8681164092435318</v>
          </cell>
          <cell r="N31">
            <v>0.21769744261153962</v>
          </cell>
          <cell r="O31">
            <v>1.9518556945751508</v>
          </cell>
          <cell r="S31">
            <v>2.0522128405947972</v>
          </cell>
          <cell r="U31">
            <v>1.450123333333333</v>
          </cell>
          <cell r="W31">
            <v>2.2034876314392045</v>
          </cell>
          <cell r="AF31">
            <v>3.2683691742800836E-2</v>
          </cell>
        </row>
        <row r="32">
          <cell r="A32">
            <v>44352.333553240744</v>
          </cell>
          <cell r="G32">
            <v>2535</v>
          </cell>
          <cell r="M32">
            <v>1.9135353894782037</v>
          </cell>
          <cell r="N32">
            <v>0.24428717667977173</v>
          </cell>
          <cell r="O32">
            <v>1.9523549014333004</v>
          </cell>
          <cell r="S32">
            <v>2.0772007986142969</v>
          </cell>
          <cell r="U32">
            <v>1.4591899999999998</v>
          </cell>
          <cell r="W32">
            <v>2.1848871142571284</v>
          </cell>
          <cell r="AF32">
            <v>2.9547863149776088E-2</v>
          </cell>
        </row>
        <row r="33">
          <cell r="A33">
            <v>44353.333333333336</v>
          </cell>
          <cell r="G33">
            <v>2628</v>
          </cell>
          <cell r="M33">
            <v>1.9528058734349476</v>
          </cell>
          <cell r="N33">
            <v>0.17946577492345125</v>
          </cell>
          <cell r="O33">
            <v>1.9574717895221394</v>
          </cell>
          <cell r="S33">
            <v>2.0807003483528184</v>
          </cell>
          <cell r="U33">
            <v>1.4698299999999997</v>
          </cell>
          <cell r="W33">
            <v>2.1767706605118398</v>
          </cell>
          <cell r="AF33">
            <v>1.7704053466686798E-2</v>
          </cell>
        </row>
        <row r="34">
          <cell r="A34">
            <v>44354.333599537036</v>
          </cell>
          <cell r="G34">
            <v>2691</v>
          </cell>
          <cell r="M34">
            <v>1.9817881596443008</v>
          </cell>
          <cell r="N34">
            <v>9.9416274077382211E-2</v>
          </cell>
          <cell r="O34">
            <v>1.9114787266796704</v>
          </cell>
          <cell r="S34">
            <v>2.0787710571082711</v>
          </cell>
          <cell r="U34">
            <v>1.4794766666666666</v>
          </cell>
          <cell r="W34">
            <v>2.1822084718455366</v>
          </cell>
          <cell r="AF34">
            <v>1.7476131558083141E-2</v>
          </cell>
        </row>
        <row r="35">
          <cell r="A35">
            <v>44355.333460648151</v>
          </cell>
          <cell r="G35">
            <v>2664</v>
          </cell>
          <cell r="M35">
            <v>2.0296583074259305</v>
          </cell>
          <cell r="N35">
            <v>0.31620244420410965</v>
          </cell>
          <cell r="O35">
            <v>1.9107051176111405</v>
          </cell>
          <cell r="S35">
            <v>2.0969351894729065</v>
          </cell>
          <cell r="U35">
            <v>1.4896199999999999</v>
          </cell>
          <cell r="W35">
            <v>2.1488031890022317</v>
          </cell>
          <cell r="AF35">
            <v>1.710949403328188E-2</v>
          </cell>
        </row>
        <row r="36">
          <cell r="A36">
            <v>44356.333391203705</v>
          </cell>
          <cell r="G36">
            <v>2703</v>
          </cell>
          <cell r="M36">
            <v>2.0553554058533781</v>
          </cell>
          <cell r="N36">
            <v>0.29541911655946046</v>
          </cell>
          <cell r="O36">
            <v>1.9175010585308034</v>
          </cell>
          <cell r="S36">
            <v>2.0908882215828561</v>
          </cell>
          <cell r="U36">
            <v>1.4890633333333334</v>
          </cell>
          <cell r="W36">
            <v>2.1264812690758879</v>
          </cell>
          <cell r="AF36">
            <v>1.2409977738845335E-2</v>
          </cell>
        </row>
        <row r="37">
          <cell r="A37">
            <v>44357.333402777775</v>
          </cell>
          <cell r="G37">
            <v>2754</v>
          </cell>
          <cell r="M37">
            <v>2.0408200726101011</v>
          </cell>
          <cell r="N37">
            <v>0.18768394889636311</v>
          </cell>
          <cell r="O37">
            <v>1.9066611990819169</v>
          </cell>
          <cell r="S37">
            <v>2.0539003182949425</v>
          </cell>
          <cell r="U37">
            <v>1.4873300000000003</v>
          </cell>
          <cell r="W37">
            <v>2.0853526854486812</v>
          </cell>
          <cell r="AF37">
            <v>1.1939749557789092E-2</v>
          </cell>
        </row>
        <row r="38">
          <cell r="A38">
            <v>44358.333391203705</v>
          </cell>
          <cell r="G38">
            <v>2798</v>
          </cell>
          <cell r="M38">
            <v>2.0417696694493981</v>
          </cell>
          <cell r="N38">
            <v>0.16673664806756791</v>
          </cell>
          <cell r="O38">
            <v>1.8890318844756853</v>
          </cell>
          <cell r="S38">
            <v>2.0357386069612011</v>
          </cell>
          <cell r="U38">
            <v>1.484826666666667</v>
          </cell>
          <cell r="W38">
            <v>2.0262970669095863</v>
          </cell>
          <cell r="AF38">
            <v>1.1771699759352217E-2</v>
          </cell>
        </row>
        <row r="39">
          <cell r="A39">
            <v>44359.333506944444</v>
          </cell>
          <cell r="G39">
            <v>2803</v>
          </cell>
          <cell r="M39">
            <v>1.9869521256578626</v>
          </cell>
          <cell r="N39">
            <v>0.21964637042612314</v>
          </cell>
          <cell r="O39">
            <v>1.8908022429290143</v>
          </cell>
          <cell r="S39">
            <v>1.9752799294414982</v>
          </cell>
          <cell r="U39">
            <v>1.4838700000000002</v>
          </cell>
          <cell r="W39">
            <v>1.994736774726988</v>
          </cell>
          <cell r="AF39">
            <v>1.0828649991905026E-2</v>
          </cell>
        </row>
        <row r="40">
          <cell r="A40">
            <v>44360.333437499998</v>
          </cell>
          <cell r="G40">
            <v>2839</v>
          </cell>
          <cell r="M40">
            <v>1.927859791059451</v>
          </cell>
          <cell r="N40">
            <v>0.11626430196117282</v>
          </cell>
          <cell r="O40">
            <v>1.8680146739844496</v>
          </cell>
          <cell r="S40">
            <v>1.9228889974979826</v>
          </cell>
          <cell r="U40">
            <v>1.48733</v>
          </cell>
          <cell r="W40">
            <v>1.9697091601188794</v>
          </cell>
          <cell r="AF40">
            <v>9.5950276686365132E-3</v>
          </cell>
        </row>
        <row r="41">
          <cell r="A41">
            <v>44361.333425925928</v>
          </cell>
          <cell r="G41">
            <v>2852</v>
          </cell>
          <cell r="M41">
            <v>1.9081348444619646</v>
          </cell>
          <cell r="N41">
            <v>0.13054236408321387</v>
          </cell>
          <cell r="O41">
            <v>1.8360980961991478</v>
          </cell>
          <cell r="S41">
            <v>1.8983737299786161</v>
          </cell>
          <cell r="U41">
            <v>1.4871800000000002</v>
          </cell>
          <cell r="W41">
            <v>1.9201823521843162</v>
          </cell>
          <cell r="AF41">
            <v>8.4724393257005204E-3</v>
          </cell>
        </row>
        <row r="42">
          <cell r="A42">
            <v>44362.333472222221</v>
          </cell>
          <cell r="G42">
            <v>2902</v>
          </cell>
          <cell r="M42">
            <v>1.9073119861158765</v>
          </cell>
          <cell r="N42">
            <v>0.14956189693972127</v>
          </cell>
          <cell r="O42">
            <v>1.8414598267198929</v>
          </cell>
          <cell r="S42">
            <v>1.8847475173217387</v>
          </cell>
          <cell r="U42">
            <v>1.4762833333333336</v>
          </cell>
          <cell r="W42">
            <v>1.8678444373402385</v>
          </cell>
          <cell r="AF42">
            <v>8.4453005720732666E-3</v>
          </cell>
        </row>
        <row r="43">
          <cell r="A43">
            <v>44363.333483796298</v>
          </cell>
          <cell r="G43">
            <v>2931</v>
          </cell>
          <cell r="M43">
            <v>1.8498211370541997</v>
          </cell>
          <cell r="N43">
            <v>0.10403700030450813</v>
          </cell>
          <cell r="O43">
            <v>1.8464904102583197</v>
          </cell>
          <cell r="S43">
            <v>1.8191848781123248</v>
          </cell>
          <cell r="U43">
            <v>1.464726666666667</v>
          </cell>
          <cell r="W43">
            <v>1.829833422638699</v>
          </cell>
          <cell r="AF43">
            <v>7.0152337409836729E-3</v>
          </cell>
        </row>
        <row r="44">
          <cell r="A44">
            <v>44364.333344907405</v>
          </cell>
          <cell r="G44">
            <v>2959</v>
          </cell>
          <cell r="M44">
            <v>1.8193392703303994</v>
          </cell>
          <cell r="N44">
            <v>0.11872738253594015</v>
          </cell>
          <cell r="O44">
            <v>1.8414382517949666</v>
          </cell>
          <cell r="S44">
            <v>1.777801419944633</v>
          </cell>
          <cell r="U44">
            <v>1.455986666666667</v>
          </cell>
          <cell r="W44">
            <v>1.690520946528246</v>
          </cell>
          <cell r="AF44">
            <v>4.9729741512567482E-3</v>
          </cell>
        </row>
        <row r="45">
          <cell r="A45">
            <v>44365.333541666667</v>
          </cell>
          <cell r="G45">
            <v>3004</v>
          </cell>
          <cell r="M45">
            <v>1.7372456271197712</v>
          </cell>
          <cell r="N45">
            <v>0.16279411851581863</v>
          </cell>
          <cell r="O45">
            <v>1.4892418893251023</v>
          </cell>
          <cell r="S45">
            <v>1.6889922273278042</v>
          </cell>
          <cell r="U45">
            <v>1.41577</v>
          </cell>
          <cell r="W45">
            <v>1.5957289447767777</v>
          </cell>
          <cell r="AF45">
            <v>5.5532468434660309E-3</v>
          </cell>
        </row>
        <row r="46">
          <cell r="A46">
            <v>44366.333622685182</v>
          </cell>
          <cell r="G46">
            <v>2985</v>
          </cell>
          <cell r="M46">
            <v>1.6319215931364173</v>
          </cell>
          <cell r="N46">
            <v>0.20818883847065645</v>
          </cell>
          <cell r="O46">
            <v>1.4183711659386109</v>
          </cell>
          <cell r="S46">
            <v>1.5780809357800378</v>
          </cell>
          <cell r="U46">
            <v>1.3840233333333332</v>
          </cell>
          <cell r="W46">
            <v>1.5157947983053972</v>
          </cell>
          <cell r="AF46">
            <v>3.9266729900961916E-3</v>
          </cell>
        </row>
        <row r="47">
          <cell r="A47">
            <v>44367.333449074074</v>
          </cell>
          <cell r="G47">
            <v>2969</v>
          </cell>
          <cell r="M47">
            <v>1.5771733774625538</v>
          </cell>
          <cell r="N47">
            <v>0.21811830043059124</v>
          </cell>
          <cell r="O47">
            <v>1.3468474255178386</v>
          </cell>
          <cell r="S47">
            <v>1.5216909099922424</v>
          </cell>
          <cell r="U47">
            <v>1.3443366666666665</v>
          </cell>
          <cell r="W47">
            <v>1.5042120440932005</v>
          </cell>
          <cell r="AF47">
            <v>-1.2467259199560043E-3</v>
          </cell>
        </row>
        <row r="48">
          <cell r="A48">
            <v>44368.333425925928</v>
          </cell>
          <cell r="G48">
            <v>2930</v>
          </cell>
          <cell r="M48">
            <v>1.5572936651649376</v>
          </cell>
          <cell r="N48">
            <v>1.5625332285451479</v>
          </cell>
          <cell r="O48">
            <v>1.4624249023281932</v>
          </cell>
          <cell r="S48">
            <v>1.5017078766954746</v>
          </cell>
          <cell r="U48">
            <v>1.3166033333333336</v>
          </cell>
          <cell r="W48">
            <v>1.4403466831729552</v>
          </cell>
          <cell r="AF48">
            <v>-4.4447126511132362E-3</v>
          </cell>
        </row>
        <row r="49">
          <cell r="A49">
            <v>44369.333541666667</v>
          </cell>
          <cell r="G49">
            <v>2910</v>
          </cell>
          <cell r="M49">
            <v>1.5215130318012648</v>
          </cell>
          <cell r="N49">
            <v>0.6940168836998688</v>
          </cell>
          <cell r="O49">
            <v>1.4351039480554644</v>
          </cell>
          <cell r="S49">
            <v>1.4649083484806908</v>
          </cell>
          <cell r="U49">
            <v>1.2841166666666664</v>
          </cell>
          <cell r="W49">
            <v>1.3981768185521797</v>
          </cell>
          <cell r="AF49">
            <v>1.3278025445855324E-3</v>
          </cell>
        </row>
        <row r="50">
          <cell r="A50">
            <v>44370.333692129629</v>
          </cell>
          <cell r="G50">
            <v>2963</v>
          </cell>
          <cell r="M50">
            <v>1.4708500596987164</v>
          </cell>
          <cell r="N50">
            <v>0.54700546489167468</v>
          </cell>
          <cell r="O50">
            <v>1.1979412638371021</v>
          </cell>
          <cell r="S50">
            <v>1.410044111731837</v>
          </cell>
          <cell r="U50">
            <v>1.2627566666666667</v>
          </cell>
          <cell r="W50">
            <v>1.3490472498834334</v>
          </cell>
          <cell r="AF50">
            <v>6.2926803884848503E-3</v>
          </cell>
        </row>
        <row r="51">
          <cell r="A51">
            <v>44371.333344907405</v>
          </cell>
          <cell r="G51">
            <v>3069</v>
          </cell>
          <cell r="M51">
            <v>1.4006406443815373</v>
          </cell>
          <cell r="N51">
            <v>0.22937133476424254</v>
          </cell>
          <cell r="O51">
            <v>1.1925020652094547</v>
          </cell>
          <cell r="S51">
            <v>1.3347432237991859</v>
          </cell>
          <cell r="U51">
            <v>1.2428833333333331</v>
          </cell>
          <cell r="W51">
            <v>1.3241171495222479</v>
          </cell>
          <cell r="AF51">
            <v>4.1369913335702613E-3</v>
          </cell>
        </row>
        <row r="52">
          <cell r="A52">
            <v>44372.333333333336</v>
          </cell>
          <cell r="G52">
            <v>3126</v>
          </cell>
          <cell r="M52">
            <v>1.3797828947354385</v>
          </cell>
          <cell r="N52">
            <v>0.28551515040878167</v>
          </cell>
          <cell r="O52">
            <v>1.1936242516923676</v>
          </cell>
          <cell r="S52">
            <v>1.3180781209330727</v>
          </cell>
          <cell r="U52">
            <v>1.2310700000000001</v>
          </cell>
          <cell r="W52">
            <v>1.3053146368324795</v>
          </cell>
          <cell r="AF52">
            <v>3.2846991036734607E-3</v>
          </cell>
        </row>
        <row r="53">
          <cell r="A53">
            <v>44373.333333333336</v>
          </cell>
          <cell r="G53">
            <v>3171</v>
          </cell>
          <cell r="M53">
            <v>1.3398669768578546</v>
          </cell>
          <cell r="N53">
            <v>0.2535016471157745</v>
          </cell>
          <cell r="O53">
            <v>1.1881760796565168</v>
          </cell>
          <cell r="S53">
            <v>1.2869389321081219</v>
          </cell>
          <cell r="U53">
            <v>1.22</v>
          </cell>
          <cell r="W53">
            <v>1.2606536129599137</v>
          </cell>
          <cell r="AF53">
            <v>4.0571373233631025E-3</v>
          </cell>
        </row>
        <row r="54">
          <cell r="A54">
            <v>44374.333391203705</v>
          </cell>
          <cell r="G54">
            <v>3224</v>
          </cell>
          <cell r="M54">
            <v>1.3185534579871967</v>
          </cell>
          <cell r="N54">
            <v>0.29337453486192505</v>
          </cell>
          <cell r="O54">
            <v>1.1620768243260398</v>
          </cell>
          <cell r="S54">
            <v>1.2675188288264663</v>
          </cell>
          <cell r="U54">
            <v>1.2007333333333332</v>
          </cell>
          <cell r="W54">
            <v>1.2342809212371502</v>
          </cell>
          <cell r="AF54">
            <v>6.1196825380906983E-3</v>
          </cell>
        </row>
        <row r="55">
          <cell r="A55">
            <v>44375.333391203705</v>
          </cell>
          <cell r="G55">
            <v>3219</v>
          </cell>
          <cell r="M55">
            <v>1.2912745810338093</v>
          </cell>
          <cell r="N55">
            <v>0.2109363097815575</v>
          </cell>
          <cell r="O55">
            <v>1.1618772660235597</v>
          </cell>
          <cell r="S55">
            <v>1.2392850629924164</v>
          </cell>
          <cell r="U55">
            <v>1.1748499999999999</v>
          </cell>
          <cell r="W55">
            <v>1.214476413693113</v>
          </cell>
          <cell r="AF55">
            <v>8.3058163041185296E-3</v>
          </cell>
        </row>
        <row r="56">
          <cell r="A56">
            <v>44376.333587962959</v>
          </cell>
          <cell r="G56">
            <v>3229</v>
          </cell>
          <cell r="M56">
            <v>1.2713539522516579</v>
          </cell>
          <cell r="N56">
            <v>0.29020146004816544</v>
          </cell>
          <cell r="O56">
            <v>1.1572775594510962</v>
          </cell>
          <cell r="S56">
            <v>1.2179759574914428</v>
          </cell>
          <cell r="U56">
            <v>1.1575699999999998</v>
          </cell>
          <cell r="W56">
            <v>1.1934667916649055</v>
          </cell>
          <cell r="AF56">
            <v>1.1167029982793286E-2</v>
          </cell>
        </row>
        <row r="57">
          <cell r="A57">
            <v>44377.333344907405</v>
          </cell>
          <cell r="G57">
            <v>3239</v>
          </cell>
          <cell r="M57">
            <v>1.2717178835690102</v>
          </cell>
          <cell r="N57">
            <v>0.19491327623319921</v>
          </cell>
          <cell r="O57">
            <v>1.0767752470034113</v>
          </cell>
          <cell r="S57">
            <v>1.2191917599398778</v>
          </cell>
          <cell r="U57">
            <v>1.1457533333333332</v>
          </cell>
          <cell r="W57">
            <v>1.1760101287312255</v>
          </cell>
          <cell r="AF57">
            <v>1.2470633448095292E-2</v>
          </cell>
        </row>
        <row r="58">
          <cell r="A58">
            <v>44378.333425925928</v>
          </cell>
          <cell r="G58">
            <v>3248</v>
          </cell>
          <cell r="M58">
            <v>1.2670074410743983</v>
          </cell>
          <cell r="N58">
            <v>0.25289932792542591</v>
          </cell>
          <cell r="O58">
            <v>1.0992758908290847</v>
          </cell>
          <cell r="S58">
            <v>1.2156352795030574</v>
          </cell>
          <cell r="U58">
            <v>1.1327033333333332</v>
          </cell>
          <cell r="W58">
            <v>1.1661932452436754</v>
          </cell>
          <cell r="AF58">
            <v>1.3062275643053178E-2</v>
          </cell>
        </row>
        <row r="59">
          <cell r="A59">
            <v>44379.333402777775</v>
          </cell>
          <cell r="G59">
            <v>3310</v>
          </cell>
          <cell r="M59">
            <v>1.2596049405363325</v>
          </cell>
          <cell r="N59">
            <v>0.20090856295374168</v>
          </cell>
          <cell r="O59">
            <v>1.0958406176116986</v>
          </cell>
          <cell r="S59">
            <v>1.2116344450711365</v>
          </cell>
          <cell r="U59">
            <v>1.1231166666666668</v>
          </cell>
          <cell r="W59">
            <v>1.1318979136477587</v>
          </cell>
          <cell r="AF59">
            <v>1.3346176506823015E-2</v>
          </cell>
        </row>
        <row r="60">
          <cell r="A60">
            <v>44380.333449074074</v>
          </cell>
          <cell r="G60">
            <v>3407</v>
          </cell>
          <cell r="M60">
            <v>1.2469790562541123</v>
          </cell>
          <cell r="N60">
            <v>0.15519368122927341</v>
          </cell>
          <cell r="O60">
            <v>1.084501477490978</v>
          </cell>
          <cell r="S60">
            <v>1.2007701961368937</v>
          </cell>
          <cell r="U60">
            <v>1.1142866666666664</v>
          </cell>
          <cell r="W60">
            <v>1.0836130374915558</v>
          </cell>
          <cell r="AF60">
            <v>1.5415270287800098E-2</v>
          </cell>
        </row>
        <row r="61">
          <cell r="A61">
            <v>44381.333379629628</v>
          </cell>
          <cell r="G61">
            <v>3435</v>
          </cell>
          <cell r="M61">
            <v>1.2411398367761186</v>
          </cell>
          <cell r="N61">
            <v>0.15346765525331674</v>
          </cell>
          <cell r="O61">
            <v>1.0815215656646018</v>
          </cell>
          <cell r="S61">
            <v>1.1921932477808748</v>
          </cell>
          <cell r="U61">
            <v>1.1044033333333332</v>
          </cell>
          <cell r="W61">
            <v>1.0661911784513012</v>
          </cell>
          <cell r="AF61">
            <v>1.3541044320100948E-2</v>
          </cell>
        </row>
        <row r="62">
          <cell r="A62">
            <v>44382.333391203705</v>
          </cell>
          <cell r="G62">
            <v>3451</v>
          </cell>
          <cell r="M62">
            <v>1.2356051330722793</v>
          </cell>
          <cell r="N62">
            <v>0.19348308523644311</v>
          </cell>
          <cell r="O62">
            <v>1.0939246447094191</v>
          </cell>
          <cell r="S62">
            <v>1.1861867313275016</v>
          </cell>
          <cell r="U62">
            <v>1.0925733333333332</v>
          </cell>
          <cell r="W62">
            <v>1.0662199455250989</v>
          </cell>
          <cell r="AF62">
            <v>1.3831997089036818E-2</v>
          </cell>
        </row>
        <row r="63">
          <cell r="A63">
            <v>44383.333518518521</v>
          </cell>
          <cell r="G63">
            <v>3494</v>
          </cell>
          <cell r="M63">
            <v>1.2382571888904865</v>
          </cell>
          <cell r="N63">
            <v>0.20708367587774715</v>
          </cell>
          <cell r="O63">
            <v>1.1075290427048721</v>
          </cell>
          <cell r="S63">
            <v>1.1897429414868992</v>
          </cell>
          <cell r="U63">
            <v>1.0846399999999998</v>
          </cell>
          <cell r="W63">
            <v>1.0409211041187176</v>
          </cell>
          <cell r="AF63">
            <v>6.043217850662197E-3</v>
          </cell>
        </row>
        <row r="64">
          <cell r="A64">
            <v>44384.333333333336</v>
          </cell>
          <cell r="G64">
            <v>3511</v>
          </cell>
          <cell r="M64">
            <v>1.249822096153971</v>
          </cell>
          <cell r="N64">
            <v>0.19498239541638249</v>
          </cell>
          <cell r="O64">
            <v>1.0971657819277572</v>
          </cell>
          <cell r="S64">
            <v>1.2055441716481092</v>
          </cell>
          <cell r="U64">
            <v>1.0722699999999998</v>
          </cell>
          <cell r="W64">
            <v>1.0148665074873404</v>
          </cell>
          <cell r="AF64">
            <v>6.0770752670176176E-3</v>
          </cell>
        </row>
        <row r="65">
          <cell r="A65">
            <v>44385.333368055559</v>
          </cell>
          <cell r="G65">
            <v>3539</v>
          </cell>
          <cell r="M65">
            <v>1.2445622198986612</v>
          </cell>
          <cell r="N65">
            <v>0.21243914104629161</v>
          </cell>
          <cell r="O65">
            <v>1.1331469912091754</v>
          </cell>
          <cell r="S65">
            <v>1.1946635224802447</v>
          </cell>
          <cell r="U65">
            <v>1.0609566666666665</v>
          </cell>
          <cell r="W65">
            <v>0.99685040439960326</v>
          </cell>
          <cell r="AF65">
            <v>7.9496541474761706E-3</v>
          </cell>
        </row>
        <row r="66">
          <cell r="A66">
            <v>44386.33357638889</v>
          </cell>
          <cell r="G66">
            <v>3575</v>
          </cell>
          <cell r="M66">
            <v>1.2417872766041995</v>
          </cell>
          <cell r="N66">
            <v>0.20706590508778019</v>
          </cell>
          <cell r="O66">
            <v>1.125454644908841</v>
          </cell>
          <cell r="S66">
            <v>1.1851028007290867</v>
          </cell>
          <cell r="U66">
            <v>1.0516566666666669</v>
          </cell>
          <cell r="W66">
            <v>0.98125352030834068</v>
          </cell>
          <cell r="AF66">
            <v>7.447330427765575E-3</v>
          </cell>
        </row>
        <row r="67">
          <cell r="A67">
            <v>44387.333402777775</v>
          </cell>
          <cell r="G67">
            <v>3630</v>
          </cell>
          <cell r="M67">
            <v>1.2522615031670128</v>
          </cell>
          <cell r="N67">
            <v>0.22825717938804685</v>
          </cell>
          <cell r="O67">
            <v>1.1131544091572474</v>
          </cell>
          <cell r="S67">
            <v>1.190068007581881</v>
          </cell>
          <cell r="U67">
            <v>1.0441100000000001</v>
          </cell>
          <cell r="W67">
            <v>0.94822700985805786</v>
          </cell>
          <cell r="AF67">
            <v>5.7618549795814822E-3</v>
          </cell>
        </row>
        <row r="68">
          <cell r="A68">
            <v>44388.333425925928</v>
          </cell>
          <cell r="G68">
            <v>3693</v>
          </cell>
          <cell r="M68">
            <v>1.2599271458042482</v>
          </cell>
          <cell r="N68">
            <v>9.5415208684579408E-2</v>
          </cell>
          <cell r="O68">
            <v>1.1036008933239925</v>
          </cell>
          <cell r="S68">
            <v>1.1771245499793224</v>
          </cell>
          <cell r="U68">
            <v>1.0335166666666666</v>
          </cell>
          <cell r="W68">
            <v>0.93019968401780595</v>
          </cell>
          <cell r="AF68">
            <v>5.8637266516541331E-3</v>
          </cell>
        </row>
        <row r="69">
          <cell r="A69">
            <v>44389.333368055559</v>
          </cell>
          <cell r="G69">
            <v>3746</v>
          </cell>
          <cell r="M69">
            <v>1.2483183195060326</v>
          </cell>
          <cell r="N69">
            <v>7.3317948534603966E-2</v>
          </cell>
          <cell r="O69">
            <v>1.1143574545210617</v>
          </cell>
          <cell r="S69">
            <v>1.1506474194632792</v>
          </cell>
          <cell r="U69">
            <v>1.0257400000000001</v>
          </cell>
          <cell r="W69">
            <v>0.93102982164568415</v>
          </cell>
          <cell r="AF69">
            <v>7.5872299001948917E-3</v>
          </cell>
        </row>
        <row r="70">
          <cell r="A70">
            <v>44390.333680555559</v>
          </cell>
          <cell r="G70">
            <v>3734</v>
          </cell>
          <cell r="M70">
            <v>1.2779072292469451</v>
          </cell>
          <cell r="N70">
            <v>0.13847596660079006</v>
          </cell>
          <cell r="O70">
            <v>1.102069354983058</v>
          </cell>
          <cell r="S70">
            <v>1.1546619939316227</v>
          </cell>
          <cell r="U70">
            <v>1.0194166666666666</v>
          </cell>
          <cell r="W70">
            <v>0.92597415157393437</v>
          </cell>
          <cell r="AF70">
            <v>6.7711877985121571E-3</v>
          </cell>
        </row>
        <row r="71">
          <cell r="A71">
            <v>44391.333425925928</v>
          </cell>
          <cell r="G71">
            <v>3720</v>
          </cell>
          <cell r="M71">
            <v>1.2973721426575588</v>
          </cell>
          <cell r="N71">
            <v>0.22656548860891457</v>
          </cell>
          <cell r="O71">
            <v>1.1071255846940771</v>
          </cell>
          <cell r="S71">
            <v>1.1680313434473377</v>
          </cell>
          <cell r="U71">
            <v>1.0122333333333333</v>
          </cell>
          <cell r="W71">
            <v>0.93307426909576097</v>
          </cell>
          <cell r="AF71">
            <v>6.2997427763908931E-3</v>
          </cell>
        </row>
        <row r="72">
          <cell r="A72">
            <v>44392.333472222221</v>
          </cell>
          <cell r="G72">
            <v>3744</v>
          </cell>
          <cell r="M72">
            <v>1.3035212183451981</v>
          </cell>
          <cell r="N72">
            <v>0.19441954652139543</v>
          </cell>
          <cell r="O72">
            <v>1.1054223141648558</v>
          </cell>
          <cell r="S72">
            <v>1.1743506238675998</v>
          </cell>
          <cell r="U72">
            <v>1.0103499999999999</v>
          </cell>
          <cell r="W72">
            <v>0.92804741558191106</v>
          </cell>
          <cell r="AF72">
            <v>6.0358210626703102E-3</v>
          </cell>
        </row>
        <row r="73">
          <cell r="A73">
            <v>44393.333379629628</v>
          </cell>
          <cell r="G73">
            <v>3753</v>
          </cell>
          <cell r="M73">
            <v>1.3168492492801782</v>
          </cell>
          <cell r="N73">
            <v>0.20747966606909435</v>
          </cell>
          <cell r="O73">
            <v>1.0599252967180268</v>
          </cell>
          <cell r="S73">
            <v>1.1906609062787803</v>
          </cell>
          <cell r="U73">
            <v>1.0063900000000001</v>
          </cell>
          <cell r="W73">
            <v>0.91997584999959725</v>
          </cell>
          <cell r="AF73">
            <v>6.3310090670749553E-3</v>
          </cell>
        </row>
        <row r="74">
          <cell r="A74">
            <v>44394.333425925928</v>
          </cell>
          <cell r="G74">
            <v>3771</v>
          </cell>
          <cell r="M74">
            <v>1.3245948532949861</v>
          </cell>
          <cell r="N74">
            <v>0.16492776118511876</v>
          </cell>
          <cell r="O74">
            <v>1.0611809913461852</v>
          </cell>
          <cell r="S74">
            <v>1.1982993907381938</v>
          </cell>
          <cell r="U74">
            <v>1.0023500000000001</v>
          </cell>
          <cell r="W74">
            <v>0.90029581072529863</v>
          </cell>
          <cell r="AF74">
            <v>3.6600976013476672E-3</v>
          </cell>
        </row>
        <row r="75">
          <cell r="A75">
            <v>44395.333854166667</v>
          </cell>
          <cell r="G75">
            <v>3810</v>
          </cell>
          <cell r="M75">
            <v>1.3133610229518027</v>
          </cell>
          <cell r="N75">
            <v>9.0109474992977334E-2</v>
          </cell>
          <cell r="O75">
            <v>1.0435340259723533</v>
          </cell>
          <cell r="S75">
            <v>1.1845670732643396</v>
          </cell>
          <cell r="U75">
            <v>0.99706000000000006</v>
          </cell>
          <cell r="W75">
            <v>0.89247808051580479</v>
          </cell>
          <cell r="AF75">
            <v>3.247747385879407E-3</v>
          </cell>
        </row>
        <row r="76">
          <cell r="A76">
            <v>44396.333541666667</v>
          </cell>
          <cell r="G76">
            <v>3817</v>
          </cell>
          <cell r="M76">
            <v>1.3029557950559236</v>
          </cell>
          <cell r="N76">
            <v>0.12513641305333589</v>
          </cell>
          <cell r="O76">
            <v>1.049473430143413</v>
          </cell>
          <cell r="S76">
            <v>1.1724039619241922</v>
          </cell>
          <cell r="U76">
            <v>0.99835000000000007</v>
          </cell>
          <cell r="W76">
            <v>0.89137636766014894</v>
          </cell>
          <cell r="AF76">
            <v>3.760244174344729E-3</v>
          </cell>
        </row>
        <row r="77">
          <cell r="A77">
            <v>44397.333368055559</v>
          </cell>
          <cell r="G77">
            <v>3791</v>
          </cell>
          <cell r="M77">
            <v>1.306779512153043</v>
          </cell>
          <cell r="N77">
            <v>0.23967372218792513</v>
          </cell>
          <cell r="O77">
            <v>1.0415720145696192</v>
          </cell>
          <cell r="S77">
            <v>1.1748696525440532</v>
          </cell>
          <cell r="U77">
            <v>0.99967666666666688</v>
          </cell>
          <cell r="W77">
            <v>0.84296894066757555</v>
          </cell>
          <cell r="AF77">
            <v>-1.97286861822632E-3</v>
          </cell>
        </row>
        <row r="78">
          <cell r="A78">
            <v>44398.333379629628</v>
          </cell>
          <cell r="G78">
            <v>3790</v>
          </cell>
          <cell r="M78">
            <v>1.2249119580221479</v>
          </cell>
          <cell r="N78">
            <v>0.1425495750721586</v>
          </cell>
          <cell r="O78">
            <v>0.93420222950472609</v>
          </cell>
          <cell r="S78">
            <v>1.0865290425012519</v>
          </cell>
          <cell r="U78">
            <v>0.98727000000000009</v>
          </cell>
          <cell r="W78">
            <v>0.79968645309771824</v>
          </cell>
          <cell r="AF78">
            <v>6.78964177520891E-4</v>
          </cell>
        </row>
        <row r="79">
          <cell r="A79">
            <v>44399.333344907405</v>
          </cell>
          <cell r="G79">
            <v>3793</v>
          </cell>
          <cell r="M79">
            <v>1.1968033970463772</v>
          </cell>
          <cell r="N79">
            <v>0.29190694498047581</v>
          </cell>
          <cell r="O79">
            <v>0.93510610514140324</v>
          </cell>
          <cell r="S79">
            <v>1.0569030771517136</v>
          </cell>
          <cell r="U79">
            <v>0.97474666666666687</v>
          </cell>
          <cell r="W79">
            <v>0.77362261062433169</v>
          </cell>
          <cell r="AF79">
            <v>6.2701123063675368E-3</v>
          </cell>
        </row>
        <row r="80">
          <cell r="A80">
            <v>44400.33353009259</v>
          </cell>
          <cell r="G80">
            <v>3819</v>
          </cell>
          <cell r="M80">
            <v>1.1629648115918987</v>
          </cell>
          <cell r="N80">
            <v>0.14350430178454721</v>
          </cell>
          <cell r="O80">
            <v>0.9271804870013004</v>
          </cell>
          <cell r="S80">
            <v>1.0184582703571592</v>
          </cell>
          <cell r="U80">
            <v>0.96711000000000003</v>
          </cell>
          <cell r="W80">
            <v>0.76629743087463686</v>
          </cell>
          <cell r="AF80">
            <v>7.0501208129745141E-3</v>
          </cell>
        </row>
        <row r="81">
          <cell r="A81">
            <v>44401.333645833336</v>
          </cell>
          <cell r="G81">
            <v>3822</v>
          </cell>
          <cell r="M81">
            <v>1.1522284768136699</v>
          </cell>
          <cell r="N81">
            <v>0.13274566183716929</v>
          </cell>
          <cell r="O81">
            <v>0.93210602201900217</v>
          </cell>
          <cell r="S81">
            <v>1.00515232840436</v>
          </cell>
          <cell r="U81">
            <v>0.96077999999999997</v>
          </cell>
          <cell r="W81">
            <v>0.74509089350549296</v>
          </cell>
          <cell r="AF81">
            <v>6.8263776237063034E-3</v>
          </cell>
        </row>
        <row r="82">
          <cell r="A82">
            <v>44402.333599537036</v>
          </cell>
          <cell r="G82">
            <v>3842</v>
          </cell>
          <cell r="M82">
            <v>1.1396504478799621</v>
          </cell>
          <cell r="N82">
            <v>0.11380380437430486</v>
          </cell>
          <cell r="O82">
            <v>0.86633616019802528</v>
          </cell>
          <cell r="S82">
            <v>0.98236309483415718</v>
          </cell>
          <cell r="U82">
            <v>0.95171666666666666</v>
          </cell>
          <cell r="W82">
            <v>0.75256698130869715</v>
          </cell>
          <cell r="AF82">
            <v>6.5013443685559835E-3</v>
          </cell>
        </row>
        <row r="83">
          <cell r="A83">
            <v>44403.333483796298</v>
          </cell>
          <cell r="G83">
            <v>3778</v>
          </cell>
          <cell r="M83">
            <v>1.1357974423079527</v>
          </cell>
          <cell r="N83">
            <v>0.17364764853716824</v>
          </cell>
          <cell r="O83">
            <v>0.86743116144935661</v>
          </cell>
          <cell r="S83">
            <v>0.97270970717603999</v>
          </cell>
          <cell r="U83">
            <v>0.94675000000000009</v>
          </cell>
          <cell r="W83">
            <v>0.75422094921248328</v>
          </cell>
          <cell r="AF83">
            <v>5.2381037711215495E-3</v>
          </cell>
        </row>
        <row r="84">
          <cell r="A84">
            <v>44404.333391203705</v>
          </cell>
          <cell r="G84">
            <v>3788</v>
          </cell>
          <cell r="M84">
            <v>1.131746750084186</v>
          </cell>
          <cell r="N84">
            <v>0.25761213474200229</v>
          </cell>
          <cell r="O84">
            <v>0.83202977950180779</v>
          </cell>
          <cell r="S84">
            <v>0.96908427095159944</v>
          </cell>
          <cell r="U84">
            <v>0.94349333333333329</v>
          </cell>
          <cell r="W84">
            <v>0.75051393335109173</v>
          </cell>
          <cell r="AF84">
            <v>5.2210898807814043E-3</v>
          </cell>
        </row>
        <row r="85">
          <cell r="A85">
            <v>44405.333645833336</v>
          </cell>
          <cell r="G85">
            <v>3794</v>
          </cell>
          <cell r="M85">
            <v>1.1289085271921444</v>
          </cell>
          <cell r="N85">
            <v>0.19395729614086796</v>
          </cell>
          <cell r="O85">
            <v>0.81639606305460366</v>
          </cell>
          <cell r="S85">
            <v>0.96697084658030164</v>
          </cell>
          <cell r="U85">
            <v>0.94166000000000005</v>
          </cell>
          <cell r="W85">
            <v>0.74408804013187935</v>
          </cell>
          <cell r="AF85">
            <v>3.405210101953049E-3</v>
          </cell>
        </row>
        <row r="86">
          <cell r="A86">
            <v>44406.333414351851</v>
          </cell>
          <cell r="G86">
            <v>3824</v>
          </cell>
          <cell r="M86">
            <v>1.1095109460431012</v>
          </cell>
          <cell r="N86">
            <v>0.11373558894352265</v>
          </cell>
          <cell r="O86">
            <v>0.8152639237235163</v>
          </cell>
          <cell r="S86">
            <v>0.94370620268325223</v>
          </cell>
          <cell r="U86">
            <v>0.9405066666666666</v>
          </cell>
          <cell r="W86">
            <v>0.74500521366697647</v>
          </cell>
          <cell r="AF86">
            <v>3.0188551505239136E-3</v>
          </cell>
        </row>
        <row r="87">
          <cell r="A87">
            <v>44407.333703703705</v>
          </cell>
          <cell r="G87">
            <v>3862</v>
          </cell>
          <cell r="M87">
            <v>1.0985321520625682</v>
          </cell>
          <cell r="N87">
            <v>0.10622247650422671</v>
          </cell>
          <cell r="O87">
            <v>0.80532107967735256</v>
          </cell>
          <cell r="S87">
            <v>0.92944579323478294</v>
          </cell>
          <cell r="U87">
            <v>0.93777333333333324</v>
          </cell>
          <cell r="W87">
            <v>0.73838827939518858</v>
          </cell>
          <cell r="AF87">
            <v>1.5593338266128853E-4</v>
          </cell>
        </row>
        <row r="88">
          <cell r="A88">
            <v>44408.333495370367</v>
          </cell>
          <cell r="G88">
            <v>3865</v>
          </cell>
          <cell r="M88">
            <v>1.083472867121601</v>
          </cell>
          <cell r="N88">
            <v>0.12640536122358836</v>
          </cell>
          <cell r="O88">
            <v>0.76107331491919017</v>
          </cell>
          <cell r="S88">
            <v>0.91241593577550106</v>
          </cell>
          <cell r="U88">
            <v>0.9355633333333333</v>
          </cell>
          <cell r="W88">
            <v>0.74580249804593812</v>
          </cell>
          <cell r="AF88">
            <v>-3.1310046361774369E-3</v>
          </cell>
        </row>
        <row r="89">
          <cell r="A89">
            <v>44409.33353009259</v>
          </cell>
          <cell r="G89">
            <v>3805</v>
          </cell>
          <cell r="M89">
            <v>1.0739897828239926</v>
          </cell>
          <cell r="N89">
            <v>0.1417088340853995</v>
          </cell>
          <cell r="O89">
            <v>0.76018706535152569</v>
          </cell>
          <cell r="S89">
            <v>0.90401819322324894</v>
          </cell>
          <cell r="U89">
            <v>0.93591999999999997</v>
          </cell>
          <cell r="W89">
            <v>0.75661688293198393</v>
          </cell>
          <cell r="AF89">
            <v>-2.851044906808653E-3</v>
          </cell>
        </row>
        <row r="90">
          <cell r="A90">
            <v>44410.333449074074</v>
          </cell>
          <cell r="G90">
            <v>3789</v>
          </cell>
          <cell r="M90">
            <v>1.0872458397524531</v>
          </cell>
          <cell r="N90">
            <v>0.27139510241228926</v>
          </cell>
          <cell r="O90">
            <v>0.7545304355625273</v>
          </cell>
          <cell r="S90">
            <v>0.91822210284374806</v>
          </cell>
          <cell r="U90">
            <v>0.93662666666666661</v>
          </cell>
          <cell r="W90">
            <v>0.76984501659437876</v>
          </cell>
          <cell r="AF90">
            <v>-6.3650720129803107E-3</v>
          </cell>
        </row>
        <row r="91">
          <cell r="A91">
            <v>44411.333437499998</v>
          </cell>
          <cell r="G91">
            <v>3789</v>
          </cell>
          <cell r="M91">
            <v>1.0946343704572636</v>
          </cell>
          <cell r="N91">
            <v>0.2229821554742788</v>
          </cell>
          <cell r="O91">
            <v>0.76008015260861683</v>
          </cell>
          <cell r="S91">
            <v>0.92741908157875552</v>
          </cell>
          <cell r="U91">
            <v>0.93907999999999991</v>
          </cell>
          <cell r="W91">
            <v>0.77084770239122002</v>
          </cell>
          <cell r="AF91">
            <v>-8.0650313125673057E-3</v>
          </cell>
        </row>
        <row r="92">
          <cell r="A92">
            <v>44412.333460648151</v>
          </cell>
          <cell r="G92">
            <v>3806</v>
          </cell>
          <cell r="M92">
            <v>1.0964849764520941</v>
          </cell>
          <cell r="N92">
            <v>0.21501439595346225</v>
          </cell>
          <cell r="O92">
            <v>0.78392419948660841</v>
          </cell>
          <cell r="S92">
            <v>0.93008314342000842</v>
          </cell>
          <cell r="U92">
            <v>0.94419666666666657</v>
          </cell>
          <cell r="W92">
            <v>0.783521223866536</v>
          </cell>
          <cell r="AF92">
            <v>-2.0066613293833191E-3</v>
          </cell>
        </row>
        <row r="93">
          <cell r="A93">
            <v>44413.333761574075</v>
          </cell>
          <cell r="G93">
            <v>3789</v>
          </cell>
          <cell r="M93">
            <v>1.095332400017889</v>
          </cell>
          <cell r="N93">
            <v>0.20492794148620291</v>
          </cell>
          <cell r="O93">
            <v>0.77191652290462143</v>
          </cell>
          <cell r="S93">
            <v>0.92981819308296243</v>
          </cell>
          <cell r="U93">
            <v>0.94981333333333329</v>
          </cell>
          <cell r="W93">
            <v>0.79301996169130395</v>
          </cell>
          <cell r="AF93">
            <v>-2.2599076622021874E-3</v>
          </cell>
        </row>
        <row r="94">
          <cell r="A94">
            <v>44414.333541666667</v>
          </cell>
          <cell r="G94">
            <v>3810</v>
          </cell>
          <cell r="M94">
            <v>1.0968496488692279</v>
          </cell>
          <cell r="N94">
            <v>0.21984069337399026</v>
          </cell>
          <cell r="O94">
            <v>0.77282237987596802</v>
          </cell>
          <cell r="S94">
            <v>0.93286155653797986</v>
          </cell>
          <cell r="U94">
            <v>0.95456000000000008</v>
          </cell>
          <cell r="W94">
            <v>0.79659757855446089</v>
          </cell>
          <cell r="AF94">
            <v>-3.0454274400349979E-3</v>
          </cell>
        </row>
        <row r="95">
          <cell r="A95">
            <v>44415.333483796298</v>
          </cell>
          <cell r="G95">
            <v>3786</v>
          </cell>
          <cell r="M95">
            <v>1.0542393773429077</v>
          </cell>
          <cell r="N95">
            <v>8.8229036284263304E-2</v>
          </cell>
          <cell r="O95">
            <v>0.74266165364319781</v>
          </cell>
          <cell r="S95">
            <v>0.91206606022595704</v>
          </cell>
          <cell r="U95">
            <v>0.96151333333333322</v>
          </cell>
          <cell r="W95">
            <v>0.80265474666729908</v>
          </cell>
          <cell r="AF95">
            <v>-9.6664352141263565E-3</v>
          </cell>
        </row>
        <row r="96">
          <cell r="A96">
            <v>44416.333333333336</v>
          </cell>
          <cell r="G96">
            <v>3747</v>
          </cell>
          <cell r="M96">
            <v>1.0466947876584638</v>
          </cell>
          <cell r="N96">
            <v>0.26551875366893612</v>
          </cell>
          <cell r="O96">
            <v>0.77141254175254825</v>
          </cell>
          <cell r="S96">
            <v>0.91863069088403426</v>
          </cell>
          <cell r="U96">
            <v>0.96858333333333335</v>
          </cell>
          <cell r="W96">
            <v>0.82682350453515308</v>
          </cell>
          <cell r="AF96">
            <v>-8.876985510726576E-3</v>
          </cell>
        </row>
        <row r="97">
          <cell r="A97">
            <v>44417.333391203705</v>
          </cell>
          <cell r="G97">
            <v>3751</v>
          </cell>
          <cell r="M97">
            <v>1.0407436428105887</v>
          </cell>
          <cell r="N97">
            <v>0.28980101474633213</v>
          </cell>
          <cell r="O97">
            <v>0.77598979083399533</v>
          </cell>
          <cell r="S97">
            <v>0.92513511515053881</v>
          </cell>
          <cell r="U97">
            <v>0.97887000000000013</v>
          </cell>
          <cell r="W97">
            <v>0.85262562441288103</v>
          </cell>
          <cell r="AF97">
            <v>-2.3745622667045163E-3</v>
          </cell>
        </row>
        <row r="98">
          <cell r="A98">
            <v>44418.333460648151</v>
          </cell>
          <cell r="G98">
            <v>3742</v>
          </cell>
          <cell r="M98">
            <v>1.0502269653194918</v>
          </cell>
          <cell r="N98">
            <v>0.2867751710964811</v>
          </cell>
          <cell r="O98">
            <v>0.77971461522660146</v>
          </cell>
          <cell r="S98">
            <v>0.9521239559990502</v>
          </cell>
          <cell r="U98">
            <v>0.98604999999999998</v>
          </cell>
          <cell r="W98">
            <v>0.86061491040291427</v>
          </cell>
          <cell r="AF98">
            <v>-4.4826528984724945E-3</v>
          </cell>
        </row>
        <row r="99">
          <cell r="A99">
            <v>44419.333703703705</v>
          </cell>
          <cell r="G99">
            <v>3735</v>
          </cell>
          <cell r="M99">
            <v>1.040994881317848</v>
          </cell>
          <cell r="N99">
            <v>0.18082148242213608</v>
          </cell>
          <cell r="O99">
            <v>0.7473040838784224</v>
          </cell>
          <cell r="S99">
            <v>0.97372131986602239</v>
          </cell>
          <cell r="U99">
            <v>0.99009999999999998</v>
          </cell>
          <cell r="W99">
            <v>0.86249822522294473</v>
          </cell>
          <cell r="AF99">
            <v>-4.8898643278028064E-3</v>
          </cell>
        </row>
        <row r="100">
          <cell r="A100">
            <v>44420.333622685182</v>
          </cell>
          <cell r="G100">
            <v>3744</v>
          </cell>
          <cell r="M100">
            <v>1.0072057206376708</v>
          </cell>
          <cell r="N100">
            <v>0.1322412007161653</v>
          </cell>
          <cell r="O100">
            <v>0.73768994010405131</v>
          </cell>
          <cell r="S100">
            <v>0.9726582373842777</v>
          </cell>
          <cell r="U100">
            <v>0.99290333333333336</v>
          </cell>
          <cell r="W100">
            <v>0.85152778058616696</v>
          </cell>
          <cell r="AF100">
            <v>-3.5089246057942169E-3</v>
          </cell>
        </row>
        <row r="101">
          <cell r="A101">
            <v>44421.333344907405</v>
          </cell>
          <cell r="G101">
            <v>3755</v>
          </cell>
          <cell r="M101">
            <v>0.96517466430435861</v>
          </cell>
          <cell r="N101">
            <v>0.19881328215471905</v>
          </cell>
          <cell r="O101">
            <v>0.77916647648883341</v>
          </cell>
          <cell r="S101">
            <v>0.96931890719519787</v>
          </cell>
          <cell r="U101">
            <v>0.9979566666666666</v>
          </cell>
          <cell r="W101">
            <v>0.83753263669597022</v>
          </cell>
          <cell r="AF101">
            <v>-4.6440454850522617E-3</v>
          </cell>
        </row>
        <row r="102">
          <cell r="A102">
            <v>44422.333356481482</v>
          </cell>
          <cell r="G102">
            <v>3746</v>
          </cell>
          <cell r="M102">
            <v>0.92887269262072936</v>
          </cell>
          <cell r="N102">
            <v>0.10881256609140465</v>
          </cell>
          <cell r="O102">
            <v>0.75952742825357666</v>
          </cell>
          <cell r="S102">
            <v>0.95567541105037934</v>
          </cell>
          <cell r="U102">
            <v>0.99998666666666669</v>
          </cell>
          <cell r="W102">
            <v>0.82961145369166578</v>
          </cell>
          <cell r="AF102">
            <v>-1.1969066161103825E-3</v>
          </cell>
        </row>
        <row r="103">
          <cell r="A103">
            <v>44423.333344907405</v>
          </cell>
          <cell r="G103">
            <v>3744</v>
          </cell>
          <cell r="M103">
            <v>0.89060874017697433</v>
          </cell>
          <cell r="N103">
            <v>0.11396785853864731</v>
          </cell>
          <cell r="O103">
            <v>0.74972525687846359</v>
          </cell>
          <cell r="S103">
            <v>0.94145899696246016</v>
          </cell>
          <cell r="U103">
            <v>1.0027733333333333</v>
          </cell>
          <cell r="W103">
            <v>0.83767658375629461</v>
          </cell>
          <cell r="AF103">
            <v>3.0030472231716843E-3</v>
          </cell>
        </row>
        <row r="104">
          <cell r="A104">
            <v>44424.333356481482</v>
          </cell>
          <cell r="G104">
            <v>3751</v>
          </cell>
          <cell r="M104">
            <v>0.85690357027719088</v>
          </cell>
          <cell r="N104">
            <v>9.5682136440380164E-2</v>
          </cell>
          <cell r="O104">
            <v>0.78441316350974077</v>
          </cell>
          <cell r="S104">
            <v>0.92884201901072638</v>
          </cell>
          <cell r="U104">
            <v>1.0058866666666666</v>
          </cell>
          <cell r="W104">
            <v>0.84936549015393226</v>
          </cell>
          <cell r="AF104">
            <v>6.148310731881601E-4</v>
          </cell>
        </row>
        <row r="105">
          <cell r="A105">
            <v>44425.333333333336</v>
          </cell>
          <cell r="G105">
            <v>3749</v>
          </cell>
          <cell r="M105">
            <v>0.83045879013313839</v>
          </cell>
          <cell r="N105">
            <v>0.1528987898063239</v>
          </cell>
          <cell r="O105">
            <v>0.81229968212294945</v>
          </cell>
          <cell r="S105">
            <v>0.94109099522603623</v>
          </cell>
          <cell r="U105">
            <v>1.0088099999999998</v>
          </cell>
          <cell r="W105">
            <v>0.85739916435117525</v>
          </cell>
          <cell r="AF105">
            <v>-1.3652181925628559E-3</v>
          </cell>
        </row>
        <row r="106">
          <cell r="A106">
            <v>44426.333391203705</v>
          </cell>
          <cell r="G106">
            <v>3754</v>
          </cell>
          <cell r="M106">
            <v>0.81777357532245487</v>
          </cell>
          <cell r="N106">
            <v>0.23016895850976576</v>
          </cell>
          <cell r="O106">
            <v>0.78714437706599782</v>
          </cell>
          <cell r="S106">
            <v>0.95584368933749475</v>
          </cell>
          <cell r="U106">
            <v>1.0055866666666664</v>
          </cell>
          <cell r="W106">
            <v>0.85897495017353509</v>
          </cell>
          <cell r="AF106">
            <v>3.5183275886025989E-3</v>
          </cell>
        </row>
        <row r="107">
          <cell r="A107">
            <v>44427.333472222221</v>
          </cell>
          <cell r="G107">
            <v>3768</v>
          </cell>
          <cell r="M107">
            <v>0.77277553326866577</v>
          </cell>
          <cell r="N107">
            <v>0.14790895067841689</v>
          </cell>
          <cell r="O107">
            <v>0.7870101128759186</v>
          </cell>
          <cell r="S107">
            <v>0.94388632395696637</v>
          </cell>
          <cell r="U107">
            <v>1.0022799999999998</v>
          </cell>
          <cell r="W107">
            <v>0.86223002111521596</v>
          </cell>
          <cell r="AF107">
            <v>5.300925093298714E-3</v>
          </cell>
        </row>
        <row r="108">
          <cell r="A108">
            <v>44428.333541666667</v>
          </cell>
          <cell r="G108">
            <v>3779</v>
          </cell>
          <cell r="M108">
            <v>0.73717915357935504</v>
          </cell>
          <cell r="N108">
            <v>0.10514606573759566</v>
          </cell>
          <cell r="O108">
            <v>0.72137643992878164</v>
          </cell>
          <cell r="S108">
            <v>0.93689366759609849</v>
          </cell>
          <cell r="U108">
            <v>0.99863999999999975</v>
          </cell>
          <cell r="W108">
            <v>0.86069870195565779</v>
          </cell>
          <cell r="AF108">
            <v>4.1172116246508406E-3</v>
          </cell>
        </row>
        <row r="109">
          <cell r="A109">
            <v>44429.333761574075</v>
          </cell>
          <cell r="G109">
            <v>3774</v>
          </cell>
          <cell r="M109">
            <v>0.68682690748087316</v>
          </cell>
          <cell r="N109">
            <v>6.5710100424186998E-2</v>
          </cell>
          <cell r="O109">
            <v>0.73185880584841256</v>
          </cell>
          <cell r="S109">
            <v>0.89916791747492286</v>
          </cell>
          <cell r="U109">
            <v>0.99640666666666655</v>
          </cell>
          <cell r="W109">
            <v>0.8658922385761213</v>
          </cell>
          <cell r="AF109">
            <v>6.4752818417517233E-3</v>
          </cell>
        </row>
        <row r="110">
          <cell r="A110">
            <v>44430.333715277775</v>
          </cell>
          <cell r="G110">
            <v>3770</v>
          </cell>
          <cell r="M110">
            <v>0.65154297365990443</v>
          </cell>
          <cell r="N110">
            <v>5.8011325806973345E-2</v>
          </cell>
          <cell r="O110">
            <v>0.72316608751104972</v>
          </cell>
          <cell r="S110">
            <v>0.87174322722749065</v>
          </cell>
          <cell r="U110">
            <v>0.99754999999999994</v>
          </cell>
          <cell r="W110">
            <v>0.8795821589258922</v>
          </cell>
          <cell r="AF110">
            <v>6.3907640504081709E-3</v>
          </cell>
        </row>
        <row r="111">
          <cell r="A111">
            <v>44431.333344907405</v>
          </cell>
          <cell r="G111">
            <v>3766</v>
          </cell>
          <cell r="M111">
            <v>0.61881746506815594</v>
          </cell>
          <cell r="N111">
            <v>0.11769385732136513</v>
          </cell>
          <cell r="O111">
            <v>0.72175634326424465</v>
          </cell>
          <cell r="S111">
            <v>0.86898369565347278</v>
          </cell>
          <cell r="U111">
            <v>0.99673666666666649</v>
          </cell>
          <cell r="W111">
            <v>0.8980605407355603</v>
          </cell>
          <cell r="AF111">
            <v>5.7225440907786584E-3</v>
          </cell>
        </row>
        <row r="112">
          <cell r="A112">
            <v>44432.333344907405</v>
          </cell>
          <cell r="G112">
            <v>3745</v>
          </cell>
          <cell r="M112">
            <v>0.59086226141139531</v>
          </cell>
          <cell r="N112">
            <v>7.1851195401775772E-2</v>
          </cell>
          <cell r="O112">
            <v>0.74961211479864887</v>
          </cell>
          <cell r="S112">
            <v>0.85762349459914655</v>
          </cell>
          <cell r="U112">
            <v>0.9971399999999998</v>
          </cell>
          <cell r="W112">
            <v>0.88963039304041991</v>
          </cell>
          <cell r="AF112">
            <v>5.2695986378767934E-3</v>
          </cell>
        </row>
        <row r="113">
          <cell r="A113">
            <v>44433.333356481482</v>
          </cell>
          <cell r="G113">
            <v>3727</v>
          </cell>
          <cell r="M113">
            <v>0.58296986582281329</v>
          </cell>
          <cell r="N113">
            <v>0.13409773169008973</v>
          </cell>
          <cell r="O113">
            <v>0.74937800173724778</v>
          </cell>
          <cell r="S113">
            <v>0.85154056334557715</v>
          </cell>
          <cell r="U113">
            <v>0.99296666666666644</v>
          </cell>
          <cell r="W113">
            <v>0.89193129829027518</v>
          </cell>
          <cell r="AF113">
            <v>5.156171529367759E-3</v>
          </cell>
        </row>
        <row r="114">
          <cell r="A114">
            <v>44434.333553240744</v>
          </cell>
          <cell r="G114">
            <v>3732</v>
          </cell>
          <cell r="M114">
            <v>0.55407648836681189</v>
          </cell>
          <cell r="N114">
            <v>0.10873710998495589</v>
          </cell>
          <cell r="O114">
            <v>0.76798316845212888</v>
          </cell>
          <cell r="S114">
            <v>0.83056121025701979</v>
          </cell>
          <cell r="U114">
            <v>0.98764999999999981</v>
          </cell>
          <cell r="W114">
            <v>0.8864912410708633</v>
          </cell>
          <cell r="AF114">
            <v>5.0573669395050924E-3</v>
          </cell>
        </row>
        <row r="115">
          <cell r="A115">
            <v>44435.333634259259</v>
          </cell>
          <cell r="G115">
            <v>3736</v>
          </cell>
          <cell r="M115">
            <v>0.52981707481843365</v>
          </cell>
          <cell r="N115">
            <v>0.10478661042241849</v>
          </cell>
          <cell r="O115">
            <v>0.78160861268465431</v>
          </cell>
          <cell r="S115">
            <v>0.81610968582964394</v>
          </cell>
          <cell r="U115">
            <v>0.98272999999999988</v>
          </cell>
          <cell r="W115">
            <v>0.88605826911753749</v>
          </cell>
          <cell r="AF115">
            <v>4.9218375831425742E-3</v>
          </cell>
        </row>
        <row r="116">
          <cell r="A116">
            <v>44436.333356481482</v>
          </cell>
          <cell r="G116">
            <v>3747</v>
          </cell>
          <cell r="M116">
            <v>0.49867466701072821</v>
          </cell>
          <cell r="N116">
            <v>4.7441296202708899E-2</v>
          </cell>
          <cell r="O116">
            <v>0.77948970079122537</v>
          </cell>
          <cell r="S116">
            <v>0.79403021902542725</v>
          </cell>
          <cell r="U116">
            <v>0.97866333333333322</v>
          </cell>
          <cell r="W116">
            <v>0.88096307641347316</v>
          </cell>
          <cell r="AF116">
            <v>4.5637083943776968E-3</v>
          </cell>
        </row>
        <row r="117">
          <cell r="A117">
            <v>44437.333333333336</v>
          </cell>
          <cell r="G117">
            <v>3738</v>
          </cell>
          <cell r="M117">
            <v>0.46932918677888069</v>
          </cell>
          <cell r="N117">
            <v>6.1285868873405917E-2</v>
          </cell>
          <cell r="O117">
            <v>0.77590518500687289</v>
          </cell>
          <cell r="S117">
            <v>0.77813213101016321</v>
          </cell>
          <cell r="U117">
            <v>0.97496333333333318</v>
          </cell>
          <cell r="W117">
            <v>0.88734429601158971</v>
          </cell>
          <cell r="AF117">
            <v>4.416978117315562E-3</v>
          </cell>
        </row>
        <row r="118">
          <cell r="A118">
            <v>44438.333518518521</v>
          </cell>
          <cell r="G118">
            <v>3741</v>
          </cell>
          <cell r="M118">
            <v>0.43875255783007661</v>
          </cell>
          <cell r="N118">
            <v>4.8229629928829836E-2</v>
          </cell>
          <cell r="O118">
            <v>0.77361018682764704</v>
          </cell>
          <cell r="S118">
            <v>0.7536347219144337</v>
          </cell>
          <cell r="U118">
            <v>0.97432666666666667</v>
          </cell>
          <cell r="W118">
            <v>0.8923770536488943</v>
          </cell>
          <cell r="AF118">
            <v>4.0867091041101311E-3</v>
          </cell>
        </row>
        <row r="119">
          <cell r="A119">
            <v>44439.333391203705</v>
          </cell>
          <cell r="G119">
            <v>3732</v>
          </cell>
          <cell r="M119">
            <v>0.44605724972166738</v>
          </cell>
          <cell r="N119">
            <v>0.21500115864362113</v>
          </cell>
          <cell r="O119">
            <v>0.79698927789693419</v>
          </cell>
          <cell r="S119">
            <v>0.76375362235956523</v>
          </cell>
          <cell r="U119">
            <v>0.97206000000000015</v>
          </cell>
          <cell r="W119">
            <v>0.90044963807507739</v>
          </cell>
          <cell r="AF119">
            <v>4.2928935288977232E-3</v>
          </cell>
        </row>
        <row r="120">
          <cell r="A120">
            <v>44440.333460648151</v>
          </cell>
          <cell r="G120">
            <v>3685</v>
          </cell>
          <cell r="M120">
            <v>0.43036403795857636</v>
          </cell>
          <cell r="N120">
            <v>0.1981052481957315</v>
          </cell>
          <cell r="O120">
            <v>0.87081512760231516</v>
          </cell>
          <cell r="S120">
            <v>0.75546939043310457</v>
          </cell>
          <cell r="U120">
            <v>0.97409000000000023</v>
          </cell>
          <cell r="W120">
            <v>0.8975946164663493</v>
          </cell>
          <cell r="AF120">
            <v>1.309702146549574E-3</v>
          </cell>
        </row>
        <row r="121">
          <cell r="A121">
            <v>44441.333495370367</v>
          </cell>
          <cell r="G121">
            <v>3624</v>
          </cell>
          <cell r="M121">
            <v>0.38644819111805967</v>
          </cell>
          <cell r="N121">
            <v>0.12097327112641985</v>
          </cell>
          <cell r="O121">
            <v>0.85281422942289764</v>
          </cell>
          <cell r="S121">
            <v>0.74076921334318191</v>
          </cell>
          <cell r="U121">
            <v>0.97193333333333354</v>
          </cell>
          <cell r="W121">
            <v>0.9032135849988665</v>
          </cell>
          <cell r="AF121">
            <v>-2.2099055084711106E-3</v>
          </cell>
        </row>
        <row r="122">
          <cell r="A122">
            <v>44442.333495370367</v>
          </cell>
          <cell r="G122">
            <v>3604</v>
          </cell>
          <cell r="M122">
            <v>0.39332919551075035</v>
          </cell>
          <cell r="N122">
            <v>0.44449005208857029</v>
          </cell>
          <cell r="O122">
            <v>0.818700807309931</v>
          </cell>
          <cell r="S122">
            <v>0.76206179476693081</v>
          </cell>
          <cell r="U122">
            <v>0.96632000000000018</v>
          </cell>
          <cell r="W122">
            <v>0.89930975318129169</v>
          </cell>
          <cell r="AF122">
            <v>-2.2053306872737988E-4</v>
          </cell>
        </row>
        <row r="123">
          <cell r="A123">
            <v>44443.333414351851</v>
          </cell>
          <cell r="G123">
            <v>3569</v>
          </cell>
          <cell r="M123">
            <v>0.35255923217000429</v>
          </cell>
          <cell r="N123">
            <v>7.2741663379513752E-2</v>
          </cell>
          <cell r="O123">
            <v>0.81846793835292186</v>
          </cell>
          <cell r="S123">
            <v>0.73712822143744772</v>
          </cell>
          <cell r="U123">
            <v>0.95861666666666678</v>
          </cell>
          <cell r="W123">
            <v>0.89545090428648844</v>
          </cell>
          <cell r="AF123">
            <v>1.0083319100402388E-3</v>
          </cell>
        </row>
        <row r="124">
          <cell r="A124">
            <v>44444.333541666667</v>
          </cell>
          <cell r="G124">
            <v>3561</v>
          </cell>
          <cell r="M124">
            <v>0.31049478984582757</v>
          </cell>
          <cell r="N124">
            <v>8.0344472849097695E-2</v>
          </cell>
          <cell r="O124">
            <v>0.81767590392146938</v>
          </cell>
          <cell r="S124">
            <v>0.71311332499032065</v>
          </cell>
          <cell r="U124">
            <v>0.9542400000000002</v>
          </cell>
          <cell r="W124">
            <v>0.88858486980031681</v>
          </cell>
          <cell r="AF124">
            <v>8.9303814724295272E-4</v>
          </cell>
        </row>
        <row r="125">
          <cell r="A125">
            <v>44445.333449074074</v>
          </cell>
          <cell r="G125">
            <v>3497</v>
          </cell>
          <cell r="M125">
            <v>0.31049478984582757</v>
          </cell>
          <cell r="N125">
            <v>4.6593939589288293E-2</v>
          </cell>
          <cell r="O125">
            <v>0.76961589132767927</v>
          </cell>
          <cell r="S125">
            <v>0.69696470455909665</v>
          </cell>
          <cell r="U125">
            <v>0.9444233333333335</v>
          </cell>
          <cell r="W125">
            <v>0.92397964145964795</v>
          </cell>
          <cell r="AF125">
            <v>2.0802224552443072E-3</v>
          </cell>
        </row>
        <row r="126">
          <cell r="A126">
            <v>44446.333553240744</v>
          </cell>
          <cell r="G126">
            <v>3470</v>
          </cell>
          <cell r="M126">
            <v>0.31765730575905349</v>
          </cell>
          <cell r="N126">
            <v>0.22498943001507141</v>
          </cell>
          <cell r="O126">
            <v>0.90191973596342156</v>
          </cell>
          <cell r="S126">
            <v>0.69253241120256603</v>
          </cell>
          <cell r="U126">
            <v>0.9420266666666669</v>
          </cell>
          <cell r="W126">
            <v>0.930994387323686</v>
          </cell>
          <cell r="AF126">
            <v>3.4921833302827832E-3</v>
          </cell>
        </row>
        <row r="127">
          <cell r="A127">
            <v>44447.33384259259</v>
          </cell>
          <cell r="G127">
            <v>3479</v>
          </cell>
          <cell r="M127">
            <v>0.38061821206091379</v>
          </cell>
          <cell r="N127">
            <v>1.1473449504260822</v>
          </cell>
          <cell r="O127">
            <v>0.88895153472171562</v>
          </cell>
          <cell r="S127">
            <v>0.74558986528819704</v>
          </cell>
          <cell r="U127">
            <v>0.93498666666666685</v>
          </cell>
          <cell r="W127">
            <v>0.93359394198194889</v>
          </cell>
          <cell r="AF127">
            <v>7.4566016236412569E-3</v>
          </cell>
        </row>
        <row r="128">
          <cell r="A128">
            <v>44448.333634259259</v>
          </cell>
          <cell r="G128">
            <v>3486</v>
          </cell>
          <cell r="M128">
            <v>0.38785843947482979</v>
          </cell>
          <cell r="N128">
            <v>0.23928353545813996</v>
          </cell>
          <cell r="O128">
            <v>0.89187451824856279</v>
          </cell>
          <cell r="S128">
            <v>0.74062637217806682</v>
          </cell>
          <cell r="U128">
            <v>0.93114333333333343</v>
          </cell>
          <cell r="W128">
            <v>0.95298025919648699</v>
          </cell>
          <cell r="AF128">
            <v>6.9660396701702876E-3</v>
          </cell>
        </row>
        <row r="129">
          <cell r="A129">
            <v>44449.333356481482</v>
          </cell>
          <cell r="G129">
            <v>3493</v>
          </cell>
          <cell r="M129">
            <v>0.4163510995583502</v>
          </cell>
          <cell r="N129">
            <v>0.22403198047115261</v>
          </cell>
          <cell r="O129">
            <v>0.9225674652024709</v>
          </cell>
          <cell r="S129">
            <v>0.74601830339101183</v>
          </cell>
          <cell r="U129">
            <v>0.92957333333333347</v>
          </cell>
          <cell r="W129">
            <v>0.9539365424394155</v>
          </cell>
          <cell r="AF129">
            <v>8.3417506859830848E-3</v>
          </cell>
        </row>
        <row r="130">
          <cell r="A130">
            <v>44450.333460648151</v>
          </cell>
          <cell r="G130">
            <v>3499</v>
          </cell>
          <cell r="M130">
            <v>0.46735145788990246</v>
          </cell>
          <cell r="N130">
            <v>0.29937449544196115</v>
          </cell>
          <cell r="O130">
            <v>0.91329862036408405</v>
          </cell>
          <cell r="S130">
            <v>0.76671854063711076</v>
          </cell>
          <cell r="U130">
            <v>0.92745000000000022</v>
          </cell>
          <cell r="W130">
            <v>0.96400259906595132</v>
          </cell>
          <cell r="AF130">
            <v>9.486827173001755E-3</v>
          </cell>
        </row>
        <row r="131">
          <cell r="A131">
            <v>44451.333449074074</v>
          </cell>
          <cell r="G131">
            <v>3503</v>
          </cell>
          <cell r="M131">
            <v>0.5018621338215471</v>
          </cell>
          <cell r="N131">
            <v>0.14068817437467535</v>
          </cell>
          <cell r="O131">
            <v>0.87256701876065001</v>
          </cell>
          <cell r="S131">
            <v>0.75841616144084445</v>
          </cell>
          <cell r="U131">
            <v>0.92534333333333352</v>
          </cell>
          <cell r="W131">
            <v>0.9864964193493273</v>
          </cell>
          <cell r="AF131">
            <v>9.1405279992176069E-3</v>
          </cell>
        </row>
        <row r="132">
          <cell r="A132">
            <v>44452.333680555559</v>
          </cell>
          <cell r="G132">
            <v>3501</v>
          </cell>
          <cell r="M132">
            <v>0.5454262232677366</v>
          </cell>
          <cell r="N132">
            <v>0.21441953850922102</v>
          </cell>
          <cell r="O132">
            <v>0.88053945116473198</v>
          </cell>
          <cell r="S132">
            <v>0.7745325603119213</v>
          </cell>
          <cell r="U132">
            <v>0.92480666666666678</v>
          </cell>
          <cell r="W132">
            <v>0.99566407507374843</v>
          </cell>
          <cell r="AF132">
            <v>1.017512674161436E-2</v>
          </cell>
        </row>
        <row r="133">
          <cell r="A133">
            <v>44453.333379629628</v>
          </cell>
          <cell r="G133">
            <v>3501</v>
          </cell>
          <cell r="M133">
            <v>0.59492703113894307</v>
          </cell>
          <cell r="N133">
            <v>0.28124532554376319</v>
          </cell>
          <cell r="O133">
            <v>0.89192625458879637</v>
          </cell>
          <cell r="S133">
            <v>0.79686398968358885</v>
          </cell>
          <cell r="U133">
            <v>0.92433333333333334</v>
          </cell>
          <cell r="W133">
            <v>0.99603238543354722</v>
          </cell>
          <cell r="AF133">
            <v>1.0773659035495875E-2</v>
          </cell>
        </row>
        <row r="134">
          <cell r="A134">
            <v>44454.333333333336</v>
          </cell>
          <cell r="G134">
            <v>3511</v>
          </cell>
          <cell r="M134">
            <v>0.6282100840127961</v>
          </cell>
          <cell r="N134">
            <v>0.12791201740905275</v>
          </cell>
          <cell r="O134">
            <v>0.8915865034947662</v>
          </cell>
          <cell r="S134">
            <v>0.80354932798173373</v>
          </cell>
          <cell r="U134">
            <v>0.92243666666666668</v>
          </cell>
          <cell r="W134">
            <v>0.99397483972167655</v>
          </cell>
          <cell r="AF134">
            <v>1.0458978814327002E-2</v>
          </cell>
        </row>
        <row r="135">
          <cell r="A135">
            <v>44455.333344907405</v>
          </cell>
          <cell r="G135">
            <v>3507</v>
          </cell>
          <cell r="M135">
            <v>0.66130031703647341</v>
          </cell>
          <cell r="N135">
            <v>0.13693138125476481</v>
          </cell>
          <cell r="O135">
            <v>0.87519405784970905</v>
          </cell>
          <cell r="S135">
            <v>0.8009801832755965</v>
          </cell>
          <cell r="U135">
            <v>0.91748333333333343</v>
          </cell>
          <cell r="W135">
            <v>0.99398683664336551</v>
          </cell>
          <cell r="AF135">
            <v>1.0283133739978023E-2</v>
          </cell>
        </row>
        <row r="136">
          <cell r="A136">
            <v>44456.333391203705</v>
          </cell>
          <cell r="G136">
            <v>3513</v>
          </cell>
          <cell r="M136">
            <v>0.68123762148777156</v>
          </cell>
          <cell r="N136">
            <v>0.18991636642781398</v>
          </cell>
          <cell r="O136">
            <v>0.89613499314194733</v>
          </cell>
          <cell r="S136">
            <v>0.7960885844200426</v>
          </cell>
          <cell r="U136">
            <v>0.91511333333333345</v>
          </cell>
          <cell r="W136">
            <v>0.97994962906272887</v>
          </cell>
          <cell r="AF136">
            <v>8.195719926656464E-3</v>
          </cell>
        </row>
        <row r="137">
          <cell r="A137">
            <v>44457.333333333336</v>
          </cell>
          <cell r="G137">
            <v>3514</v>
          </cell>
          <cell r="M137">
            <v>0.7051761769647904</v>
          </cell>
          <cell r="N137">
            <v>9.2683846080066953E-2</v>
          </cell>
          <cell r="O137">
            <v>0.87926782799913628</v>
          </cell>
          <cell r="S137">
            <v>0.78529049852755861</v>
          </cell>
          <cell r="U137">
            <v>0.91124666666666676</v>
          </cell>
          <cell r="W137">
            <v>0.97674740626453471</v>
          </cell>
          <cell r="AF137">
            <v>8.2120597888768465E-3</v>
          </cell>
        </row>
        <row r="138">
          <cell r="A138">
            <v>44458.333414351851</v>
          </cell>
          <cell r="G138">
            <v>3507</v>
          </cell>
          <cell r="M138">
            <v>0.73422256316819234</v>
          </cell>
          <cell r="N138">
            <v>9.8319013917228235E-2</v>
          </cell>
          <cell r="O138">
            <v>0.87974203557287556</v>
          </cell>
          <cell r="S138">
            <v>0.78373438059750955</v>
          </cell>
          <cell r="U138">
            <v>0.9092800000000002</v>
          </cell>
          <cell r="W138">
            <v>1.0095761026019558</v>
          </cell>
          <cell r="AF138">
            <v>6.2991215238097364E-3</v>
          </cell>
        </row>
        <row r="139">
          <cell r="A139">
            <v>44459.333368055559</v>
          </cell>
          <cell r="G139">
            <v>3505</v>
          </cell>
          <cell r="M139">
            <v>0.76672215874062244</v>
          </cell>
          <cell r="N139">
            <v>0.11952791721294141</v>
          </cell>
          <cell r="O139">
            <v>0.97036634559104229</v>
          </cell>
          <cell r="S139">
            <v>0.79916532518991212</v>
          </cell>
          <cell r="U139">
            <v>0.91309333333333353</v>
          </cell>
          <cell r="W139">
            <v>1.0419673280622499</v>
          </cell>
          <cell r="AF139">
            <v>1.902132572399573E-3</v>
          </cell>
        </row>
        <row r="140">
          <cell r="A140">
            <v>44460.334004629629</v>
          </cell>
          <cell r="G140">
            <v>3495</v>
          </cell>
          <cell r="M140">
            <v>0.84680129572107399</v>
          </cell>
          <cell r="N140">
            <v>0.72187528237130272</v>
          </cell>
          <cell r="O140">
            <v>0.99599159513173008</v>
          </cell>
          <cell r="S140">
            <v>0.87593243415046229</v>
          </cell>
          <cell r="U140">
            <v>0.92158333333333353</v>
          </cell>
          <cell r="W140">
            <v>1.0464538990803602</v>
          </cell>
          <cell r="AF140">
            <v>6.4151108160146464E-3</v>
          </cell>
        </row>
        <row r="141">
          <cell r="A141">
            <v>44461.333425925928</v>
          </cell>
          <cell r="G141">
            <v>3497</v>
          </cell>
          <cell r="M141">
            <v>0.93219950987005162</v>
          </cell>
          <cell r="N141">
            <v>0.8276158110261701</v>
          </cell>
          <cell r="O141">
            <v>1.0670011653440614</v>
          </cell>
          <cell r="S141">
            <v>0.9357326713905858</v>
          </cell>
          <cell r="U141">
            <v>0.92112000000000016</v>
          </cell>
          <cell r="W141">
            <v>1.0368288868226432</v>
          </cell>
          <cell r="AF141">
            <v>9.9408229732063091E-3</v>
          </cell>
        </row>
        <row r="142">
          <cell r="A142">
            <v>44462.333402777775</v>
          </cell>
          <cell r="G142">
            <v>3513</v>
          </cell>
          <cell r="M142">
            <v>0.98236057157015422</v>
          </cell>
          <cell r="N142">
            <v>0.28402575999687385</v>
          </cell>
          <cell r="O142">
            <v>1.0596847588260176</v>
          </cell>
          <cell r="S142">
            <v>0.96973437726653766</v>
          </cell>
          <cell r="U142">
            <v>0.91924666666666666</v>
          </cell>
          <cell r="W142">
            <v>1.0443375845504568</v>
          </cell>
          <cell r="AF142">
            <v>8.8254775783398465E-3</v>
          </cell>
        </row>
        <row r="143">
          <cell r="A143">
            <v>44463.333391203705</v>
          </cell>
          <cell r="G143">
            <v>3516</v>
          </cell>
          <cell r="M143">
            <v>1.0216708768506442</v>
          </cell>
          <cell r="N143">
            <v>0.44065322012108699</v>
          </cell>
          <cell r="O143">
            <v>1.0880679710086176</v>
          </cell>
          <cell r="S143">
            <v>1.0021322340704406</v>
          </cell>
          <cell r="U143">
            <v>0.92004000000000008</v>
          </cell>
          <cell r="W143">
            <v>1.0420450655126368</v>
          </cell>
          <cell r="AF143">
            <v>7.4087580838073652E-3</v>
          </cell>
        </row>
        <row r="144">
          <cell r="A144">
            <v>44464.333356481482</v>
          </cell>
          <cell r="G144">
            <v>3522</v>
          </cell>
          <cell r="M144">
            <v>1.0573094440143833</v>
          </cell>
          <cell r="N144">
            <v>0.28483582320775452</v>
          </cell>
          <cell r="O144">
            <v>1.0801895506642245</v>
          </cell>
          <cell r="S144">
            <v>1.0258980673180427</v>
          </cell>
          <cell r="U144">
            <v>0.91943666666666668</v>
          </cell>
          <cell r="W144">
            <v>1.0527948867606072</v>
          </cell>
          <cell r="AF144">
            <v>9.8068190115849774E-3</v>
          </cell>
        </row>
        <row r="145">
          <cell r="A145">
            <v>44465.333437499998</v>
          </cell>
          <cell r="G145">
            <v>3532</v>
          </cell>
          <cell r="M145">
            <v>1.0934037976566082</v>
          </cell>
          <cell r="N145">
            <v>0.2879825623520923</v>
          </cell>
          <cell r="O145">
            <v>1.0754871688900032</v>
          </cell>
          <cell r="S145">
            <v>1.0508262365844956</v>
          </cell>
          <cell r="U145">
            <v>0.92006666666666681</v>
          </cell>
          <cell r="W145">
            <v>1.0577373354294146</v>
          </cell>
          <cell r="AF145">
            <v>9.0626986135970977E-3</v>
          </cell>
        </row>
        <row r="146">
          <cell r="A146">
            <v>44466.333518518521</v>
          </cell>
          <cell r="G146">
            <v>3540</v>
          </cell>
          <cell r="M146">
            <v>1.1316197135673038</v>
          </cell>
          <cell r="N146">
            <v>0.16432733613364409</v>
          </cell>
          <cell r="O146">
            <v>1.0846333445708625</v>
          </cell>
          <cell r="S146">
            <v>1.0814400777976829</v>
          </cell>
          <cell r="U146">
            <v>0.92344333333333339</v>
          </cell>
          <cell r="W146">
            <v>1.0663245003959592</v>
          </cell>
          <cell r="AF146">
            <v>1.1461622729338705E-2</v>
          </cell>
        </row>
        <row r="147">
          <cell r="A147">
            <v>44467.333784722221</v>
          </cell>
          <cell r="G147">
            <v>3544</v>
          </cell>
          <cell r="M147">
            <v>1.176251870043614</v>
          </cell>
          <cell r="N147">
            <v>0.2253762132275145</v>
          </cell>
          <cell r="O147">
            <v>1.0939560485159419</v>
          </cell>
          <cell r="S147">
            <v>1.1152957145311333</v>
          </cell>
          <cell r="U147">
            <v>0.92962</v>
          </cell>
          <cell r="W147">
            <v>1.0697360808092886</v>
          </cell>
          <cell r="AF147">
            <v>9.6238172859015592E-3</v>
          </cell>
        </row>
        <row r="148">
          <cell r="A148">
            <v>44468.333564814813</v>
          </cell>
          <cell r="G148">
            <v>3548</v>
          </cell>
          <cell r="M148">
            <v>1.2190647090609801</v>
          </cell>
          <cell r="N148">
            <v>0.20702386830192399</v>
          </cell>
          <cell r="O148">
            <v>1.0963129206324476</v>
          </cell>
          <cell r="S148">
            <v>1.1515825165976004</v>
          </cell>
          <cell r="U148">
            <v>0.9305633333333333</v>
          </cell>
          <cell r="W148">
            <v>1.0615271240548168</v>
          </cell>
          <cell r="AF148">
            <v>8.684654973367012E-3</v>
          </cell>
        </row>
        <row r="149">
          <cell r="A149">
            <v>44469.333402777775</v>
          </cell>
          <cell r="G149">
            <v>3551</v>
          </cell>
          <cell r="M149">
            <v>1.2188244161506545</v>
          </cell>
          <cell r="N149">
            <v>0.14817848054041444</v>
          </cell>
          <cell r="O149">
            <v>1.0877494390713867</v>
          </cell>
          <cell r="S149">
            <v>1.1425034649875816</v>
          </cell>
          <cell r="U149">
            <v>0.9300233333333332</v>
          </cell>
          <cell r="W149">
            <v>1.05946661268424</v>
          </cell>
          <cell r="AF149">
            <v>6.5300144839128826E-3</v>
          </cell>
        </row>
        <row r="150">
          <cell r="A150">
            <v>44470.33357638889</v>
          </cell>
          <cell r="G150">
            <v>3549</v>
          </cell>
          <cell r="M150">
            <v>1.230180665279569</v>
          </cell>
          <cell r="N150">
            <v>0.2037280758924975</v>
          </cell>
          <cell r="O150">
            <v>1.0707360182911068</v>
          </cell>
          <cell r="S150">
            <v>1.1432068403864128</v>
          </cell>
          <cell r="U150">
            <v>0.92318</v>
          </cell>
          <cell r="W150">
            <v>1.0604381603418136</v>
          </cell>
          <cell r="AF150">
            <v>1.1378801570695707E-2</v>
          </cell>
        </row>
        <row r="151">
          <cell r="A151">
            <v>44471.333564814813</v>
          </cell>
          <cell r="G151">
            <v>3552</v>
          </cell>
          <cell r="M151">
            <v>1.2612159299344827</v>
          </cell>
          <cell r="N151">
            <v>0.11375645725096505</v>
          </cell>
          <cell r="O151">
            <v>1.0755209120479092</v>
          </cell>
          <cell r="S151">
            <v>1.1417992791364109</v>
          </cell>
          <cell r="U151">
            <v>0.91881333333333315</v>
          </cell>
          <cell r="W151">
            <v>1.0493717555140782</v>
          </cell>
          <cell r="AF151">
            <v>1.1127672878451067E-2</v>
          </cell>
        </row>
        <row r="152">
          <cell r="A152">
            <v>44472.333645833336</v>
          </cell>
          <cell r="G152">
            <v>3529</v>
          </cell>
          <cell r="M152">
            <v>1.2427270719176788</v>
          </cell>
          <cell r="N152">
            <v>0.10993214699860827</v>
          </cell>
          <cell r="O152">
            <v>1.0655392128829437</v>
          </cell>
          <cell r="S152">
            <v>1.1045541665402185</v>
          </cell>
          <cell r="U152">
            <v>0.91700999999999988</v>
          </cell>
          <cell r="W152">
            <v>1.0474765998411424</v>
          </cell>
          <cell r="AF152">
            <v>1.1587598604907656E-2</v>
          </cell>
        </row>
        <row r="153">
          <cell r="A153">
            <v>44473.333402777775</v>
          </cell>
          <cell r="G153">
            <v>3528</v>
          </cell>
          <cell r="M153">
            <v>1.2746954818555558</v>
          </cell>
          <cell r="N153">
            <v>0.12553232154122948</v>
          </cell>
          <cell r="O153">
            <v>1.0653373765287848</v>
          </cell>
          <cell r="S153">
            <v>1.1177970659990242</v>
          </cell>
          <cell r="U153">
            <v>0.91655666666666646</v>
          </cell>
          <cell r="W153">
            <v>1.0486234628692206</v>
          </cell>
          <cell r="AF153">
            <v>1.0807860389639323E-2</v>
          </cell>
        </row>
        <row r="154">
          <cell r="A154">
            <v>44474.333553240744</v>
          </cell>
          <cell r="G154">
            <v>3531</v>
          </cell>
          <cell r="M154">
            <v>1.3083134463878301</v>
          </cell>
          <cell r="N154">
            <v>0.13226315204175898</v>
          </cell>
          <cell r="O154">
            <v>1.0744227559183415</v>
          </cell>
          <cell r="S154">
            <v>1.1295259607792367</v>
          </cell>
          <cell r="U154">
            <v>0.91398666666666639</v>
          </cell>
          <cell r="W154">
            <v>1.055559033106525</v>
          </cell>
          <cell r="AF154">
            <v>9.9464115382768004E-3</v>
          </cell>
        </row>
        <row r="155">
          <cell r="A155">
            <v>44475.333356481482</v>
          </cell>
          <cell r="G155">
            <v>3540</v>
          </cell>
          <cell r="M155">
            <v>1.3391926923547708</v>
          </cell>
          <cell r="N155">
            <v>0.11403734410740368</v>
          </cell>
          <cell r="O155">
            <v>1.0769554177309322</v>
          </cell>
          <cell r="S155">
            <v>1.1516660854961818</v>
          </cell>
          <cell r="U155">
            <v>0.91411666666666647</v>
          </cell>
          <cell r="W155">
            <v>1.0244059405387163</v>
          </cell>
          <cell r="AF155">
            <v>6.9468013232614201E-3</v>
          </cell>
        </row>
        <row r="156">
          <cell r="A156">
            <v>44476.333599537036</v>
          </cell>
          <cell r="G156">
            <v>3532</v>
          </cell>
          <cell r="M156">
            <v>1.3413670040912087</v>
          </cell>
          <cell r="N156">
            <v>0.20814021066086322</v>
          </cell>
          <cell r="O156">
            <v>0.96298550168237118</v>
          </cell>
          <cell r="S156">
            <v>1.1496650739611938</v>
          </cell>
          <cell r="U156">
            <v>0.91022333333333305</v>
          </cell>
          <cell r="W156">
            <v>0.99935895508904093</v>
          </cell>
          <cell r="AF156">
            <v>5.3244451698308826E-3</v>
          </cell>
        </row>
        <row r="157">
          <cell r="A157">
            <v>44477.333379629628</v>
          </cell>
          <cell r="G157">
            <v>3524</v>
          </cell>
          <cell r="M157">
            <v>1.2734380164666941</v>
          </cell>
          <cell r="N157">
            <v>0.12642204173853716</v>
          </cell>
          <cell r="O157">
            <v>0.96092548434265934</v>
          </cell>
          <cell r="S157">
            <v>1.0758032113612763</v>
          </cell>
          <cell r="U157">
            <v>0.90579333333333312</v>
          </cell>
          <cell r="W157">
            <v>0.98074887837939795</v>
          </cell>
          <cell r="AF157">
            <v>3.7660264009331534E-4</v>
          </cell>
        </row>
        <row r="158">
          <cell r="A158">
            <v>44478.333449074074</v>
          </cell>
          <cell r="G158">
            <v>3531</v>
          </cell>
          <cell r="M158">
            <v>1.2550418806474071</v>
          </cell>
          <cell r="N158">
            <v>8.1643386521382838E-2</v>
          </cell>
          <cell r="O158">
            <v>0.95800455325169409</v>
          </cell>
          <cell r="S158">
            <v>1.0499807475678231</v>
          </cell>
          <cell r="U158">
            <v>0.90186333333333313</v>
          </cell>
          <cell r="W158">
            <v>0.96274201964367334</v>
          </cell>
          <cell r="AF158">
            <v>1.2527555965944348E-3</v>
          </cell>
        </row>
        <row r="159">
          <cell r="A159">
            <v>44479.333414351851</v>
          </cell>
          <cell r="G159">
            <v>3535</v>
          </cell>
          <cell r="M159">
            <v>1.2312019990705643</v>
          </cell>
          <cell r="N159">
            <v>5.1410254155809375E-2</v>
          </cell>
          <cell r="O159">
            <v>0.94159313076725448</v>
          </cell>
          <cell r="S159">
            <v>1.0116673657868711</v>
          </cell>
          <cell r="U159">
            <v>0.89915</v>
          </cell>
          <cell r="W159">
            <v>0.95860718950484836</v>
          </cell>
          <cell r="AF159">
            <v>2.1988961038745813E-3</v>
          </cell>
        </row>
        <row r="160">
          <cell r="A160">
            <v>44480.333344907405</v>
          </cell>
          <cell r="G160">
            <v>3525</v>
          </cell>
          <cell r="M160">
            <v>1.2141117978496077</v>
          </cell>
          <cell r="N160">
            <v>0.13942382432747699</v>
          </cell>
          <cell r="O160">
            <v>0.94671534673726698</v>
          </cell>
          <cell r="S160">
            <v>0.99218813039433251</v>
          </cell>
          <cell r="U160">
            <v>0.89555999999999991</v>
          </cell>
          <cell r="W160">
            <v>0.96100841838836015</v>
          </cell>
          <cell r="AF160">
            <v>3.3692841034185239E-3</v>
          </cell>
        </row>
        <row r="161">
          <cell r="A161">
            <v>44481.333402777775</v>
          </cell>
          <cell r="G161">
            <v>3527</v>
          </cell>
          <cell r="M161">
            <v>1.2111740616603925</v>
          </cell>
          <cell r="N161">
            <v>0.1135285232206696</v>
          </cell>
          <cell r="O161">
            <v>0.93783088249443891</v>
          </cell>
          <cell r="S161">
            <v>0.98726143007428946</v>
          </cell>
          <cell r="U161">
            <v>0.8933766666666666</v>
          </cell>
          <cell r="W161">
            <v>0.9489932813713281</v>
          </cell>
          <cell r="AF161">
            <v>2.1859162792483566E-3</v>
          </cell>
        </row>
        <row r="162">
          <cell r="A162">
            <v>44482.333356481482</v>
          </cell>
          <cell r="G162">
            <v>3537</v>
          </cell>
          <cell r="M162">
            <v>1.2000206099925739</v>
          </cell>
          <cell r="N162">
            <v>0.12564501870688818</v>
          </cell>
          <cell r="O162">
            <v>0.93358652573650436</v>
          </cell>
          <cell r="S162">
            <v>0.97443890450325898</v>
          </cell>
          <cell r="U162">
            <v>0.89145666666666667</v>
          </cell>
          <cell r="W162">
            <v>0.95580090422103958</v>
          </cell>
          <cell r="AF162">
            <v>2.0503354572702914E-3</v>
          </cell>
        </row>
        <row r="163">
          <cell r="A163">
            <v>44483.333368055559</v>
          </cell>
          <cell r="G163">
            <v>3522</v>
          </cell>
          <cell r="M163">
            <v>1.1816424823407259</v>
          </cell>
          <cell r="N163">
            <v>0.1262973046122908</v>
          </cell>
          <cell r="O163">
            <v>0.93694178620733337</v>
          </cell>
          <cell r="S163">
            <v>0.95445910052256078</v>
          </cell>
          <cell r="U163">
            <v>0.89150000000000007</v>
          </cell>
          <cell r="W163">
            <v>0.96893855459884426</v>
          </cell>
          <cell r="AF163">
            <v>-1.5446915128901617E-3</v>
          </cell>
        </row>
        <row r="164">
          <cell r="A164">
            <v>44484.333472222221</v>
          </cell>
          <cell r="G164">
            <v>3507</v>
          </cell>
          <cell r="M164">
            <v>1.1789433111383412</v>
          </cell>
          <cell r="N164">
            <v>0.11971383793975646</v>
          </cell>
          <cell r="O164">
            <v>0.92197024601456268</v>
          </cell>
          <cell r="S164">
            <v>0.95294158222795189</v>
          </cell>
          <cell r="U164">
            <v>0.89288666666666672</v>
          </cell>
          <cell r="W164">
            <v>0.96357957138886774</v>
          </cell>
          <cell r="AF164">
            <v>2.2146257881079379E-3</v>
          </cell>
        </row>
        <row r="165">
          <cell r="A165">
            <v>44485.333356481482</v>
          </cell>
          <cell r="G165">
            <v>3490</v>
          </cell>
          <cell r="M165">
            <v>1.1777842577024209</v>
          </cell>
          <cell r="N165">
            <v>0.12635351560872182</v>
          </cell>
          <cell r="O165">
            <v>0.92130746292709598</v>
          </cell>
          <cell r="S165">
            <v>0.95109163219401094</v>
          </cell>
          <cell r="U165">
            <v>0.89453999999999989</v>
          </cell>
          <cell r="W165">
            <v>0.95810700754596778</v>
          </cell>
          <cell r="AF165">
            <v>7.8512182039736089E-4</v>
          </cell>
        </row>
        <row r="166">
          <cell r="A166">
            <v>44486.333356481482</v>
          </cell>
          <cell r="G166">
            <v>3495</v>
          </cell>
          <cell r="M166">
            <v>1.162447792739002</v>
          </cell>
          <cell r="N166">
            <v>7.8440018216506674E-2</v>
          </cell>
          <cell r="O166">
            <v>0.90206066408929098</v>
          </cell>
          <cell r="S166">
            <v>0.93014641327319547</v>
          </cell>
          <cell r="U166">
            <v>0.89644999999999997</v>
          </cell>
          <cell r="W166">
            <v>0.96087229083779768</v>
          </cell>
          <cell r="AF166">
            <v>2.8968659566621646E-3</v>
          </cell>
        </row>
        <row r="167">
          <cell r="A167">
            <v>44487.333425925928</v>
          </cell>
          <cell r="G167">
            <v>3492</v>
          </cell>
          <cell r="M167">
            <v>1.1728236317763816</v>
          </cell>
          <cell r="N167">
            <v>0.13971869691946742</v>
          </cell>
          <cell r="O167">
            <v>0.9078121570428056</v>
          </cell>
          <cell r="S167">
            <v>0.93961922247818053</v>
          </cell>
          <cell r="U167">
            <v>0.89983999999999997</v>
          </cell>
          <cell r="W167">
            <v>0.95541818957053204</v>
          </cell>
          <cell r="AF167">
            <v>3.1483033165891072E-3</v>
          </cell>
        </row>
        <row r="168">
          <cell r="A168">
            <v>44488.333541666667</v>
          </cell>
          <cell r="G168">
            <v>3488</v>
          </cell>
          <cell r="M168">
            <v>1.1740019414426646</v>
          </cell>
          <cell r="N168">
            <v>0.12448674046659404</v>
          </cell>
          <cell r="O168">
            <v>0.90578174413568213</v>
          </cell>
          <cell r="S168">
            <v>0.94504528283627842</v>
          </cell>
          <cell r="U168">
            <v>0.90298333333333347</v>
          </cell>
          <cell r="W168">
            <v>0.92414042179973843</v>
          </cell>
          <cell r="AF168">
            <v>3.7287211588941105E-3</v>
          </cell>
        </row>
        <row r="169">
          <cell r="A169">
            <v>44489.333344907405</v>
          </cell>
          <cell r="G169">
            <v>3493</v>
          </cell>
          <cell r="M169">
            <v>1.1478970771437453</v>
          </cell>
          <cell r="N169">
            <v>5.8933653408439236E-2</v>
          </cell>
          <cell r="O169">
            <v>0.81678205997226816</v>
          </cell>
          <cell r="S169">
            <v>0.92244111550111896</v>
          </cell>
          <cell r="U169">
            <v>0.90123666666666691</v>
          </cell>
          <cell r="W169">
            <v>0.91625029584648643</v>
          </cell>
          <cell r="AF169">
            <v>2.6398183095426297E-3</v>
          </cell>
        </row>
        <row r="170">
          <cell r="A170">
            <v>44490.333483796298</v>
          </cell>
          <cell r="G170">
            <v>3430</v>
          </cell>
          <cell r="M170">
            <v>1.1045641052471329</v>
          </cell>
          <cell r="N170">
            <v>0.2425577809809237</v>
          </cell>
          <cell r="O170">
            <v>0.77686489913969703</v>
          </cell>
          <cell r="S170">
            <v>0.88607931566946985</v>
          </cell>
          <cell r="U170">
            <v>0.89431333333333352</v>
          </cell>
          <cell r="W170">
            <v>0.90775484414151797</v>
          </cell>
          <cell r="AF170">
            <v>1.6883392149809051E-3</v>
          </cell>
        </row>
        <row r="171">
          <cell r="A171">
            <v>44491.333495370367</v>
          </cell>
          <cell r="G171">
            <v>3427</v>
          </cell>
          <cell r="M171">
            <v>1.0438168075525476</v>
          </cell>
          <cell r="N171">
            <v>0.17471756613738187</v>
          </cell>
          <cell r="O171">
            <v>0.70583674327443868</v>
          </cell>
          <cell r="S171">
            <v>0.83550355270228416</v>
          </cell>
          <cell r="U171">
            <v>0.89292333333333351</v>
          </cell>
          <cell r="W171">
            <v>0.90143573149862966</v>
          </cell>
          <cell r="AF171">
            <v>2.9042135232637545E-3</v>
          </cell>
        </row>
        <row r="172">
          <cell r="A172">
            <v>44492.333333333336</v>
          </cell>
          <cell r="G172">
            <v>3427</v>
          </cell>
          <cell r="M172">
            <v>1.0200164061205528</v>
          </cell>
          <cell r="N172">
            <v>0.14622063462541865</v>
          </cell>
          <cell r="O172">
            <v>0.71814262756189529</v>
          </cell>
          <cell r="S172">
            <v>0.81863027569075586</v>
          </cell>
          <cell r="U172">
            <v>0.89313666666666669</v>
          </cell>
          <cell r="W172">
            <v>0.88278311204970872</v>
          </cell>
          <cell r="AF172">
            <v>3.5013228956006781E-3</v>
          </cell>
        </row>
        <row r="173">
          <cell r="A173">
            <v>44493.333379629628</v>
          </cell>
          <cell r="G173">
            <v>3436</v>
          </cell>
          <cell r="M173">
            <v>0.95757980562370693</v>
          </cell>
          <cell r="N173">
            <v>8.7585662097125261E-2</v>
          </cell>
          <cell r="O173">
            <v>0.66263367688430796</v>
          </cell>
          <cell r="S173">
            <v>0.77634762671237711</v>
          </cell>
          <cell r="U173">
            <v>0.89221333333333352</v>
          </cell>
          <cell r="W173">
            <v>0.87343533668202278</v>
          </cell>
          <cell r="AF173">
            <v>3.1564011672842174E-3</v>
          </cell>
        </row>
        <row r="174">
          <cell r="A174">
            <v>44494.333437499998</v>
          </cell>
          <cell r="G174">
            <v>3433</v>
          </cell>
          <cell r="M174">
            <v>0.90727532784338871</v>
          </cell>
          <cell r="N174">
            <v>9.8882523784331752E-2</v>
          </cell>
          <cell r="O174">
            <v>0.66451392658888853</v>
          </cell>
          <cell r="S174">
            <v>0.75038658039485251</v>
          </cell>
          <cell r="U174">
            <v>0.89140333333333333</v>
          </cell>
          <cell r="W174">
            <v>0.8696543939022976</v>
          </cell>
          <cell r="AF174">
            <v>2.4083911373928846E-3</v>
          </cell>
        </row>
        <row r="175">
          <cell r="A175">
            <v>44495.333402777775</v>
          </cell>
          <cell r="G175">
            <v>3423</v>
          </cell>
          <cell r="M175">
            <v>0.85669095992233657</v>
          </cell>
          <cell r="N175">
            <v>5.3856261640461513E-2</v>
          </cell>
          <cell r="O175">
            <v>0.66280938965006186</v>
          </cell>
          <cell r="S175">
            <v>0.70526048107070916</v>
          </cell>
          <cell r="U175">
            <v>0.8914200000000001</v>
          </cell>
          <cell r="W175">
            <v>0.88082560787006337</v>
          </cell>
          <cell r="AF175">
            <v>4.0443635030529279E-5</v>
          </cell>
        </row>
        <row r="176">
          <cell r="A176">
            <v>44496.333587962959</v>
          </cell>
          <cell r="G176">
            <v>3412</v>
          </cell>
          <cell r="M176">
            <v>0.85551608208040986</v>
          </cell>
          <cell r="N176">
            <v>0.21242414625888412</v>
          </cell>
          <cell r="O176">
            <v>0.67033544596777128</v>
          </cell>
          <cell r="S176">
            <v>0.71158895265652644</v>
          </cell>
          <cell r="U176">
            <v>0.89066000000000012</v>
          </cell>
          <cell r="W176">
            <v>0.88406246678748301</v>
          </cell>
          <cell r="AF176">
            <v>2.603863204400314E-3</v>
          </cell>
        </row>
        <row r="177">
          <cell r="A177">
            <v>44497.333368055559</v>
          </cell>
          <cell r="G177">
            <v>3406</v>
          </cell>
          <cell r="M177">
            <v>0.83864619600304879</v>
          </cell>
          <cell r="N177">
            <v>0.19101619560382144</v>
          </cell>
          <cell r="O177">
            <v>0.69322333924925417</v>
          </cell>
          <cell r="S177">
            <v>0.70739007932562248</v>
          </cell>
          <cell r="U177">
            <v>0.88575000000000015</v>
          </cell>
          <cell r="W177">
            <v>0.88986189109587666</v>
          </cell>
          <cell r="AF177">
            <v>4.0629349837899564E-3</v>
          </cell>
        </row>
        <row r="178">
          <cell r="A178">
            <v>44498.333344907405</v>
          </cell>
          <cell r="G178">
            <v>3399</v>
          </cell>
          <cell r="M178">
            <v>0.79583335698568236</v>
          </cell>
          <cell r="N178">
            <v>0.1238106576988202</v>
          </cell>
          <cell r="O178">
            <v>0.6952194465236472</v>
          </cell>
          <cell r="S178">
            <v>0.69512533006636268</v>
          </cell>
          <cell r="U178">
            <v>0.88178333333333347</v>
          </cell>
          <cell r="W178">
            <v>0.9028797976302424</v>
          </cell>
          <cell r="AF178">
            <v>3.2852829900886782E-3</v>
          </cell>
        </row>
        <row r="179">
          <cell r="A179">
            <v>44499.333506944444</v>
          </cell>
          <cell r="G179">
            <v>3402</v>
          </cell>
          <cell r="M179">
            <v>0.76044586039294504</v>
          </cell>
          <cell r="N179">
            <v>0.10541315054533719</v>
          </cell>
          <cell r="O179">
            <v>0.69287676812034593</v>
          </cell>
          <cell r="S179">
            <v>0.68728865407935891</v>
          </cell>
          <cell r="U179">
            <v>0.88120000000000021</v>
          </cell>
          <cell r="W179">
            <v>0.9058434108176463</v>
          </cell>
          <cell r="AF179">
            <v>4.293078928846894E-3</v>
          </cell>
        </row>
        <row r="180">
          <cell r="A180">
            <v>44500.33357638889</v>
          </cell>
          <cell r="G180">
            <v>3404</v>
          </cell>
          <cell r="M180">
            <v>0.75680406890221374</v>
          </cell>
          <cell r="N180">
            <v>0.22830090525057362</v>
          </cell>
          <cell r="O180">
            <v>0.62472425401936627</v>
          </cell>
          <cell r="S180">
            <v>0.69021322240666938</v>
          </cell>
          <cell r="U180">
            <v>0.88387000000000016</v>
          </cell>
          <cell r="W180">
            <v>0.90875087313879765</v>
          </cell>
          <cell r="AF180">
            <v>4.7557364155874637E-3</v>
          </cell>
        </row>
        <row r="181">
          <cell r="A181">
            <v>44501.333472222221</v>
          </cell>
          <cell r="G181">
            <v>3400</v>
          </cell>
          <cell r="M181">
            <v>0.73348538527396323</v>
          </cell>
          <cell r="N181">
            <v>7.0189598814336923E-2</v>
          </cell>
          <cell r="O181">
            <v>0.6218900956233081</v>
          </cell>
          <cell r="S181">
            <v>0.67815090189898097</v>
          </cell>
          <cell r="U181">
            <v>0.88611666666666666</v>
          </cell>
          <cell r="W181">
            <v>0.92133181627799821</v>
          </cell>
          <cell r="AF181">
            <v>2.9469870833440659E-3</v>
          </cell>
        </row>
        <row r="182">
          <cell r="A182">
            <v>44502.33357638889</v>
          </cell>
          <cell r="G182">
            <v>3401</v>
          </cell>
          <cell r="M182">
            <v>0.71809165599401115</v>
          </cell>
          <cell r="N182">
            <v>8.39230458251886E-2</v>
          </cell>
          <cell r="O182">
            <v>0.64617552896133135</v>
          </cell>
          <cell r="S182">
            <v>0.67176731342024676</v>
          </cell>
          <cell r="U182">
            <v>0.88911666666666667</v>
          </cell>
          <cell r="W182">
            <v>0.92814262543958148</v>
          </cell>
          <cell r="AF182">
            <v>2.5725446789219841E-3</v>
          </cell>
        </row>
        <row r="183">
          <cell r="A183">
            <v>44503.333692129629</v>
          </cell>
          <cell r="G183">
            <v>3366</v>
          </cell>
          <cell r="M183">
            <v>0.68612324605613428</v>
          </cell>
          <cell r="N183">
            <v>7.7385572959480481E-2</v>
          </cell>
          <cell r="O183">
            <v>0.64199950867528521</v>
          </cell>
          <cell r="S183">
            <v>0.6602503398235019</v>
          </cell>
          <cell r="U183">
            <v>0.88970666666666676</v>
          </cell>
          <cell r="W183">
            <v>0.93852073730622909</v>
          </cell>
          <cell r="AF183">
            <v>1.7747533191880827E-3</v>
          </cell>
        </row>
        <row r="184">
          <cell r="A184">
            <v>44504.334328703706</v>
          </cell>
          <cell r="G184">
            <v>3349</v>
          </cell>
          <cell r="M184">
            <v>0.66750952145348919</v>
          </cell>
          <cell r="N184">
            <v>8.7799508867095422E-2</v>
          </cell>
          <cell r="O184">
            <v>0.63870117800069626</v>
          </cell>
          <cell r="S184">
            <v>0.65074225326928592</v>
          </cell>
          <cell r="U184">
            <v>0.89123666666666701</v>
          </cell>
          <cell r="W184">
            <v>0.95041771179335632</v>
          </cell>
          <cell r="AF184">
            <v>4.8374979085514802E-3</v>
          </cell>
        </row>
        <row r="185">
          <cell r="A185">
            <v>44505.333344907405</v>
          </cell>
          <cell r="G185">
            <v>3346</v>
          </cell>
          <cell r="M185">
            <v>0.64251147502982531</v>
          </cell>
          <cell r="N185">
            <v>7.1446057085653117E-2</v>
          </cell>
          <cell r="O185">
            <v>0.6414861453059062</v>
          </cell>
          <cell r="S185">
            <v>0.63916602482742646</v>
          </cell>
          <cell r="U185">
            <v>0.88846666666666685</v>
          </cell>
          <cell r="W185">
            <v>0.94911416175240504</v>
          </cell>
          <cell r="AF185">
            <v>4.0565746810532488E-3</v>
          </cell>
        </row>
        <row r="186">
          <cell r="A186">
            <v>44506.333379629628</v>
          </cell>
          <cell r="G186">
            <v>3332</v>
          </cell>
          <cell r="M186">
            <v>0.61418828050271446</v>
          </cell>
          <cell r="N186">
            <v>6.2097638815856671E-2</v>
          </cell>
          <cell r="O186">
            <v>0.64118501039741038</v>
          </cell>
          <cell r="S186">
            <v>0.60808118037080494</v>
          </cell>
          <cell r="U186">
            <v>0.88545333333333354</v>
          </cell>
          <cell r="W186">
            <v>0.96132768021144022</v>
          </cell>
          <cell r="AF186">
            <v>3.7767644762094488E-3</v>
          </cell>
        </row>
        <row r="187">
          <cell r="A187">
            <v>44507.333796296298</v>
          </cell>
          <cell r="G187">
            <v>3315</v>
          </cell>
          <cell r="M187">
            <v>0.59021086167390924</v>
          </cell>
          <cell r="N187">
            <v>5.8448617629831938E-2</v>
          </cell>
          <cell r="O187">
            <v>0.64077066976080665</v>
          </cell>
          <cell r="S187">
            <v>0.5835807451981897</v>
          </cell>
          <cell r="U187">
            <v>0.88436333333333339</v>
          </cell>
          <cell r="W187">
            <v>0.99168546982200778</v>
          </cell>
          <cell r="AF187">
            <v>2.2567051329223098E-3</v>
          </cell>
        </row>
        <row r="188">
          <cell r="A188">
            <v>44508.333599537036</v>
          </cell>
          <cell r="G188">
            <v>3294</v>
          </cell>
          <cell r="M188">
            <v>0.56393403988013857</v>
          </cell>
          <cell r="N188">
            <v>5.0562339078867757E-2</v>
          </cell>
          <cell r="O188">
            <v>0.65000435221861452</v>
          </cell>
          <cell r="S188">
            <v>0.56935967516712782</v>
          </cell>
          <cell r="U188">
            <v>0.88505666666666671</v>
          </cell>
          <cell r="W188">
            <v>1.0065924847060495</v>
          </cell>
          <cell r="AF188">
            <v>2.0518213835027943E-3</v>
          </cell>
        </row>
        <row r="189">
          <cell r="A189">
            <v>44509.333553240744</v>
          </cell>
          <cell r="G189">
            <v>3262</v>
          </cell>
          <cell r="M189">
            <v>0.543729463618009</v>
          </cell>
          <cell r="N189">
            <v>2.4732687191504201E-2</v>
          </cell>
          <cell r="O189">
            <v>0.62909699476809822</v>
          </cell>
          <cell r="S189">
            <v>0.56935967516712782</v>
          </cell>
          <cell r="U189">
            <v>0.88285666666666673</v>
          </cell>
          <cell r="W189">
            <v>1.0194518813291156</v>
          </cell>
          <cell r="AF189">
            <v>2.1727235938258094E-3</v>
          </cell>
        </row>
        <row r="190">
          <cell r="A190">
            <v>44510.333425925928</v>
          </cell>
          <cell r="G190">
            <v>3257</v>
          </cell>
          <cell r="M190">
            <v>0.52354149209372314</v>
          </cell>
          <cell r="N190">
            <v>8.8440321975978009E-2</v>
          </cell>
          <cell r="O190">
            <v>0.63271562907175316</v>
          </cell>
          <cell r="S190">
            <v>0.55881110427282554</v>
          </cell>
          <cell r="U190">
            <v>0.88331999999999999</v>
          </cell>
          <cell r="W190">
            <v>1.0242534278314464</v>
          </cell>
          <cell r="AF190">
            <v>7.9230883523973006E-4</v>
          </cell>
        </row>
        <row r="191">
          <cell r="A191">
            <v>44511.333379629628</v>
          </cell>
          <cell r="G191">
            <v>3257</v>
          </cell>
          <cell r="M191">
            <v>0.51940372862956552</v>
          </cell>
          <cell r="N191">
            <v>0.16485075688847345</v>
          </cell>
          <cell r="O191">
            <v>0.62782921181651075</v>
          </cell>
          <cell r="S191">
            <v>0.56746309390159277</v>
          </cell>
          <cell r="U191">
            <v>0.88104000000000005</v>
          </cell>
          <cell r="W191">
            <v>1.0326094650891955</v>
          </cell>
          <cell r="AF191">
            <v>2.067871414443978E-3</v>
          </cell>
        </row>
        <row r="192">
          <cell r="A192">
            <v>44512.334085648145</v>
          </cell>
          <cell r="G192">
            <v>3250</v>
          </cell>
          <cell r="M192">
            <v>0.48699309085119452</v>
          </cell>
          <cell r="N192">
            <v>6.6947648327129225E-2</v>
          </cell>
          <cell r="O192">
            <v>0.62790100068983146</v>
          </cell>
          <cell r="S192">
            <v>0.55156629268436752</v>
          </cell>
          <cell r="U192">
            <v>0.88075666666666652</v>
          </cell>
          <cell r="W192">
            <v>1.0288954578035119</v>
          </cell>
          <cell r="AF192">
            <v>3.2338935049609496E-3</v>
          </cell>
        </row>
        <row r="193">
          <cell r="A193">
            <v>44513.333564814813</v>
          </cell>
          <cell r="G193">
            <v>3239</v>
          </cell>
          <cell r="M193">
            <v>0.47173967715876192</v>
          </cell>
          <cell r="N193">
            <v>6.7628030093772995E-2</v>
          </cell>
          <cell r="O193">
            <v>0.61214593329620404</v>
          </cell>
          <cell r="S193">
            <v>0.5359008668548505</v>
          </cell>
          <cell r="U193">
            <v>0.87780999999999998</v>
          </cell>
          <cell r="W193">
            <v>1.0151918273017777</v>
          </cell>
          <cell r="AF193">
            <v>3.1171833902066126E-3</v>
          </cell>
        </row>
        <row r="194">
          <cell r="A194">
            <v>44514.333645833336</v>
          </cell>
          <cell r="G194">
            <v>3222</v>
          </cell>
          <cell r="M194">
            <v>0.44115579548729328</v>
          </cell>
          <cell r="N194">
            <v>3.0927987866678826E-2</v>
          </cell>
          <cell r="O194">
            <v>0.61168838313884955</v>
          </cell>
          <cell r="S194">
            <v>0.51264913906020848</v>
          </cell>
          <cell r="U194">
            <v>0.87391999999999992</v>
          </cell>
          <cell r="W194">
            <v>1.0167760327344366</v>
          </cell>
          <cell r="AF194">
            <v>2.3429525351503777E-3</v>
          </cell>
        </row>
        <row r="195">
          <cell r="A195">
            <v>44515.333506944444</v>
          </cell>
          <cell r="G195">
            <v>3216</v>
          </cell>
          <cell r="M195">
            <v>0.4262830250327832</v>
          </cell>
          <cell r="N195">
            <v>6.1873626850733825E-2</v>
          </cell>
          <cell r="O195">
            <v>0.61407666624739732</v>
          </cell>
          <cell r="S195">
            <v>0.49330969453313095</v>
          </cell>
          <cell r="U195">
            <v>0.87280999999999986</v>
          </cell>
          <cell r="W195">
            <v>1.0401900907193198</v>
          </cell>
          <cell r="AF195">
            <v>1.9089049683937986E-3</v>
          </cell>
        </row>
        <row r="196">
          <cell r="A196">
            <v>44516.333402777775</v>
          </cell>
          <cell r="G196">
            <v>3225</v>
          </cell>
          <cell r="M196">
            <v>0.46494182771400722</v>
          </cell>
          <cell r="N196">
            <v>0.44132336876381006</v>
          </cell>
          <cell r="O196">
            <v>0.67984333125688468</v>
          </cell>
          <cell r="S196">
            <v>0.53843204446490833</v>
          </cell>
          <cell r="U196">
            <v>0.87448666666666652</v>
          </cell>
          <cell r="W196">
            <v>1.0541406280972427</v>
          </cell>
          <cell r="AF196">
            <v>3.6889273675881906E-3</v>
          </cell>
        </row>
        <row r="197">
          <cell r="A197">
            <v>44517.333518518521</v>
          </cell>
          <cell r="G197">
            <v>3229</v>
          </cell>
          <cell r="M197">
            <v>0.46985835173019896</v>
          </cell>
          <cell r="N197">
            <v>0.18948809252139676</v>
          </cell>
          <cell r="O197">
            <v>0.67322817075988794</v>
          </cell>
          <cell r="S197">
            <v>0.54569924191263619</v>
          </cell>
          <cell r="U197">
            <v>0.87400333333333313</v>
          </cell>
          <cell r="W197">
            <v>1.0829015375261588</v>
          </cell>
          <cell r="AF197">
            <v>3.5340609176286453E-3</v>
          </cell>
        </row>
        <row r="198">
          <cell r="A198">
            <v>44518.33384259259</v>
          </cell>
          <cell r="G198">
            <v>3229</v>
          </cell>
          <cell r="M198">
            <v>0.47345600886951034</v>
          </cell>
          <cell r="N198">
            <v>0.13903248464981738</v>
          </cell>
          <cell r="O198">
            <v>0.71161917372739203</v>
          </cell>
          <cell r="S198">
            <v>0.5482425783087298</v>
          </cell>
          <cell r="U198">
            <v>0.87629333333333315</v>
          </cell>
          <cell r="W198">
            <v>1.0929952443540543</v>
          </cell>
          <cell r="AF198">
            <v>3.7016379062915217E-3</v>
          </cell>
        </row>
        <row r="199">
          <cell r="A199">
            <v>44519.333449074074</v>
          </cell>
          <cell r="G199">
            <v>3217</v>
          </cell>
          <cell r="M199">
            <v>0.51543974633096112</v>
          </cell>
          <cell r="N199">
            <v>0.27004816451269742</v>
          </cell>
          <cell r="O199">
            <v>0.71461347130735708</v>
          </cell>
          <cell r="S199">
            <v>0.59095434038577765</v>
          </cell>
          <cell r="U199">
            <v>0.87230666666666667</v>
          </cell>
          <cell r="W199">
            <v>1.0690689145028258</v>
          </cell>
          <cell r="AF199">
            <v>4.1450964090898879E-3</v>
          </cell>
        </row>
        <row r="200">
          <cell r="A200">
            <v>44520.333402777775</v>
          </cell>
          <cell r="G200">
            <v>3217</v>
          </cell>
          <cell r="M200">
            <v>0.50016381851701164</v>
          </cell>
          <cell r="N200">
            <v>5.3496754540685788E-2</v>
          </cell>
          <cell r="O200">
            <v>0.71325635816838595</v>
          </cell>
          <cell r="S200">
            <v>0.5505490312568766</v>
          </cell>
          <cell r="U200">
            <v>0.86695333333333324</v>
          </cell>
          <cell r="W200">
            <v>1.0651046534020423</v>
          </cell>
          <cell r="AF200">
            <v>4.8295759391758786E-3</v>
          </cell>
        </row>
        <row r="201">
          <cell r="A201">
            <v>44521.333634259259</v>
          </cell>
          <cell r="G201">
            <v>3219</v>
          </cell>
          <cell r="M201">
            <v>0.49840699265086991</v>
          </cell>
          <cell r="N201">
            <v>6.2901713107845453E-2</v>
          </cell>
          <cell r="O201">
            <v>0.71908431178848076</v>
          </cell>
          <cell r="S201">
            <v>0.52443264013253066</v>
          </cell>
          <cell r="U201">
            <v>0.86770666666666663</v>
          </cell>
          <cell r="W201">
            <v>1.0816551071944649</v>
          </cell>
          <cell r="AF201">
            <v>4.420082212517995E-3</v>
          </cell>
        </row>
        <row r="202">
          <cell r="A202">
            <v>44522.333506944444</v>
          </cell>
          <cell r="G202">
            <v>3215</v>
          </cell>
          <cell r="M202">
            <v>0.50981333280051377</v>
          </cell>
          <cell r="N202">
            <v>0.16315938854907197</v>
          </cell>
          <cell r="O202">
            <v>0.71552601139148764</v>
          </cell>
          <cell r="S202">
            <v>0.52701502767156361</v>
          </cell>
          <cell r="U202">
            <v>0.87036666666666662</v>
          </cell>
          <cell r="W202">
            <v>1.0903525540584824</v>
          </cell>
          <cell r="AF202">
            <v>3.2766853212691238E-3</v>
          </cell>
        </row>
        <row r="203">
          <cell r="A203">
            <v>44523.333425925928</v>
          </cell>
          <cell r="G203">
            <v>3208</v>
          </cell>
          <cell r="M203">
            <v>0.5510857295132322</v>
          </cell>
          <cell r="N203">
            <v>0.19340952589883706</v>
          </cell>
          <cell r="O203">
            <v>0.74201864881296442</v>
          </cell>
          <cell r="S203">
            <v>0.54562358037296876</v>
          </cell>
          <cell r="U203">
            <v>0.87079666666666666</v>
          </cell>
          <cell r="W203">
            <v>1.1064788496894731</v>
          </cell>
          <cell r="AF203">
            <v>2.9642140152761343E-3</v>
          </cell>
        </row>
        <row r="204">
          <cell r="A204">
            <v>44524.333437499998</v>
          </cell>
          <cell r="G204">
            <v>3206</v>
          </cell>
          <cell r="M204">
            <v>0.5885637738689723</v>
          </cell>
          <cell r="N204">
            <v>0.16057284943214684</v>
          </cell>
          <cell r="O204">
            <v>0.7393961869782828</v>
          </cell>
          <cell r="S204">
            <v>0.55683335264433076</v>
          </cell>
          <cell r="U204">
            <v>0.87335999999999991</v>
          </cell>
          <cell r="W204">
            <v>1.1067017008330282</v>
          </cell>
          <cell r="AF204">
            <v>4.7669544969290989E-3</v>
          </cell>
        </row>
        <row r="205">
          <cell r="A205">
            <v>44525.333391203705</v>
          </cell>
          <cell r="G205">
            <v>3202</v>
          </cell>
          <cell r="M205">
            <v>0.61397769754322362</v>
          </cell>
          <cell r="N205">
            <v>7.6629983282095748E-2</v>
          </cell>
          <cell r="O205">
            <v>0.7359540125715256</v>
          </cell>
          <cell r="S205">
            <v>0.56939023316773896</v>
          </cell>
          <cell r="U205">
            <v>0.87098333333333322</v>
          </cell>
          <cell r="W205">
            <v>1.117462924702443</v>
          </cell>
          <cell r="AF205">
            <v>5.435363591945519E-3</v>
          </cell>
        </row>
        <row r="206">
          <cell r="A206">
            <v>44526.333414351851</v>
          </cell>
          <cell r="G206">
            <v>3194</v>
          </cell>
          <cell r="M206">
            <v>0.63702588428853879</v>
          </cell>
          <cell r="N206">
            <v>0.40705710153974911</v>
          </cell>
          <cell r="O206">
            <v>0.74431326183092406</v>
          </cell>
          <cell r="S206">
            <v>0.58807889365293264</v>
          </cell>
          <cell r="U206">
            <v>0.86955999999999989</v>
          </cell>
          <cell r="W206">
            <v>1.1096641854533824</v>
          </cell>
          <cell r="AF206">
            <v>4.5102860396071254E-3</v>
          </cell>
        </row>
        <row r="207">
          <cell r="A207">
            <v>44527.333344907405</v>
          </cell>
          <cell r="G207">
            <v>3203</v>
          </cell>
          <cell r="M207">
            <v>0.64293003201580112</v>
          </cell>
          <cell r="N207">
            <v>0.12765476544256221</v>
          </cell>
          <cell r="O207">
            <v>0.6793781827392773</v>
          </cell>
          <cell r="S207">
            <v>0.57853181026133571</v>
          </cell>
          <cell r="U207">
            <v>0.8689699999999998</v>
          </cell>
          <cell r="W207">
            <v>1.1065819842489171</v>
          </cell>
          <cell r="AF207">
            <v>5.1317661602416909E-3</v>
          </cell>
        </row>
        <row r="208">
          <cell r="A208">
            <v>44528.333472222221</v>
          </cell>
          <cell r="G208">
            <v>3203</v>
          </cell>
          <cell r="M208">
            <v>0.67344370878559257</v>
          </cell>
          <cell r="N208">
            <v>0.10553560526443108</v>
          </cell>
          <cell r="O208">
            <v>0.69225273291535827</v>
          </cell>
          <cell r="S208">
            <v>0.57487183275465603</v>
          </cell>
          <cell r="U208">
            <v>0.86995999999999996</v>
          </cell>
          <cell r="W208">
            <v>1.0919866535740945</v>
          </cell>
          <cell r="AF208">
            <v>4.9872951756742001E-3</v>
          </cell>
        </row>
        <row r="209">
          <cell r="A209">
            <v>44529.333344907405</v>
          </cell>
          <cell r="G209">
            <v>3208</v>
          </cell>
          <cell r="M209">
            <v>0.71303544368472427</v>
          </cell>
          <cell r="N209">
            <v>0.17648696935735539</v>
          </cell>
          <cell r="O209">
            <v>0.69925222112965546</v>
          </cell>
          <cell r="S209">
            <v>0.58686749311296249</v>
          </cell>
          <cell r="U209">
            <v>0.86743666666666652</v>
          </cell>
          <cell r="W209">
            <v>1.0953719576437098</v>
          </cell>
          <cell r="AF209">
            <v>6.1375156171283862E-3</v>
          </cell>
        </row>
        <row r="210">
          <cell r="A210">
            <v>44530.333402777775</v>
          </cell>
          <cell r="G210">
            <v>3191</v>
          </cell>
          <cell r="M210">
            <v>0.70404996067212389</v>
          </cell>
          <cell r="N210">
            <v>0.10870976163848128</v>
          </cell>
          <cell r="O210">
            <v>0.71207412127868008</v>
          </cell>
          <cell r="S210">
            <v>0.56910556399293133</v>
          </cell>
          <cell r="U210">
            <v>0.86537666666666646</v>
          </cell>
          <cell r="W210">
            <v>1.0941401154240862</v>
          </cell>
          <cell r="AF210">
            <v>6.5249979068988662E-3</v>
          </cell>
        </row>
        <row r="211">
          <cell r="A211">
            <v>44531.333402777775</v>
          </cell>
          <cell r="G211">
            <v>3188</v>
          </cell>
          <cell r="M211">
            <v>0.74100284443976383</v>
          </cell>
          <cell r="N211">
            <v>0.23203400196376969</v>
          </cell>
          <cell r="O211">
            <v>0.71298659157785049</v>
          </cell>
          <cell r="S211">
            <v>0.59831487259859817</v>
          </cell>
          <cell r="U211">
            <v>0.86449999999999982</v>
          </cell>
          <cell r="W211">
            <v>1.086141019928861</v>
          </cell>
          <cell r="AF211">
            <v>5.5777366186300359E-3</v>
          </cell>
        </row>
        <row r="212">
          <cell r="A212">
            <v>44532.333402777775</v>
          </cell>
          <cell r="G212">
            <v>3180</v>
          </cell>
          <cell r="M212">
            <v>0.7590715206051275</v>
          </cell>
          <cell r="N212">
            <v>0.12237665998615652</v>
          </cell>
          <cell r="O212">
            <v>0.68572882201797714</v>
          </cell>
          <cell r="S212">
            <v>0.60715361581604077</v>
          </cell>
          <cell r="U212">
            <v>0.86205666666666658</v>
          </cell>
          <cell r="W212">
            <v>1.0833422436515134</v>
          </cell>
          <cell r="AF212">
            <v>5.7980175030449832E-3</v>
          </cell>
        </row>
        <row r="213">
          <cell r="A213">
            <v>44533.333425925928</v>
          </cell>
          <cell r="G213">
            <v>3186</v>
          </cell>
          <cell r="M213">
            <v>0.78873577415120799</v>
          </cell>
          <cell r="N213">
            <v>9.963929278742456E-2</v>
          </cell>
          <cell r="O213">
            <v>0.72291989879085017</v>
          </cell>
          <cell r="S213">
            <v>0.61336370395973794</v>
          </cell>
          <cell r="U213">
            <v>0.86155666666666664</v>
          </cell>
          <cell r="W213">
            <v>1.1120874643668976</v>
          </cell>
          <cell r="AF213">
            <v>5.1301749992243018E-3</v>
          </cell>
        </row>
        <row r="214">
          <cell r="A214">
            <v>44534.333344907405</v>
          </cell>
          <cell r="G214">
            <v>3165</v>
          </cell>
          <cell r="M214">
            <v>0.84014561666483845</v>
          </cell>
          <cell r="N214">
            <v>0.50717786290040467</v>
          </cell>
          <cell r="O214">
            <v>0.72552193259459141</v>
          </cell>
          <cell r="S214">
            <v>0.66045874946124272</v>
          </cell>
          <cell r="U214">
            <v>0.86148999999999998</v>
          </cell>
          <cell r="W214">
            <v>1.1018031236031609</v>
          </cell>
          <cell r="AF214">
            <v>5.9444466511744398E-3</v>
          </cell>
        </row>
        <row r="215">
          <cell r="A215">
            <v>44535.333379629628</v>
          </cell>
          <cell r="G215">
            <v>3166</v>
          </cell>
          <cell r="M215">
            <v>0.86984457589555075</v>
          </cell>
          <cell r="N215">
            <v>0.14342999653322799</v>
          </cell>
          <cell r="O215">
            <v>0.7289360490590775</v>
          </cell>
          <cell r="S215">
            <v>0.67730749888198083</v>
          </cell>
          <cell r="U215">
            <v>0.86560333333333317</v>
          </cell>
          <cell r="W215">
            <v>1.1097822314830812</v>
          </cell>
          <cell r="AF215">
            <v>7.3172202516411655E-3</v>
          </cell>
        </row>
        <row r="216">
          <cell r="A216">
            <v>44536.333668981482</v>
          </cell>
          <cell r="G216">
            <v>3165</v>
          </cell>
          <cell r="M216">
            <v>0.9008604698762912</v>
          </cell>
          <cell r="N216">
            <v>0.23711793782185334</v>
          </cell>
          <cell r="O216">
            <v>0.74131719510371608</v>
          </cell>
          <cell r="S216">
            <v>0.71177151488104029</v>
          </cell>
          <cell r="U216">
            <v>0.86814666666666662</v>
          </cell>
          <cell r="W216">
            <v>1.1006795437814054</v>
          </cell>
          <cell r="AF216">
            <v>7.7468300084704289E-3</v>
          </cell>
        </row>
        <row r="217">
          <cell r="A217">
            <v>44537.333437499998</v>
          </cell>
          <cell r="G217">
            <v>3169</v>
          </cell>
          <cell r="M217">
            <v>0.92578593657016983</v>
          </cell>
          <cell r="N217">
            <v>0.12722984099174162</v>
          </cell>
          <cell r="O217">
            <v>0.73724352395388193</v>
          </cell>
          <cell r="S217">
            <v>0.73641805138120153</v>
          </cell>
          <cell r="U217">
            <v>0.86963333333333326</v>
          </cell>
          <cell r="W217">
            <v>1.0784452060265657</v>
          </cell>
          <cell r="AF217">
            <v>7.4421862403075689E-3</v>
          </cell>
        </row>
        <row r="218">
          <cell r="A218">
            <v>44538.333819444444</v>
          </cell>
          <cell r="G218">
            <v>3164</v>
          </cell>
          <cell r="M218">
            <v>0.95729903640688396</v>
          </cell>
          <cell r="N218">
            <v>0.11652980428743022</v>
          </cell>
          <cell r="O218">
            <v>0.729486930845332</v>
          </cell>
          <cell r="S218">
            <v>0.75905298730075121</v>
          </cell>
          <cell r="U218">
            <v>0.8706600000000001</v>
          </cell>
          <cell r="W218">
            <v>1.0771790825304213</v>
          </cell>
          <cell r="AF218">
            <v>7.5543894579765958E-3</v>
          </cell>
        </row>
        <row r="219">
          <cell r="A219">
            <v>44539.333368055559</v>
          </cell>
          <cell r="G219">
            <v>3157</v>
          </cell>
          <cell r="M219">
            <v>0.98953895198685982</v>
          </cell>
          <cell r="N219">
            <v>0.12183626009499439</v>
          </cell>
          <cell r="O219">
            <v>0.77052466182321278</v>
          </cell>
          <cell r="S219">
            <v>0.78270692608796699</v>
          </cell>
          <cell r="U219">
            <v>0.87619999999999998</v>
          </cell>
          <cell r="W219">
            <v>1.0739021635064847</v>
          </cell>
          <cell r="AF219">
            <v>7.3348005935327532E-3</v>
          </cell>
        </row>
        <row r="220">
          <cell r="A220">
            <v>44540.33357638889</v>
          </cell>
          <cell r="G220">
            <v>3164</v>
          </cell>
          <cell r="M220">
            <v>1.0150991825549538</v>
          </cell>
          <cell r="N220">
            <v>0.18103065390704798</v>
          </cell>
          <cell r="O220">
            <v>0.78669938749392532</v>
          </cell>
          <cell r="S220">
            <v>0.79944993658194941</v>
          </cell>
          <cell r="U220">
            <v>0.88014666666666663</v>
          </cell>
          <cell r="W220">
            <v>1.062889818209088</v>
          </cell>
          <cell r="AF220">
            <v>7.6198248363377186E-3</v>
          </cell>
        </row>
        <row r="221">
          <cell r="A221">
            <v>44541.333715277775</v>
          </cell>
          <cell r="G221">
            <v>3169</v>
          </cell>
          <cell r="M221">
            <v>1.0352119604516075</v>
          </cell>
          <cell r="N221">
            <v>0.26666809689727422</v>
          </cell>
          <cell r="O221">
            <v>0.80087116749890341</v>
          </cell>
          <cell r="S221">
            <v>0.81173580895745145</v>
          </cell>
          <cell r="U221">
            <v>0.88198333333333323</v>
          </cell>
          <cell r="W221">
            <v>1.0477026778661422</v>
          </cell>
          <cell r="AF221">
            <v>7.290304625112265E-3</v>
          </cell>
        </row>
        <row r="222">
          <cell r="A222">
            <v>44542.333611111113</v>
          </cell>
          <cell r="G222">
            <v>3172</v>
          </cell>
          <cell r="M222">
            <v>1.0609655192704734</v>
          </cell>
          <cell r="N222">
            <v>8.2208458021456585E-2</v>
          </cell>
          <cell r="O222">
            <v>0.8024076358491532</v>
          </cell>
          <cell r="S222">
            <v>0.81767012294487373</v>
          </cell>
          <cell r="U222">
            <v>0.88354999999999995</v>
          </cell>
          <cell r="W222">
            <v>1.0571774736028068</v>
          </cell>
          <cell r="AF222">
            <v>7.2092498630094148E-3</v>
          </cell>
        </row>
        <row r="223">
          <cell r="A223">
            <v>44543.333368055559</v>
          </cell>
          <cell r="G223">
            <v>3178</v>
          </cell>
          <cell r="M223">
            <v>1.0745242523811105</v>
          </cell>
          <cell r="N223">
            <v>0.10712864656162648</v>
          </cell>
          <cell r="O223">
            <v>0.85476505644985556</v>
          </cell>
          <cell r="S223">
            <v>0.8295646220088716</v>
          </cell>
          <cell r="U223">
            <v>0.88813999999999993</v>
          </cell>
          <cell r="W223">
            <v>1.0631488974352628</v>
          </cell>
          <cell r="AF223">
            <v>6.5165585405611015E-3</v>
          </cell>
        </row>
        <row r="224">
          <cell r="A224">
            <v>44544.333622685182</v>
          </cell>
          <cell r="G224">
            <v>3175</v>
          </cell>
          <cell r="M224">
            <v>1.1136616709654406</v>
          </cell>
          <cell r="N224">
            <v>0.19048153541649285</v>
          </cell>
          <cell r="O224">
            <v>0.85482967488478812</v>
          </cell>
          <cell r="S224">
            <v>0.8637653390368718</v>
          </cell>
          <cell r="U224">
            <v>0.89242666666666659</v>
          </cell>
          <cell r="W224">
            <v>1.0740005583472392</v>
          </cell>
          <cell r="AF224">
            <v>3.1833284864728473E-3</v>
          </cell>
        </row>
        <row r="225">
          <cell r="A225">
            <v>44545.333599537036</v>
          </cell>
          <cell r="G225">
            <v>3178</v>
          </cell>
          <cell r="M225">
            <v>1.1221107391643237</v>
          </cell>
          <cell r="N225">
            <v>9.7995166644372245E-2</v>
          </cell>
          <cell r="O225">
            <v>0.89568392600310265</v>
          </cell>
          <cell r="S225">
            <v>0.87726049416413809</v>
          </cell>
          <cell r="U225">
            <v>0.89607333333333328</v>
          </cell>
          <cell r="W225">
            <v>1.0467190894595595</v>
          </cell>
          <cell r="AF225">
            <v>2.1118492265927991E-3</v>
          </cell>
        </row>
        <row r="226">
          <cell r="A226">
            <v>44546.333587962959</v>
          </cell>
          <cell r="G226">
            <v>3192</v>
          </cell>
          <cell r="M226">
            <v>1.0991165938783698</v>
          </cell>
          <cell r="N226">
            <v>0.17114112865365866</v>
          </cell>
          <cell r="O226">
            <v>0.85648527607050984</v>
          </cell>
          <cell r="S226">
            <v>0.8505437357609168</v>
          </cell>
          <cell r="U226">
            <v>0.89314666666666664</v>
          </cell>
          <cell r="W226">
            <v>1.0386712567740346</v>
          </cell>
          <cell r="AF226">
            <v>5.4010334357550427E-3</v>
          </cell>
        </row>
        <row r="227">
          <cell r="A227">
            <v>44547.333495370367</v>
          </cell>
          <cell r="G227">
            <v>3201</v>
          </cell>
          <cell r="M227">
            <v>1.0914844752677084</v>
          </cell>
          <cell r="N227">
            <v>0.11624586903315064</v>
          </cell>
          <cell r="O227">
            <v>0.85620890339508571</v>
          </cell>
          <cell r="S227">
            <v>0.83905147846581885</v>
          </cell>
          <cell r="U227">
            <v>0.8906533333333333</v>
          </cell>
          <cell r="W227">
            <v>1.0100782023374004</v>
          </cell>
          <cell r="AF227">
            <v>2.787396585105073E-3</v>
          </cell>
        </row>
        <row r="228">
          <cell r="A228">
            <v>44548.333645833336</v>
          </cell>
          <cell r="G228">
            <v>3208</v>
          </cell>
          <cell r="M228">
            <v>1.0990951345462139</v>
          </cell>
          <cell r="N228">
            <v>0.19368075877994595</v>
          </cell>
          <cell r="O228">
            <v>0.82600376976455347</v>
          </cell>
          <cell r="S228">
            <v>0.84697529286050188</v>
          </cell>
          <cell r="U228">
            <v>0.88510666666666671</v>
          </cell>
          <cell r="W228">
            <v>1.000408632654922</v>
          </cell>
          <cell r="AF228">
            <v>7.2944173081046504E-3</v>
          </cell>
        </row>
        <row r="229">
          <cell r="A229">
            <v>44549.333356481482</v>
          </cell>
          <cell r="G229">
            <v>3214</v>
          </cell>
          <cell r="M229">
            <v>1.0751835106792567</v>
          </cell>
          <cell r="N229">
            <v>6.799899329339977E-2</v>
          </cell>
          <cell r="O229">
            <v>0.78433434885441156</v>
          </cell>
          <cell r="S229">
            <v>0.81264905369033691</v>
          </cell>
          <cell r="U229">
            <v>0.8865533333333333</v>
          </cell>
          <cell r="W229">
            <v>1.0049286686024164</v>
          </cell>
          <cell r="AF229">
            <v>5.4075029668152474E-3</v>
          </cell>
        </row>
        <row r="230">
          <cell r="A230">
            <v>44550.333541666667</v>
          </cell>
          <cell r="G230">
            <v>3223</v>
          </cell>
          <cell r="M230">
            <v>1.1018887711818681</v>
          </cell>
          <cell r="N230">
            <v>0.27003776086384129</v>
          </cell>
          <cell r="O230">
            <v>0.77784653639296863</v>
          </cell>
          <cell r="S230">
            <v>0.85597174397672404</v>
          </cell>
          <cell r="U230">
            <v>0.8883633333333335</v>
          </cell>
          <cell r="W230">
            <v>1.0004507533936728</v>
          </cell>
          <cell r="AF230">
            <v>5.7965827039705431E-3</v>
          </cell>
        </row>
        <row r="231">
          <cell r="A231">
            <v>44551.333495370367</v>
          </cell>
          <cell r="G231">
            <v>3234</v>
          </cell>
          <cell r="M231">
            <v>1.1100196125394273</v>
          </cell>
          <cell r="N231">
            <v>0.11016960106234676</v>
          </cell>
          <cell r="O231">
            <v>0.77576120701655926</v>
          </cell>
          <cell r="S231">
            <v>0.87135089623629758</v>
          </cell>
          <cell r="U231">
            <v>0.88910333333333336</v>
          </cell>
          <cell r="W231">
            <v>0.99139267000755704</v>
          </cell>
          <cell r="AF231">
            <v>5.3219820267604856E-3</v>
          </cell>
        </row>
        <row r="232">
          <cell r="A232">
            <v>44552.333356481482</v>
          </cell>
          <cell r="G232">
            <v>3238</v>
          </cell>
          <cell r="M232">
            <v>1.0922146503232579</v>
          </cell>
          <cell r="N232">
            <v>4.5659496072036503E-2</v>
          </cell>
          <cell r="O232">
            <v>0.76189939545580998</v>
          </cell>
          <cell r="S232">
            <v>0.84090708705415118</v>
          </cell>
          <cell r="U232">
            <v>0.88570000000000004</v>
          </cell>
          <cell r="W232">
            <v>0.98300236079257863</v>
          </cell>
          <cell r="AF232">
            <v>5.1170284332395788E-3</v>
          </cell>
        </row>
        <row r="233">
          <cell r="A233">
            <v>44553.333379629628</v>
          </cell>
          <cell r="G233">
            <v>3242</v>
          </cell>
          <cell r="M233">
            <v>1.0749877949286828</v>
          </cell>
          <cell r="N233">
            <v>6.5549796899201193E-2</v>
          </cell>
          <cell r="O233">
            <v>0.73930552294383423</v>
          </cell>
          <cell r="S233">
            <v>0.81402112527600157</v>
          </cell>
          <cell r="U233">
            <v>0.88273333333333348</v>
          </cell>
          <cell r="W233">
            <v>0.96139228956312472</v>
          </cell>
          <cell r="AF233">
            <v>4.7865998625848949E-3</v>
          </cell>
        </row>
        <row r="234">
          <cell r="A234">
            <v>44554.33353009259</v>
          </cell>
          <cell r="G234">
            <v>3247</v>
          </cell>
          <cell r="M234">
            <v>1.0597131487880005</v>
          </cell>
          <cell r="N234">
            <v>5.6015554070628609E-2</v>
          </cell>
          <cell r="O234">
            <v>0.73670072341997972</v>
          </cell>
          <cell r="S234">
            <v>0.78395729220864585</v>
          </cell>
          <cell r="U234">
            <v>0.87987666666666675</v>
          </cell>
          <cell r="W234">
            <v>0.9394531183176501</v>
          </cell>
          <cell r="AF234">
            <v>5.4999684569092544E-3</v>
          </cell>
        </row>
        <row r="235">
          <cell r="A235">
            <v>44555.333553240744</v>
          </cell>
          <cell r="G235">
            <v>3247</v>
          </cell>
          <cell r="M235">
            <v>1.0562654780669984</v>
          </cell>
          <cell r="N235">
            <v>5.6837324244053369E-2</v>
          </cell>
          <cell r="O235">
            <v>0.73726453126783242</v>
          </cell>
          <cell r="S235">
            <v>0.77140041168523799</v>
          </cell>
          <cell r="U235">
            <v>0.88027333333333346</v>
          </cell>
          <cell r="W235">
            <v>0.90131770674581457</v>
          </cell>
          <cell r="AF235">
            <v>5.1886058562025106E-3</v>
          </cell>
        </row>
        <row r="236">
          <cell r="A236">
            <v>44556.333414351851</v>
          </cell>
          <cell r="G236">
            <v>3246</v>
          </cell>
          <cell r="M236">
            <v>1.0157978483273082</v>
          </cell>
          <cell r="N236">
            <v>4.3593777318257775E-2</v>
          </cell>
          <cell r="O236">
            <v>0.70810167803639923</v>
          </cell>
          <cell r="S236">
            <v>0.71576943840103979</v>
          </cell>
          <cell r="U236">
            <v>0.87622000000000011</v>
          </cell>
          <cell r="W236">
            <v>0.89195752384926363</v>
          </cell>
          <cell r="AF236">
            <v>4.5971595298168744E-3</v>
          </cell>
        </row>
        <row r="237">
          <cell r="A237">
            <v>44557.333460648151</v>
          </cell>
          <cell r="G237">
            <v>3255</v>
          </cell>
          <cell r="M237">
            <v>0.9971049127546181</v>
          </cell>
          <cell r="N237">
            <v>2.5294564763619794E-2</v>
          </cell>
          <cell r="O237">
            <v>0.70619553598277807</v>
          </cell>
          <cell r="S237">
            <v>0.69104639514816957</v>
          </cell>
          <cell r="U237">
            <v>0.87390333333333348</v>
          </cell>
          <cell r="W237">
            <v>0.88759200891810441</v>
          </cell>
          <cell r="AF237">
            <v>4.3921184248292278E-3</v>
          </cell>
        </row>
        <row r="238">
          <cell r="A238">
            <v>44558.333402777775</v>
          </cell>
          <cell r="G238">
            <v>3253</v>
          </cell>
          <cell r="M238">
            <v>0.98781732594434124</v>
          </cell>
          <cell r="N238">
            <v>5.1051763430224467E-2</v>
          </cell>
          <cell r="O238">
            <v>0.71453219294778925</v>
          </cell>
          <cell r="S238">
            <v>0.67068431984764199</v>
          </cell>
          <cell r="U238">
            <v>0.87127333333333346</v>
          </cell>
          <cell r="W238">
            <v>0.89229508165434013</v>
          </cell>
          <cell r="AF238">
            <v>4.2327578118757092E-3</v>
          </cell>
        </row>
        <row r="239">
          <cell r="A239">
            <v>44559.333379629628</v>
          </cell>
          <cell r="G239">
            <v>3254</v>
          </cell>
          <cell r="M239">
            <v>0.98495222456805132</v>
          </cell>
          <cell r="N239">
            <v>0.16316651772562385</v>
          </cell>
          <cell r="O239">
            <v>0.71531067629297462</v>
          </cell>
          <cell r="S239">
            <v>0.66879817997342961</v>
          </cell>
          <cell r="U239">
            <v>0.87261000000000011</v>
          </cell>
          <cell r="W239">
            <v>0.88636601295966078</v>
          </cell>
          <cell r="AF239">
            <v>4.1455512727541777E-3</v>
          </cell>
        </row>
        <row r="240">
          <cell r="A240">
            <v>44560.333472222221</v>
          </cell>
          <cell r="G240">
            <v>3242</v>
          </cell>
          <cell r="M240">
            <v>0.99041283181398165</v>
          </cell>
          <cell r="N240">
            <v>0.16626539911792573</v>
          </cell>
          <cell r="O240">
            <v>0.70289770358977111</v>
          </cell>
          <cell r="S240">
            <v>0.67864860471700794</v>
          </cell>
          <cell r="U240">
            <v>0.8724833333333335</v>
          </cell>
          <cell r="W240">
            <v>0.89029038029825325</v>
          </cell>
          <cell r="AF240">
            <v>3.6305587290403896E-3</v>
          </cell>
        </row>
        <row r="241">
          <cell r="A241">
            <v>44561.333483796298</v>
          </cell>
          <cell r="G241">
            <v>3237</v>
          </cell>
          <cell r="M241">
            <v>0.97970630457742192</v>
          </cell>
          <cell r="N241">
            <v>0.15763853313001813</v>
          </cell>
          <cell r="O241">
            <v>0.70286070585137017</v>
          </cell>
          <cell r="S241">
            <v>0.669044816549206</v>
          </cell>
          <cell r="U241">
            <v>0.86831666666666685</v>
          </cell>
          <cell r="W241">
            <v>0.885595871439951</v>
          </cell>
          <cell r="AF241">
            <v>4.3439008495718134E-3</v>
          </cell>
        </row>
        <row r="242">
          <cell r="A242">
            <v>44562.333356481482</v>
          </cell>
          <cell r="G242">
            <v>3246</v>
          </cell>
          <cell r="M242">
            <v>0.97644893147599121</v>
          </cell>
          <cell r="N242">
            <v>0.12312311810422934</v>
          </cell>
          <cell r="O242">
            <v>0.71000060343890792</v>
          </cell>
          <cell r="S242">
            <v>0.66918406556187526</v>
          </cell>
          <cell r="U242">
            <v>0.86253000000000024</v>
          </cell>
          <cell r="W242">
            <v>0.86851176508657191</v>
          </cell>
          <cell r="AF242">
            <v>3.8131858900847249E-3</v>
          </cell>
        </row>
        <row r="243">
          <cell r="A243">
            <v>44563.333969907406</v>
          </cell>
          <cell r="G243">
            <v>3241</v>
          </cell>
          <cell r="M243">
            <v>0.96072274521079726</v>
          </cell>
          <cell r="N243">
            <v>4.8877507591566657E-2</v>
          </cell>
          <cell r="O243">
            <v>0.67896246701538465</v>
          </cell>
          <cell r="S243">
            <v>0.65015244860266574</v>
          </cell>
          <cell r="U243">
            <v>0.85669333333333364</v>
          </cell>
          <cell r="W243">
            <v>0.83007581159650656</v>
          </cell>
          <cell r="AF243">
            <v>3.6808092498290534E-3</v>
          </cell>
        </row>
        <row r="244">
          <cell r="A244">
            <v>44564.33353009259</v>
          </cell>
          <cell r="G244">
            <v>3254</v>
          </cell>
          <cell r="M244">
            <v>0.91052424852820502</v>
          </cell>
          <cell r="N244">
            <v>2.9595207693045418E-2</v>
          </cell>
          <cell r="O244">
            <v>0.67686580923039419</v>
          </cell>
          <cell r="S244">
            <v>0.58702743365808918</v>
          </cell>
          <cell r="U244">
            <v>0.85029333333333346</v>
          </cell>
          <cell r="W244">
            <v>0.82477457403511278</v>
          </cell>
          <cell r="AF244">
            <v>3.8570823774239926E-3</v>
          </cell>
        </row>
        <row r="245">
          <cell r="A245">
            <v>44565.333483796298</v>
          </cell>
          <cell r="G245">
            <v>3259</v>
          </cell>
          <cell r="M245">
            <v>0.89309138202523786</v>
          </cell>
          <cell r="N245">
            <v>4.2369172370501328E-2</v>
          </cell>
          <cell r="O245">
            <v>0.67360865610369303</v>
          </cell>
          <cell r="S245">
            <v>0.55961478796226538</v>
          </cell>
          <cell r="U245">
            <v>0.84196666666666686</v>
          </cell>
          <cell r="W245">
            <v>0.83932179532458773</v>
          </cell>
          <cell r="AF245">
            <v>2.9245931534662706E-3</v>
          </cell>
        </row>
        <row r="246">
          <cell r="A246">
            <v>44566.333425925928</v>
          </cell>
          <cell r="G246">
            <v>3263</v>
          </cell>
          <cell r="M246">
            <v>0.87593765759548614</v>
          </cell>
          <cell r="N246">
            <v>9.3780122831397292E-2</v>
          </cell>
          <cell r="O246">
            <v>0.69148911158158211</v>
          </cell>
          <cell r="S246">
            <v>0.53742259104720314</v>
          </cell>
          <cell r="U246">
            <v>0.83887000000000012</v>
          </cell>
          <cell r="W246">
            <v>0.85935121509650192</v>
          </cell>
          <cell r="AF246">
            <v>2.9346722646612644E-3</v>
          </cell>
        </row>
        <row r="247">
          <cell r="A247">
            <v>44567.333587962959</v>
          </cell>
          <cell r="G247">
            <v>3255</v>
          </cell>
          <cell r="M247">
            <v>0.92805531026863852</v>
          </cell>
          <cell r="N247">
            <v>0.86858171362555103</v>
          </cell>
          <cell r="O247">
            <v>0.699879191250945</v>
          </cell>
          <cell r="S247">
            <v>0.59761263972622869</v>
          </cell>
          <cell r="U247">
            <v>0.83480333333333345</v>
          </cell>
          <cell r="W247">
            <v>0.89649810062219315</v>
          </cell>
          <cell r="AF247">
            <v>2.2437862297746136E-3</v>
          </cell>
        </row>
        <row r="248">
          <cell r="A248">
            <v>44568.333414351851</v>
          </cell>
          <cell r="G248">
            <v>3249</v>
          </cell>
          <cell r="M248">
            <v>0.96985973729916031</v>
          </cell>
          <cell r="N248">
            <v>0.6543097300775178</v>
          </cell>
          <cell r="O248">
            <v>0.71788046425252017</v>
          </cell>
          <cell r="S248">
            <v>0.647728005050764</v>
          </cell>
          <cell r="U248">
            <v>0.83054666666666677</v>
          </cell>
          <cell r="W248">
            <v>0.89389846429372488</v>
          </cell>
          <cell r="AF248">
            <v>4.9637785807754575E-4</v>
          </cell>
        </row>
        <row r="249">
          <cell r="A249">
            <v>44569.333344907405</v>
          </cell>
          <cell r="G249">
            <v>3250</v>
          </cell>
          <cell r="M249">
            <v>0.97862749555311324</v>
          </cell>
          <cell r="N249">
            <v>0.24706468702545395</v>
          </cell>
          <cell r="O249">
            <v>0.68495975023538436</v>
          </cell>
          <cell r="S249">
            <v>0.66497211502952913</v>
          </cell>
          <cell r="U249">
            <v>0.82345666666666661</v>
          </cell>
          <cell r="W249">
            <v>0.88112517320449146</v>
          </cell>
          <cell r="AF249">
            <v>1.0450523643923404E-4</v>
          </cell>
        </row>
        <row r="250">
          <cell r="A250">
            <v>44570.333483796298</v>
          </cell>
          <cell r="G250">
            <v>3251</v>
          </cell>
          <cell r="M250">
            <v>0.97828404494651811</v>
          </cell>
          <cell r="N250">
            <v>0.22690578116423787</v>
          </cell>
          <cell r="O250">
            <v>0.67477467798539659</v>
          </cell>
          <cell r="S250">
            <v>0.67066774983043642</v>
          </cell>
          <cell r="U250">
            <v>0.81551333333333342</v>
          </cell>
          <cell r="W250">
            <v>0.89654913986366613</v>
          </cell>
          <cell r="AF250">
            <v>-3.1984195443024444E-4</v>
          </cell>
        </row>
        <row r="251">
          <cell r="A251">
            <v>44571.333437499998</v>
          </cell>
          <cell r="G251">
            <v>3253</v>
          </cell>
          <cell r="M251">
            <v>0.94822250321350365</v>
          </cell>
          <cell r="N251">
            <v>8.7704737716059106E-2</v>
          </cell>
          <cell r="O251">
            <v>0.65116762808789141</v>
          </cell>
          <cell r="S251">
            <v>0.6436958131105186</v>
          </cell>
          <cell r="U251">
            <v>0.81189000000000011</v>
          </cell>
          <cell r="W251">
            <v>0.90169737241914538</v>
          </cell>
          <cell r="AF251">
            <v>-2.5212045886640055E-3</v>
          </cell>
        </row>
        <row r="252">
          <cell r="A252">
            <v>44572.333680555559</v>
          </cell>
          <cell r="G252">
            <v>3261</v>
          </cell>
          <cell r="M252">
            <v>0.95650982640576143</v>
          </cell>
          <cell r="N252">
            <v>0.17386703449190127</v>
          </cell>
          <cell r="O252">
            <v>0.6786591717668109</v>
          </cell>
          <cell r="S252">
            <v>0.6612680335910387</v>
          </cell>
          <cell r="U252">
            <v>0.80656666666666677</v>
          </cell>
          <cell r="W252">
            <v>0.8860581891236704</v>
          </cell>
          <cell r="AF252">
            <v>2.2138382080374441E-3</v>
          </cell>
        </row>
        <row r="253">
          <cell r="A253">
            <v>44573.333437499998</v>
          </cell>
          <cell r="G253">
            <v>3260</v>
          </cell>
          <cell r="M253">
            <v>0.95461854279991021</v>
          </cell>
          <cell r="N253">
            <v>0.10815222362060055</v>
          </cell>
          <cell r="O253">
            <v>0.63418272793150154</v>
          </cell>
          <cell r="S253">
            <v>0.66148657703527225</v>
          </cell>
          <cell r="U253">
            <v>0.79705000000000004</v>
          </cell>
          <cell r="W253">
            <v>0.87735041606006769</v>
          </cell>
          <cell r="AF253">
            <v>6.917976250666813E-3</v>
          </cell>
        </row>
        <row r="254">
          <cell r="A254">
            <v>44574.333587962959</v>
          </cell>
          <cell r="G254">
            <v>3264</v>
          </cell>
          <cell r="M254">
            <v>0.93898731550485659</v>
          </cell>
          <cell r="N254">
            <v>7.2518084223345311E-2</v>
          </cell>
          <cell r="O254">
            <v>0.64464947595319821</v>
          </cell>
          <cell r="S254">
            <v>0.63829154193178661</v>
          </cell>
          <cell r="U254">
            <v>0.78852999999999995</v>
          </cell>
          <cell r="W254">
            <v>0.87119690543639294</v>
          </cell>
          <cell r="AF254">
            <v>7.073741204540962E-3</v>
          </cell>
        </row>
        <row r="255">
          <cell r="A255">
            <v>44575.333541666667</v>
          </cell>
          <cell r="G255">
            <v>3263</v>
          </cell>
          <cell r="M255">
            <v>0.94023236252671982</v>
          </cell>
          <cell r="N255">
            <v>9.9227944632237539E-2</v>
          </cell>
          <cell r="O255">
            <v>0.59201754447587063</v>
          </cell>
          <cell r="S255">
            <v>0.63858314149028972</v>
          </cell>
          <cell r="U255">
            <v>0.77752333333333346</v>
          </cell>
          <cell r="W255">
            <v>0.865375914419373</v>
          </cell>
          <cell r="AF255">
            <v>5.0545011894116421E-3</v>
          </cell>
        </row>
        <row r="256">
          <cell r="A256">
            <v>44576.333344907405</v>
          </cell>
          <cell r="G256">
            <v>3265</v>
          </cell>
          <cell r="M256">
            <v>0.91717127345099847</v>
          </cell>
          <cell r="N256">
            <v>5.7504993249991095E-2</v>
          </cell>
          <cell r="O256">
            <v>0.59296681081860514</v>
          </cell>
          <cell r="S256">
            <v>0.60699557560672412</v>
          </cell>
          <cell r="U256">
            <v>0.7685200000000002</v>
          </cell>
          <cell r="W256">
            <v>0.84926003565711727</v>
          </cell>
          <cell r="AF256">
            <v>6.1549656439825462E-3</v>
          </cell>
        </row>
        <row r="257">
          <cell r="A257">
            <v>44577.333495370367</v>
          </cell>
          <cell r="G257">
            <v>3266</v>
          </cell>
          <cell r="M257">
            <v>0.90203246205165022</v>
          </cell>
          <cell r="N257">
            <v>4.2303384205113335E-2</v>
          </cell>
          <cell r="O257">
            <v>0.59169573520119778</v>
          </cell>
          <cell r="S257">
            <v>0.5844164601423133</v>
          </cell>
          <cell r="U257">
            <v>0.76128666666666678</v>
          </cell>
          <cell r="W257">
            <v>0.8496857162423076</v>
          </cell>
          <cell r="AF257">
            <v>6.1485547269046759E-3</v>
          </cell>
        </row>
        <row r="258">
          <cell r="A258">
            <v>44578.333402777775</v>
          </cell>
          <cell r="G258">
            <v>3263</v>
          </cell>
          <cell r="M258">
            <v>0.8833861300614938</v>
          </cell>
          <cell r="N258">
            <v>8.2631223415598157E-2</v>
          </cell>
          <cell r="O258">
            <v>0.59810987072783073</v>
          </cell>
          <cell r="S258">
            <v>0.56432900882160897</v>
          </cell>
          <cell r="U258">
            <v>0.75471333333333346</v>
          </cell>
          <cell r="W258">
            <v>0.8523191092885003</v>
          </cell>
          <cell r="AF258">
            <v>4.7817410938615357E-3</v>
          </cell>
        </row>
        <row r="259">
          <cell r="A259">
            <v>44579.333333333336</v>
          </cell>
          <cell r="G259">
            <v>3266</v>
          </cell>
          <cell r="M259">
            <v>0.88090349224194575</v>
          </cell>
          <cell r="N259">
            <v>8.6301134504475005E-2</v>
          </cell>
          <cell r="O259">
            <v>0.59872182581481537</v>
          </cell>
          <cell r="S259">
            <v>0.57094049541652714</v>
          </cell>
          <cell r="U259">
            <v>0.74778666666666671</v>
          </cell>
          <cell r="W259">
            <v>0.85355237342302792</v>
          </cell>
          <cell r="AF259">
            <v>3.4783111892318086E-3</v>
          </cell>
        </row>
        <row r="260">
          <cell r="A260">
            <v>44580.333356481482</v>
          </cell>
          <cell r="G260">
            <v>3262</v>
          </cell>
          <cell r="M260">
            <v>0.86279857904032164</v>
          </cell>
          <cell r="N260">
            <v>0.12533047990466081</v>
          </cell>
          <cell r="O260">
            <v>0.5996997742096376</v>
          </cell>
          <cell r="S260">
            <v>0.55191942136838301</v>
          </cell>
          <cell r="U260">
            <v>0.74029</v>
          </cell>
          <cell r="W260">
            <v>0.86374030677121383</v>
          </cell>
          <cell r="AF260">
            <v>3.7684947974112593E-3</v>
          </cell>
        </row>
        <row r="261">
          <cell r="A261">
            <v>44581.333344907405</v>
          </cell>
          <cell r="G261">
            <v>3265</v>
          </cell>
          <cell r="M261">
            <v>0.84540441400202115</v>
          </cell>
          <cell r="N261">
            <v>6.2671381596360251E-2</v>
          </cell>
          <cell r="O261">
            <v>0.59503251770879917</v>
          </cell>
          <cell r="S261">
            <v>0.53636627313526319</v>
          </cell>
          <cell r="U261">
            <v>0.73515666666666668</v>
          </cell>
          <cell r="W261">
            <v>0.92317905152630353</v>
          </cell>
          <cell r="AF261">
            <v>7.6465878106304341E-3</v>
          </cell>
        </row>
        <row r="262">
          <cell r="A262">
            <v>44582.333541666667</v>
          </cell>
          <cell r="G262">
            <v>3263</v>
          </cell>
          <cell r="M262">
            <v>0.92089131589386608</v>
          </cell>
          <cell r="N262">
            <v>1.1079859851938065</v>
          </cell>
          <cell r="O262">
            <v>0.7924250848522183</v>
          </cell>
          <cell r="S262">
            <v>0.63293378399870537</v>
          </cell>
          <cell r="U262">
            <v>0.73893666666666669</v>
          </cell>
          <cell r="W262">
            <v>0.98314095927023781</v>
          </cell>
          <cell r="AF262">
            <v>5.7699515002926915E-3</v>
          </cell>
        </row>
        <row r="263">
          <cell r="A263">
            <v>44583.334016203706</v>
          </cell>
          <cell r="G263">
            <v>3225</v>
          </cell>
          <cell r="M263">
            <v>1.0364537759803758</v>
          </cell>
          <cell r="N263">
            <v>2.3365893647560583</v>
          </cell>
          <cell r="O263">
            <v>0.79083721506604787</v>
          </cell>
          <cell r="S263">
            <v>0.76752977759276275</v>
          </cell>
          <cell r="U263">
            <v>0.74371999999999994</v>
          </cell>
          <cell r="W263">
            <v>1.0020617666060547</v>
          </cell>
          <cell r="AF263">
            <v>5.493287705068628E-3</v>
          </cell>
        </row>
        <row r="264">
          <cell r="A264">
            <v>44584.333483796298</v>
          </cell>
          <cell r="G264">
            <v>3219</v>
          </cell>
          <cell r="M264">
            <v>1.088056603938778</v>
          </cell>
          <cell r="N264">
            <v>0.77842573113417091</v>
          </cell>
          <cell r="O264">
            <v>0.82814765798970513</v>
          </cell>
          <cell r="S264">
            <v>0.84750389636771972</v>
          </cell>
          <cell r="U264">
            <v>0.74472333333333329</v>
          </cell>
          <cell r="W264">
            <v>1.0653425329102548</v>
          </cell>
          <cell r="AF264">
            <v>8.6156091822531256E-3</v>
          </cell>
        </row>
        <row r="265">
          <cell r="A265">
            <v>44585.333923611113</v>
          </cell>
          <cell r="G265">
            <v>3222</v>
          </cell>
          <cell r="M265">
            <v>1.1504025936721369</v>
          </cell>
          <cell r="N265">
            <v>1.0686818244506422</v>
          </cell>
          <cell r="O265">
            <v>0.8259383656261241</v>
          </cell>
          <cell r="S265">
            <v>0.942245195897777</v>
          </cell>
          <cell r="U265">
            <v>0.74623333333333319</v>
          </cell>
          <cell r="W265">
            <v>1.0862401281457825</v>
          </cell>
          <cell r="AF265">
            <v>3.8211197530726437E-3</v>
          </cell>
        </row>
        <row r="266">
          <cell r="A266">
            <v>44586.33357638889</v>
          </cell>
          <cell r="G266">
            <v>3229</v>
          </cell>
          <cell r="M266">
            <v>1.1784815971275835</v>
          </cell>
          <cell r="N266">
            <v>0.42543410336938792</v>
          </cell>
          <cell r="O266">
            <v>0.82923436474003542</v>
          </cell>
          <cell r="S266">
            <v>0.99932545794974847</v>
          </cell>
          <cell r="U266">
            <v>0.74981333333333322</v>
          </cell>
          <cell r="W266">
            <v>1.1111925641282181</v>
          </cell>
          <cell r="AF266">
            <v>1.0686099499197521E-2</v>
          </cell>
        </row>
        <row r="267">
          <cell r="A267">
            <v>44587.333379629628</v>
          </cell>
          <cell r="G267">
            <v>3235</v>
          </cell>
          <cell r="M267">
            <v>1.1951902047416882</v>
          </cell>
          <cell r="N267">
            <v>0.26354656216518285</v>
          </cell>
          <cell r="O267">
            <v>0.83209430707662424</v>
          </cell>
          <cell r="S267">
            <v>1.0419770223954068</v>
          </cell>
          <cell r="U267">
            <v>0.75121333333333318</v>
          </cell>
          <cell r="W267">
            <v>1.120285285210604</v>
          </cell>
          <cell r="AF267">
            <v>9.7120500021137257E-3</v>
          </cell>
        </row>
        <row r="268">
          <cell r="A268">
            <v>44588.333333333336</v>
          </cell>
          <cell r="G268">
            <v>3237</v>
          </cell>
          <cell r="M268">
            <v>1.2244031704716052</v>
          </cell>
          <cell r="N268">
            <v>0.43230127253233275</v>
          </cell>
          <cell r="O268">
            <v>0.81690359834585125</v>
          </cell>
          <cell r="S268">
            <v>1.0995895021163176</v>
          </cell>
          <cell r="U268">
            <v>0.75345666666666655</v>
          </cell>
          <cell r="W268">
            <v>1.1218930538465017</v>
          </cell>
          <cell r="AF268">
            <v>7.1972053459654628E-3</v>
          </cell>
        </row>
        <row r="269">
          <cell r="A269">
            <v>44589.333344907405</v>
          </cell>
          <cell r="G269">
            <v>3239</v>
          </cell>
          <cell r="M269">
            <v>1.2330489348437785</v>
          </cell>
          <cell r="N269">
            <v>0.36968501328547948</v>
          </cell>
          <cell r="O269">
            <v>0.83912252952202948</v>
          </cell>
          <cell r="S269">
            <v>1.1217051777475358</v>
          </cell>
          <cell r="U269">
            <v>0.75019999999999998</v>
          </cell>
          <cell r="W269">
            <v>1.1110765423146034</v>
          </cell>
          <cell r="AF269">
            <v>8.3574393241372391E-3</v>
          </cell>
        </row>
        <row r="270">
          <cell r="A270">
            <v>44590.333356481482</v>
          </cell>
          <cell r="G270">
            <v>3243</v>
          </cell>
          <cell r="M270">
            <v>1.2284254592229469</v>
          </cell>
          <cell r="N270">
            <v>0.19443183943150152</v>
          </cell>
          <cell r="O270">
            <v>0.83722600771382882</v>
          </cell>
          <cell r="S270">
            <v>1.1255215246103916</v>
          </cell>
          <cell r="U270">
            <v>0.74604999999999988</v>
          </cell>
          <cell r="W270">
            <v>1.097438431571921</v>
          </cell>
          <cell r="AF270">
            <v>1.3273684933718277E-2</v>
          </cell>
        </row>
        <row r="271">
          <cell r="A271">
            <v>44591.333379629628</v>
          </cell>
          <cell r="G271">
            <v>3242</v>
          </cell>
          <cell r="M271">
            <v>1.2118748709018872</v>
          </cell>
          <cell r="N271">
            <v>0.12184389793857887</v>
          </cell>
          <cell r="O271">
            <v>0.83865761866869803</v>
          </cell>
          <cell r="S271">
            <v>1.119550031481402</v>
          </cell>
          <cell r="U271">
            <v>0.74604999999999999</v>
          </cell>
          <cell r="W271">
            <v>1.1004498314650653</v>
          </cell>
          <cell r="AF271">
            <v>1.3300595841176932E-2</v>
          </cell>
        </row>
        <row r="272">
          <cell r="A272">
            <v>44592.333611111113</v>
          </cell>
          <cell r="G272">
            <v>3244</v>
          </cell>
          <cell r="M272">
            <v>1.205234365981658</v>
          </cell>
          <cell r="N272">
            <v>0.15200964597208777</v>
          </cell>
          <cell r="O272">
            <v>0.84374526371326719</v>
          </cell>
          <cell r="S272">
            <v>1.1244255884777132</v>
          </cell>
          <cell r="U272">
            <v>0.74658666666666662</v>
          </cell>
          <cell r="W272">
            <v>1.1095519305762851</v>
          </cell>
          <cell r="AF272">
            <v>1.2893817012016084E-2</v>
          </cell>
        </row>
        <row r="273">
          <cell r="A273">
            <v>44593.333356481482</v>
          </cell>
          <cell r="G273">
            <v>3238</v>
          </cell>
          <cell r="M273">
            <v>1.2198329309818783</v>
          </cell>
          <cell r="N273">
            <v>0.14645927762143113</v>
          </cell>
          <cell r="O273">
            <v>0.85611632091545975</v>
          </cell>
          <cell r="S273">
            <v>1.1523250523982085</v>
          </cell>
          <cell r="U273">
            <v>0.74643666666666653</v>
          </cell>
          <cell r="W273">
            <v>1.1115591990142264</v>
          </cell>
          <cell r="AF273">
            <v>1.9111720419034528E-2</v>
          </cell>
        </row>
        <row r="274">
          <cell r="A274">
            <v>44594.333553240744</v>
          </cell>
          <cell r="G274">
            <v>3240</v>
          </cell>
          <cell r="M274">
            <v>1.2304020335809986</v>
          </cell>
          <cell r="N274">
            <v>0.14076935341916574</v>
          </cell>
          <cell r="O274">
            <v>0.86192058384604875</v>
          </cell>
          <cell r="S274">
            <v>1.1793028763102826</v>
          </cell>
          <cell r="U274">
            <v>0.74739333333333335</v>
          </cell>
          <cell r="W274">
            <v>1.1040896991698317</v>
          </cell>
          <cell r="AF274">
            <v>1.987381740673988E-2</v>
          </cell>
        </row>
        <row r="275">
          <cell r="A275">
            <v>44595.333460648151</v>
          </cell>
          <cell r="G275">
            <v>3243</v>
          </cell>
          <cell r="M275">
            <v>1.2440916580785049</v>
          </cell>
          <cell r="N275">
            <v>0.20802294344889063</v>
          </cell>
          <cell r="O275">
            <v>0.85971171694317738</v>
          </cell>
          <cell r="S275">
            <v>1.2157118404837386</v>
          </cell>
          <cell r="U275">
            <v>0.74829666666666661</v>
          </cell>
          <cell r="W275">
            <v>1.0749895741573308</v>
          </cell>
          <cell r="AF275">
            <v>1.7267814801972259E-2</v>
          </cell>
        </row>
        <row r="276">
          <cell r="A276">
            <v>44596.333402777775</v>
          </cell>
          <cell r="G276">
            <v>3246</v>
          </cell>
          <cell r="M276">
            <v>1.2468687809353789</v>
          </cell>
          <cell r="N276">
            <v>0.15773617692445976</v>
          </cell>
          <cell r="O276">
            <v>0.93140895735186924</v>
          </cell>
          <cell r="S276">
            <v>1.2277431009771917</v>
          </cell>
          <cell r="U276">
            <v>0.74487666666666652</v>
          </cell>
          <cell r="W276">
            <v>1.0404987327120532</v>
          </cell>
          <cell r="AF276">
            <v>2.1778936889021994E-2</v>
          </cell>
        </row>
        <row r="277">
          <cell r="A277">
            <v>44597.333344907405</v>
          </cell>
          <cell r="G277">
            <v>3251</v>
          </cell>
          <cell r="M277">
            <v>1.1962541902296449</v>
          </cell>
          <cell r="N277">
            <v>0.1421435681185593</v>
          </cell>
          <cell r="O277">
            <v>0.92567546220306207</v>
          </cell>
          <cell r="S277">
            <v>1.1701097917919594</v>
          </cell>
          <cell r="U277">
            <v>0.74170000000000003</v>
          </cell>
          <cell r="W277">
            <v>0.99119773344576945</v>
          </cell>
          <cell r="AF277">
            <v>1.4491649484856151E-2</v>
          </cell>
        </row>
        <row r="278">
          <cell r="A278">
            <v>44598.333425925928</v>
          </cell>
          <cell r="G278">
            <v>3254</v>
          </cell>
          <cell r="M278">
            <v>1.1467546644773996</v>
          </cell>
          <cell r="N278">
            <v>6.5223094511145274E-2</v>
          </cell>
          <cell r="O278">
            <v>0.89820021948914119</v>
          </cell>
          <cell r="S278">
            <v>1.1048615357107789</v>
          </cell>
          <cell r="U278">
            <v>0.73973999999999995</v>
          </cell>
          <cell r="W278">
            <v>0.97495773935894359</v>
          </cell>
          <cell r="AF278">
            <v>8.3145930968693271E-3</v>
          </cell>
        </row>
        <row r="279">
          <cell r="A279">
            <v>44599.333402777775</v>
          </cell>
          <cell r="G279">
            <v>3255</v>
          </cell>
          <cell r="M279">
            <v>1.1355582902282824</v>
          </cell>
          <cell r="N279">
            <v>0.10001404065077622</v>
          </cell>
          <cell r="O279">
            <v>0.89657333061202704</v>
          </cell>
          <cell r="S279">
            <v>1.0830824183009369</v>
          </cell>
          <cell r="U279">
            <v>0.73774666666666655</v>
          </cell>
          <cell r="W279">
            <v>0.97332224075612361</v>
          </cell>
          <cell r="AF279">
            <v>-3.3868815392354978E-3</v>
          </cell>
        </row>
        <row r="280">
          <cell r="A280">
            <v>44600.333564814813</v>
          </cell>
          <cell r="G280">
            <v>3264</v>
          </cell>
          <cell r="M280">
            <v>1.1318244681217164</v>
          </cell>
          <cell r="N280">
            <v>0.13964302256164152</v>
          </cell>
          <cell r="O280">
            <v>0.89377280567040229</v>
          </cell>
          <cell r="S280">
            <v>1.0712287312566753</v>
          </cell>
          <cell r="U280">
            <v>0.73447999999999991</v>
          </cell>
          <cell r="W280">
            <v>0.94905837809586646</v>
          </cell>
          <cell r="AF280">
            <v>2.0383429462897951E-3</v>
          </cell>
        </row>
        <row r="281">
          <cell r="A281">
            <v>44601.333391203705</v>
          </cell>
          <cell r="G281">
            <v>3272</v>
          </cell>
          <cell r="M281">
            <v>1.1481998931537012</v>
          </cell>
          <cell r="N281">
            <v>0.13364365066765971</v>
          </cell>
          <cell r="O281">
            <v>0.89868649670446354</v>
          </cell>
          <cell r="S281">
            <v>1.08100224713447</v>
          </cell>
          <cell r="U281">
            <v>0.73029333333333335</v>
          </cell>
          <cell r="W281">
            <v>0.95032832110585896</v>
          </cell>
          <cell r="AF281">
            <v>1.2157201356339797E-3</v>
          </cell>
        </row>
        <row r="282">
          <cell r="A282">
            <v>44602.333495370367</v>
          </cell>
          <cell r="G282">
            <v>3279</v>
          </cell>
          <cell r="M282">
            <v>1.1419741130600669</v>
          </cell>
          <cell r="N282">
            <v>9.0839990314783611E-2</v>
          </cell>
          <cell r="O282">
            <v>0.90022523041903246</v>
          </cell>
          <cell r="S282">
            <v>1.0658853372707915</v>
          </cell>
          <cell r="U282">
            <v>0.72855333333333339</v>
          </cell>
          <cell r="W282">
            <v>0.9569921755610058</v>
          </cell>
          <cell r="AF282">
            <v>-2.491141629680782E-3</v>
          </cell>
        </row>
        <row r="283">
          <cell r="A283">
            <v>44603.333460648151</v>
          </cell>
          <cell r="G283">
            <v>3292</v>
          </cell>
          <cell r="M283">
            <v>1.1585094430804039</v>
          </cell>
          <cell r="N283">
            <v>0.21920515945988844</v>
          </cell>
          <cell r="O283">
            <v>0.90212233861324631</v>
          </cell>
          <cell r="S283">
            <v>1.0827092301138315</v>
          </cell>
          <cell r="U283">
            <v>0.72946999999999984</v>
          </cell>
          <cell r="W283">
            <v>0.9561667129234096</v>
          </cell>
          <cell r="AF283">
            <v>-2.584121338026435E-3</v>
          </cell>
        </row>
        <row r="284">
          <cell r="A284">
            <v>44604.333483796298</v>
          </cell>
          <cell r="G284">
            <v>3294</v>
          </cell>
          <cell r="M284">
            <v>1.1771372251181067</v>
          </cell>
          <cell r="N284">
            <v>0.20870537292032235</v>
          </cell>
          <cell r="O284">
            <v>0.89435437902735582</v>
          </cell>
          <cell r="S284">
            <v>1.1081957214862039</v>
          </cell>
          <cell r="U284">
            <v>0.7294666666666666</v>
          </cell>
          <cell r="W284">
            <v>0.93716011083381912</v>
          </cell>
          <cell r="AF284">
            <v>4.235574076446591E-3</v>
          </cell>
        </row>
        <row r="285">
          <cell r="A285">
            <v>44605.333356481482</v>
          </cell>
          <cell r="G285">
            <v>3300</v>
          </cell>
          <cell r="M285">
            <v>1.1825351453983934</v>
          </cell>
          <cell r="N285">
            <v>0.11885833880290571</v>
          </cell>
          <cell r="O285">
            <v>0.89106114637910749</v>
          </cell>
          <cell r="S285">
            <v>1.1123480347113845</v>
          </cell>
          <cell r="U285">
            <v>0.73346999999999984</v>
          </cell>
          <cell r="W285">
            <v>0.94002203053197209</v>
          </cell>
          <cell r="AF285">
            <v>4.1949682031843238E-3</v>
          </cell>
        </row>
        <row r="286">
          <cell r="A286">
            <v>44606.333472222221</v>
          </cell>
          <cell r="G286">
            <v>3301</v>
          </cell>
          <cell r="M286">
            <v>1.1977091820423016</v>
          </cell>
          <cell r="N286">
            <v>0.11389393314304679</v>
          </cell>
          <cell r="O286">
            <v>0.89356310443785236</v>
          </cell>
          <cell r="S286">
            <v>1.1344593521383102</v>
          </cell>
          <cell r="U286">
            <v>0.73671999999999993</v>
          </cell>
          <cell r="W286">
            <v>0.94502750158196602</v>
          </cell>
          <cell r="AF286">
            <v>3.3804078497396972E-3</v>
          </cell>
        </row>
        <row r="287">
          <cell r="A287">
            <v>44607.333472222221</v>
          </cell>
          <cell r="G287">
            <v>3309</v>
          </cell>
          <cell r="M287">
            <v>1.2100074390698112</v>
          </cell>
          <cell r="N287">
            <v>9.3984193501100835E-2</v>
          </cell>
          <cell r="O287">
            <v>0.9409931940328381</v>
          </cell>
          <cell r="S287">
            <v>1.1521210308487357</v>
          </cell>
          <cell r="U287">
            <v>0.73801666666666654</v>
          </cell>
          <cell r="W287">
            <v>0.94561496127647759</v>
          </cell>
          <cell r="AF287">
            <v>4.1589850659911054E-3</v>
          </cell>
        </row>
        <row r="288">
          <cell r="A288">
            <v>44608.333599537036</v>
          </cell>
          <cell r="G288">
            <v>3310</v>
          </cell>
          <cell r="M288">
            <v>1.2152177040398142</v>
          </cell>
          <cell r="N288">
            <v>8.8259186016977131E-2</v>
          </cell>
          <cell r="O288">
            <v>0.93128192982933355</v>
          </cell>
          <cell r="S288">
            <v>1.1537514331278373</v>
          </cell>
          <cell r="U288">
            <v>0.73836333333333326</v>
          </cell>
          <cell r="W288">
            <v>0.94715946733343515</v>
          </cell>
          <cell r="AF288">
            <v>4.100380949337179E-3</v>
          </cell>
        </row>
        <row r="289">
          <cell r="A289">
            <v>44609.333368055559</v>
          </cell>
          <cell r="G289">
            <v>3312</v>
          </cell>
          <cell r="M289">
            <v>1.2273352524088008</v>
          </cell>
          <cell r="N289">
            <v>0.13091131867574873</v>
          </cell>
          <cell r="O289">
            <v>0.97248553856882125</v>
          </cell>
          <cell r="S289">
            <v>1.1634441278233356</v>
          </cell>
          <cell r="U289">
            <v>0.74166999999999983</v>
          </cell>
          <cell r="W289">
            <v>0.94812014051382898</v>
          </cell>
          <cell r="AF289">
            <v>2.2345922135309504E-3</v>
          </cell>
        </row>
        <row r="290">
          <cell r="A290">
            <v>44610.333553240744</v>
          </cell>
          <cell r="G290">
            <v>3324</v>
          </cell>
          <cell r="M290">
            <v>1.2317202714912554</v>
          </cell>
          <cell r="N290">
            <v>0.13454567125566178</v>
          </cell>
          <cell r="O290">
            <v>0.97628097018884508</v>
          </cell>
          <cell r="S290">
            <v>1.1650747572225173</v>
          </cell>
          <cell r="U290">
            <v>0.74381999999999981</v>
          </cell>
          <cell r="W290">
            <v>0.93030674181435313</v>
          </cell>
          <cell r="AF290">
            <v>5.2723285505247297E-3</v>
          </cell>
        </row>
        <row r="291">
          <cell r="A291">
            <v>44611.333460648151</v>
          </cell>
          <cell r="G291">
            <v>3324</v>
          </cell>
          <cell r="M291">
            <v>1.2569317443259529</v>
          </cell>
          <cell r="N291">
            <v>0.17817997444383959</v>
          </cell>
          <cell r="O291">
            <v>0.97138681420980222</v>
          </cell>
          <cell r="S291">
            <v>1.1918412014619373</v>
          </cell>
          <cell r="U291">
            <v>0.74240666666666644</v>
          </cell>
          <cell r="W291">
            <v>0.86572963876499243</v>
          </cell>
          <cell r="AF291">
            <v>4.0332740371118447E-3</v>
          </cell>
        </row>
        <row r="292">
          <cell r="A292">
            <v>44612.333495370367</v>
          </cell>
          <cell r="G292">
            <v>3324</v>
          </cell>
          <cell r="M292">
            <v>1.1938890562178957</v>
          </cell>
          <cell r="N292">
            <v>0.11860461759781449</v>
          </cell>
          <cell r="O292">
            <v>0.81016950943538413</v>
          </cell>
          <cell r="S292">
            <v>1.1183124212289641</v>
          </cell>
          <cell r="U292">
            <v>0.73798999999999992</v>
          </cell>
          <cell r="W292">
            <v>0.81601929297277542</v>
          </cell>
          <cell r="AF292">
            <v>3.0911655279382E-3</v>
          </cell>
        </row>
        <row r="293">
          <cell r="A293">
            <v>44613.333379629628</v>
          </cell>
          <cell r="G293">
            <v>3321</v>
          </cell>
          <cell r="M293">
            <v>1.0917874112600221</v>
          </cell>
          <cell r="N293">
            <v>0.16215209373056566</v>
          </cell>
          <cell r="O293">
            <v>0.78270980032161264</v>
          </cell>
          <cell r="S293">
            <v>1.0063196670420402</v>
          </cell>
          <cell r="U293">
            <v>0.73573666666666659</v>
          </cell>
          <cell r="W293">
            <v>0.81308796910593839</v>
          </cell>
          <cell r="AF293">
            <v>2.0974177381587467E-3</v>
          </cell>
        </row>
        <row r="294">
          <cell r="A294">
            <v>44614.333391203705</v>
          </cell>
          <cell r="G294">
            <v>3327</v>
          </cell>
          <cell r="M294">
            <v>1.0722525896874187</v>
          </cell>
          <cell r="N294">
            <v>0.33502042608855709</v>
          </cell>
          <cell r="O294">
            <v>0.76617395130465293</v>
          </cell>
          <cell r="S294">
            <v>0.97588824888520243</v>
          </cell>
          <cell r="U294">
            <v>0.73332999999999993</v>
          </cell>
          <cell r="W294">
            <v>0.75898142960338</v>
          </cell>
          <cell r="AF294">
            <v>2.8704912540287175E-3</v>
          </cell>
        </row>
        <row r="295">
          <cell r="A295">
            <v>44615.333518518521</v>
          </cell>
          <cell r="G295">
            <v>3333</v>
          </cell>
          <cell r="M295">
            <v>1.0217602545583395</v>
          </cell>
          <cell r="N295">
            <v>0.1749680121291699</v>
          </cell>
          <cell r="O295">
            <v>0.75655927556660052</v>
          </cell>
          <cell r="S295">
            <v>0.91326845399694467</v>
          </cell>
          <cell r="U295">
            <v>0.73078999999999994</v>
          </cell>
          <cell r="W295">
            <v>0.78280188186207533</v>
          </cell>
          <cell r="AF295">
            <v>3.5124645737267812E-3</v>
          </cell>
        </row>
        <row r="296">
          <cell r="A296">
            <v>44616.333333333336</v>
          </cell>
          <cell r="G296">
            <v>3330</v>
          </cell>
          <cell r="M296">
            <v>1.0383458033581754</v>
          </cell>
          <cell r="N296">
            <v>0.46497234139789501</v>
          </cell>
          <cell r="O296">
            <v>0.75640476118632305</v>
          </cell>
          <cell r="S296">
            <v>0.91626819960658701</v>
          </cell>
          <cell r="U296">
            <v>0.73065999999999998</v>
          </cell>
          <cell r="W296">
            <v>0.77241164717234911</v>
          </cell>
          <cell r="AF296">
            <v>-5.0175385876572998E-3</v>
          </cell>
        </row>
        <row r="297">
          <cell r="A297">
            <v>44617.333368055559</v>
          </cell>
          <cell r="G297">
            <v>3316</v>
          </cell>
          <cell r="M297">
            <v>1.074579825534306</v>
          </cell>
          <cell r="N297">
            <v>0.52505222532395668</v>
          </cell>
          <cell r="O297">
            <v>0.78505891723688814</v>
          </cell>
          <cell r="S297">
            <v>0.93798783006436115</v>
          </cell>
          <cell r="U297">
            <v>0.72714000000000001</v>
          </cell>
          <cell r="W297">
            <v>0.75136306492567029</v>
          </cell>
          <cell r="AF297">
            <v>6.1020649535818983E-3</v>
          </cell>
        </row>
        <row r="298">
          <cell r="A298">
            <v>44618.333449074074</v>
          </cell>
          <cell r="G298">
            <v>3324</v>
          </cell>
          <cell r="M298">
            <v>1.0733383741385862</v>
          </cell>
          <cell r="N298">
            <v>0.28708186185066764</v>
          </cell>
          <cell r="O298">
            <v>0.78097908281706652</v>
          </cell>
          <cell r="S298">
            <v>0.92541265281077301</v>
          </cell>
          <cell r="U298">
            <v>0.72363000000000011</v>
          </cell>
          <cell r="W298">
            <v>0.7510966454865009</v>
          </cell>
          <cell r="AF298">
            <v>8.2335197625924561E-3</v>
          </cell>
        </row>
        <row r="299">
          <cell r="A299">
            <v>44619.333449074074</v>
          </cell>
          <cell r="G299">
            <v>3323</v>
          </cell>
          <cell r="M299">
            <v>1.059988310838393</v>
          </cell>
          <cell r="N299">
            <v>0.14664626133588388</v>
          </cell>
          <cell r="O299">
            <v>0.79369313281854026</v>
          </cell>
          <cell r="S299">
            <v>0.90078136218098659</v>
          </cell>
          <cell r="U299">
            <v>0.72906666666666675</v>
          </cell>
          <cell r="W299">
            <v>0.75652394113506838</v>
          </cell>
          <cell r="AF299">
            <v>8.2560805705673701E-3</v>
          </cell>
        </row>
        <row r="300">
          <cell r="A300">
            <v>44620.333402777775</v>
          </cell>
          <cell r="G300">
            <v>3332</v>
          </cell>
          <cell r="M300">
            <v>1.0806201375613425</v>
          </cell>
          <cell r="N300">
            <v>0.29796580205408424</v>
          </cell>
          <cell r="O300">
            <v>0.87471041250967663</v>
          </cell>
          <cell r="S300">
            <v>0.91216995039305748</v>
          </cell>
          <cell r="U300">
            <v>0.73265666666666684</v>
          </cell>
          <cell r="W300">
            <v>0.76096983008050278</v>
          </cell>
          <cell r="AF300">
            <v>7.6740455406008046E-3</v>
          </cell>
        </row>
        <row r="301">
          <cell r="A301">
            <v>44621.333854166667</v>
          </cell>
          <cell r="G301">
            <v>3331</v>
          </cell>
          <cell r="M301">
            <v>1.10721729770175</v>
          </cell>
          <cell r="N301">
            <v>0.23459971616025332</v>
          </cell>
          <cell r="O301">
            <v>0.87608459153966356</v>
          </cell>
          <cell r="S301">
            <v>0.92803483276260068</v>
          </cell>
          <cell r="U301">
            <v>0.73556333333333346</v>
          </cell>
          <cell r="W301">
            <v>0.76610943563073375</v>
          </cell>
          <cell r="AF301">
            <v>8.9176532901700245E-3</v>
          </cell>
        </row>
        <row r="302">
          <cell r="A302">
            <v>44622.333483796298</v>
          </cell>
          <cell r="G302">
            <v>3327</v>
          </cell>
          <cell r="M302">
            <v>1.1313278711979118</v>
          </cell>
          <cell r="N302">
            <v>0.27750765203191696</v>
          </cell>
          <cell r="O302">
            <v>0.87123769965143338</v>
          </cell>
          <cell r="S302">
            <v>0.94334712753083749</v>
          </cell>
          <cell r="U302">
            <v>0.73713666666666677</v>
          </cell>
          <cell r="W302">
            <v>0.7596390910644969</v>
          </cell>
          <cell r="AF302">
            <v>9.5441147294603734E-3</v>
          </cell>
        </row>
        <row r="303">
          <cell r="A303">
            <v>44623.333495370367</v>
          </cell>
          <cell r="G303">
            <v>3330</v>
          </cell>
          <cell r="M303">
            <v>1.141276813646392</v>
          </cell>
          <cell r="N303">
            <v>0.17154586905933078</v>
          </cell>
          <cell r="O303">
            <v>0.87443401074381666</v>
          </cell>
          <cell r="S303">
            <v>0.94709212617401117</v>
          </cell>
          <cell r="U303">
            <v>0.73897333333333348</v>
          </cell>
          <cell r="W303">
            <v>0.75876694652658405</v>
          </cell>
          <cell r="AF303">
            <v>9.6932501657223114E-3</v>
          </cell>
        </row>
        <row r="304">
          <cell r="A304">
            <v>44624.333356481482</v>
          </cell>
          <cell r="G304">
            <v>3337</v>
          </cell>
          <cell r="M304">
            <v>1.1500500248048549</v>
          </cell>
          <cell r="N304">
            <v>0.14227495512829388</v>
          </cell>
          <cell r="O304">
            <v>0.90801846380022611</v>
          </cell>
          <cell r="S304">
            <v>0.9473390356735657</v>
          </cell>
          <cell r="U304">
            <v>0.74347333333333343</v>
          </cell>
          <cell r="W304">
            <v>0.75487644368896312</v>
          </cell>
          <cell r="AF304">
            <v>9.5963009876036676E-3</v>
          </cell>
        </row>
        <row r="305">
          <cell r="A305">
            <v>44625.333437499998</v>
          </cell>
          <cell r="G305">
            <v>3355</v>
          </cell>
          <cell r="M305">
            <v>1.1497300153492864</v>
          </cell>
          <cell r="N305">
            <v>0.11395382623398566</v>
          </cell>
          <cell r="O305">
            <v>0.91039618177183779</v>
          </cell>
          <cell r="S305">
            <v>0.93305342435144856</v>
          </cell>
          <cell r="U305">
            <v>0.74684333333333341</v>
          </cell>
          <cell r="W305">
            <v>0.74593039293038166</v>
          </cell>
          <cell r="AF305">
            <v>9.9401142869333103E-3</v>
          </cell>
        </row>
        <row r="306">
          <cell r="A306">
            <v>44626.333425925928</v>
          </cell>
          <cell r="G306">
            <v>3366</v>
          </cell>
          <cell r="M306">
            <v>1.1398859487882944</v>
          </cell>
          <cell r="N306">
            <v>5.4154286752330694E-2</v>
          </cell>
          <cell r="O306">
            <v>0.83381455849878094</v>
          </cell>
          <cell r="S306">
            <v>0.90341191305450508</v>
          </cell>
          <cell r="U306">
            <v>0.7520933333333335</v>
          </cell>
          <cell r="W306">
            <v>0.76044537145442059</v>
          </cell>
          <cell r="AF306">
            <v>9.642566729385571E-3</v>
          </cell>
        </row>
        <row r="307">
          <cell r="A307">
            <v>44627.333333333336</v>
          </cell>
          <cell r="G307">
            <v>3376</v>
          </cell>
          <cell r="M307">
            <v>1.1361173863649496</v>
          </cell>
          <cell r="N307">
            <v>0.12331325222149803</v>
          </cell>
          <cell r="O307">
            <v>0.83403212410641892</v>
          </cell>
          <cell r="S307">
            <v>0.90013848534781737</v>
          </cell>
          <cell r="U307">
            <v>0.76051000000000024</v>
          </cell>
          <cell r="W307">
            <v>0.77508355575763943</v>
          </cell>
          <cell r="AF307">
            <v>9.62982408488533E-3</v>
          </cell>
        </row>
        <row r="308">
          <cell r="A308">
            <v>44628.333368055559</v>
          </cell>
          <cell r="G308">
            <v>3390</v>
          </cell>
          <cell r="M308">
            <v>1.1556194999440013</v>
          </cell>
          <cell r="N308">
            <v>0.2232302135881129</v>
          </cell>
          <cell r="O308">
            <v>0.84134783687224213</v>
          </cell>
          <cell r="S308">
            <v>0.93085670191550396</v>
          </cell>
          <cell r="U308">
            <v>0.76581666666666692</v>
          </cell>
          <cell r="W308">
            <v>0.77236461763352426</v>
          </cell>
          <cell r="AF308">
            <v>9.8162866204489774E-3</v>
          </cell>
        </row>
        <row r="309">
          <cell r="A309">
            <v>44629.333333333336</v>
          </cell>
          <cell r="G309">
            <v>3396</v>
          </cell>
          <cell r="M309">
            <v>1.1679360239585435</v>
          </cell>
          <cell r="N309">
            <v>0.20531063429339194</v>
          </cell>
          <cell r="O309">
            <v>0.8627046253840116</v>
          </cell>
          <cell r="S309">
            <v>0.94781412372135243</v>
          </cell>
          <cell r="U309">
            <v>0.77094333333333354</v>
          </cell>
          <cell r="W309">
            <v>0.76447676866255954</v>
          </cell>
          <cell r="AF309">
            <v>9.4723722609593164E-3</v>
          </cell>
        </row>
        <row r="310">
          <cell r="A310">
            <v>44630.33357638889</v>
          </cell>
          <cell r="G310">
            <v>3415</v>
          </cell>
          <cell r="M310">
            <v>1.1612089579127298</v>
          </cell>
          <cell r="N310">
            <v>0.10447816398722935</v>
          </cell>
          <cell r="O310">
            <v>0.87444842879384654</v>
          </cell>
          <cell r="S310">
            <v>0.94115244271689069</v>
          </cell>
          <cell r="U310">
            <v>0.77565333333333342</v>
          </cell>
          <cell r="W310">
            <v>0.77224258061633677</v>
          </cell>
          <cell r="AF310">
            <v>8.1852081224536022E-3</v>
          </cell>
        </row>
        <row r="311">
          <cell r="A311">
            <v>44631.333414351851</v>
          </cell>
          <cell r="G311">
            <v>3423</v>
          </cell>
          <cell r="M311">
            <v>1.1609594101899414</v>
          </cell>
          <cell r="N311">
            <v>0.14463768844865582</v>
          </cell>
          <cell r="O311">
            <v>0.86164237071342964</v>
          </cell>
          <cell r="S311">
            <v>0.94298301092331205</v>
          </cell>
          <cell r="U311">
            <v>0.78150000000000008</v>
          </cell>
          <cell r="W311">
            <v>0.74206003255698405</v>
          </cell>
          <cell r="AF311">
            <v>8.3373915472175764E-3</v>
          </cell>
        </row>
        <row r="312">
          <cell r="A312">
            <v>44632.334016203706</v>
          </cell>
          <cell r="G312">
            <v>3432</v>
          </cell>
          <cell r="M312">
            <v>1.1511786843581502</v>
          </cell>
          <cell r="N312">
            <v>6.660328095359061E-2</v>
          </cell>
          <cell r="O312">
            <v>0.84834451486338602</v>
          </cell>
          <cell r="S312">
            <v>0.93441054691516023</v>
          </cell>
          <cell r="U312">
            <v>0.78481333333333347</v>
          </cell>
          <cell r="W312">
            <v>0.70947252068088484</v>
          </cell>
          <cell r="AF312">
            <v>6.5949854479721015E-3</v>
          </cell>
        </row>
        <row r="313">
          <cell r="A313">
            <v>44633.333425925928</v>
          </cell>
          <cell r="G313">
            <v>3434</v>
          </cell>
          <cell r="M313">
            <v>1.1198768312372842</v>
          </cell>
          <cell r="N313">
            <v>3.7517004579920715E-2</v>
          </cell>
          <cell r="O313">
            <v>0.8355455142411764</v>
          </cell>
          <cell r="S313">
            <v>0.89666124032765704</v>
          </cell>
          <cell r="U313">
            <v>0.7902300000000001</v>
          </cell>
          <cell r="W313">
            <v>0.69719790724818176</v>
          </cell>
          <cell r="AF313">
            <v>5.3273103835838054E-3</v>
          </cell>
        </row>
        <row r="314">
          <cell r="A314">
            <v>44634.333749999998</v>
          </cell>
          <cell r="G314">
            <v>3429</v>
          </cell>
          <cell r="M314">
            <v>1.1045541267650947</v>
          </cell>
          <cell r="N314">
            <v>8.7243505173696653E-2</v>
          </cell>
          <cell r="O314">
            <v>0.84348921551319878</v>
          </cell>
          <cell r="S314">
            <v>0.87604413129184844</v>
          </cell>
          <cell r="U314">
            <v>0.79559333333333349</v>
          </cell>
          <cell r="W314">
            <v>0.70029559207710601</v>
          </cell>
          <cell r="AF314">
            <v>6.2116169818910993E-3</v>
          </cell>
        </row>
        <row r="315">
          <cell r="A315">
            <v>44635.333379629628</v>
          </cell>
          <cell r="G315">
            <v>3449</v>
          </cell>
          <cell r="M315">
            <v>1.09840340411909</v>
          </cell>
          <cell r="N315">
            <v>8.679216148963223E-2</v>
          </cell>
          <cell r="O315">
            <v>0.844649328791513</v>
          </cell>
          <cell r="S315">
            <v>0.86870470411636336</v>
          </cell>
          <cell r="U315">
            <v>0.80026000000000008</v>
          </cell>
          <cell r="W315">
            <v>0.70314963743623859</v>
          </cell>
          <cell r="AF315">
            <v>2.9253917200027235E-3</v>
          </cell>
        </row>
        <row r="316">
          <cell r="A316">
            <v>44636.333379629628</v>
          </cell>
          <cell r="G316">
            <v>3462</v>
          </cell>
          <cell r="M316">
            <v>1.1039595670485249</v>
          </cell>
          <cell r="N316">
            <v>0.15294873433614356</v>
          </cell>
          <cell r="O316">
            <v>0.86728872761083298</v>
          </cell>
          <cell r="S316">
            <v>0.87550816053841229</v>
          </cell>
          <cell r="U316">
            <v>0.80420333333333338</v>
          </cell>
          <cell r="W316">
            <v>0.68171481476379303</v>
          </cell>
          <cell r="AF316">
            <v>4.1355193672338864E-3</v>
          </cell>
        </row>
        <row r="317">
          <cell r="A317">
            <v>44637.333587962959</v>
          </cell>
          <cell r="G317">
            <v>3468</v>
          </cell>
          <cell r="M317">
            <v>1.1082035743495515</v>
          </cell>
          <cell r="N317">
            <v>0.12822192747783781</v>
          </cell>
          <cell r="O317">
            <v>0.81754372811258813</v>
          </cell>
          <cell r="S317">
            <v>0.88267127403249168</v>
          </cell>
          <cell r="U317">
            <v>0.80505999999999989</v>
          </cell>
          <cell r="W317">
            <v>0.67422790052731507</v>
          </cell>
          <cell r="AF317">
            <v>4.7219768409236806E-3</v>
          </cell>
        </row>
        <row r="318">
          <cell r="A318">
            <v>44638.33384259259</v>
          </cell>
          <cell r="G318">
            <v>3469</v>
          </cell>
          <cell r="M318">
            <v>1.1036574810883653</v>
          </cell>
          <cell r="N318">
            <v>6.717142260903565E-2</v>
          </cell>
          <cell r="O318">
            <v>0.83397605657616547</v>
          </cell>
          <cell r="S318">
            <v>0.87509335278978251</v>
          </cell>
          <cell r="U318">
            <v>0.80601</v>
          </cell>
          <cell r="W318">
            <v>0.64420350603521881</v>
          </cell>
          <cell r="AF318">
            <v>4.7075419142208474E-3</v>
          </cell>
        </row>
        <row r="319">
          <cell r="A319">
            <v>44639.333356481482</v>
          </cell>
          <cell r="G319">
            <v>3467</v>
          </cell>
          <cell r="M319">
            <v>1.0969552141771717</v>
          </cell>
          <cell r="N319">
            <v>8.464819065894609E-2</v>
          </cell>
          <cell r="O319">
            <v>0.78238390875991981</v>
          </cell>
          <cell r="S319">
            <v>0.86492268752384471</v>
          </cell>
          <cell r="U319">
            <v>0.80429666666666677</v>
          </cell>
          <cell r="W319">
            <v>0.61942635186141859</v>
          </cell>
          <cell r="AF319">
            <v>3.328521943517071E-3</v>
          </cell>
        </row>
        <row r="320">
          <cell r="A320">
            <v>44640.333379629628</v>
          </cell>
          <cell r="G320">
            <v>3465</v>
          </cell>
          <cell r="M320">
            <v>1.0867562911327817</v>
          </cell>
          <cell r="N320">
            <v>6.6646698668355209E-2</v>
          </cell>
          <cell r="O320">
            <v>0.78016373154558627</v>
          </cell>
          <cell r="S320">
            <v>0.84729314872223283</v>
          </cell>
          <cell r="U320">
            <v>0.80568000000000006</v>
          </cell>
          <cell r="W320">
            <v>0.61226501917898701</v>
          </cell>
          <cell r="AF320">
            <v>3.1653479714779387E-3</v>
          </cell>
        </row>
        <row r="321">
          <cell r="A321">
            <v>44641.333333333336</v>
          </cell>
          <cell r="G321">
            <v>3473</v>
          </cell>
          <cell r="M321">
            <v>1.0741101589496214</v>
          </cell>
          <cell r="N321">
            <v>8.4069196917208655E-2</v>
          </cell>
          <cell r="O321">
            <v>0.78060818896089501</v>
          </cell>
          <cell r="S321">
            <v>0.82969025796896356</v>
          </cell>
          <cell r="U321">
            <v>0.80670666666666668</v>
          </cell>
          <cell r="W321">
            <v>0.60484399417753765</v>
          </cell>
          <cell r="AF321">
            <v>2.5148195146083019E-3</v>
          </cell>
        </row>
        <row r="322">
          <cell r="A322">
            <v>44642.333344907405</v>
          </cell>
          <cell r="G322">
            <v>3475</v>
          </cell>
          <cell r="M322">
            <v>1.0692491447192889</v>
          </cell>
          <cell r="N322">
            <v>0.10495445989739879</v>
          </cell>
          <cell r="O322">
            <v>0.76196375236604452</v>
          </cell>
          <cell r="S322">
            <v>0.82688635805062327</v>
          </cell>
          <cell r="U322">
            <v>0.8021100000000001</v>
          </cell>
          <cell r="W322">
            <v>0.58874734065568068</v>
          </cell>
          <cell r="AF322">
            <v>1.3529781327565882E-3</v>
          </cell>
        </row>
        <row r="323">
          <cell r="A323">
            <v>44643.333379629628</v>
          </cell>
          <cell r="G323">
            <v>3487</v>
          </cell>
          <cell r="M323">
            <v>1.0595871874669909</v>
          </cell>
          <cell r="N323">
            <v>0.10412700309530501</v>
          </cell>
          <cell r="O323">
            <v>0.75817359386065397</v>
          </cell>
          <cell r="S323">
            <v>0.81664222093604932</v>
          </cell>
          <cell r="U323">
            <v>0.79447000000000001</v>
          </cell>
          <cell r="W323">
            <v>0.57233213105915759</v>
          </cell>
          <cell r="AF323">
            <v>3.4702501440184719E-3</v>
          </cell>
        </row>
        <row r="324">
          <cell r="A324">
            <v>44644.333402777775</v>
          </cell>
          <cell r="G324">
            <v>3506</v>
          </cell>
          <cell r="M324">
            <v>1.0293254484183385</v>
          </cell>
          <cell r="N324">
            <v>9.0480037509219596E-2</v>
          </cell>
          <cell r="O324">
            <v>0.75816082034399546</v>
          </cell>
          <cell r="S324">
            <v>0.78385621574421094</v>
          </cell>
          <cell r="U324">
            <v>0.78937999999999986</v>
          </cell>
          <cell r="W324">
            <v>0.56737067443056732</v>
          </cell>
          <cell r="AF324">
            <v>6.7587662144563687E-4</v>
          </cell>
        </row>
        <row r="325">
          <cell r="A325">
            <v>44645.333344907405</v>
          </cell>
          <cell r="G325">
            <v>3553</v>
          </cell>
          <cell r="M325">
            <v>1.0182228163943947</v>
          </cell>
          <cell r="N325">
            <v>7.9699647192653267E-2</v>
          </cell>
          <cell r="O325">
            <v>0.75349520712211859</v>
          </cell>
          <cell r="S325">
            <v>0.7653347533783138</v>
          </cell>
          <cell r="U325">
            <v>0.7843</v>
          </cell>
          <cell r="W325">
            <v>0.50969781420531823</v>
          </cell>
          <cell r="AF325">
            <v>-1.6323821240471492E-4</v>
          </cell>
        </row>
        <row r="326">
          <cell r="A326">
            <v>44646.333460648151</v>
          </cell>
          <cell r="G326">
            <v>3617</v>
          </cell>
          <cell r="M326">
            <v>0.9539366690647183</v>
          </cell>
          <cell r="N326">
            <v>6.8399768211528045E-2</v>
          </cell>
          <cell r="O326">
            <v>0.75365864271316829</v>
          </cell>
          <cell r="S326">
            <v>0.71444810099022293</v>
          </cell>
          <cell r="U326">
            <v>0.77663000000000004</v>
          </cell>
          <cell r="W326">
            <v>0.48286886917938132</v>
          </cell>
          <cell r="AF326">
            <v>-1.0174831968373654E-3</v>
          </cell>
        </row>
        <row r="327">
          <cell r="A327">
            <v>44647.333368055559</v>
          </cell>
          <cell r="G327">
            <v>3898</v>
          </cell>
          <cell r="M327">
            <v>0.8860205567209618</v>
          </cell>
          <cell r="N327">
            <v>1.5021371028389217E-2</v>
          </cell>
          <cell r="O327">
            <v>0.74073447046890917</v>
          </cell>
          <cell r="S327">
            <v>0.65007690608679047</v>
          </cell>
          <cell r="U327">
            <v>0.77337333333333336</v>
          </cell>
          <cell r="W327">
            <v>0.48442969564867061</v>
          </cell>
          <cell r="AF327">
            <v>-1.6893462711851104E-3</v>
          </cell>
        </row>
        <row r="328">
          <cell r="A328">
            <v>44648.333854166667</v>
          </cell>
          <cell r="G328">
            <v>3946</v>
          </cell>
          <cell r="M328">
            <v>0.85801579782162762</v>
          </cell>
          <cell r="N328">
            <v>8.6274535453347873E-2</v>
          </cell>
          <cell r="O328">
            <v>0.74123178025724457</v>
          </cell>
          <cell r="S328">
            <v>0.62064103307681218</v>
          </cell>
          <cell r="U328">
            <v>0.77026666666666677</v>
          </cell>
          <cell r="W328">
            <v>0.47578666010233756</v>
          </cell>
          <cell r="AF328">
            <v>-4.8020942568151037E-3</v>
          </cell>
        </row>
        <row r="329">
          <cell r="A329">
            <v>44649.333425925928</v>
          </cell>
          <cell r="G329">
            <v>3975</v>
          </cell>
          <cell r="M329">
            <v>0.84860985113865661</v>
          </cell>
          <cell r="N329">
            <v>9.5259664641654293E-2</v>
          </cell>
          <cell r="O329">
            <v>0.70413644498827477</v>
          </cell>
          <cell r="S329">
            <v>0.61069157611109115</v>
          </cell>
          <cell r="U329">
            <v>0.7602066666666667</v>
          </cell>
          <cell r="W329">
            <v>0.46480772343069165</v>
          </cell>
          <cell r="AF329">
            <v>-8.4188279330397187E-3</v>
          </cell>
        </row>
        <row r="330">
          <cell r="A330">
            <v>44650.333506944444</v>
          </cell>
          <cell r="G330">
            <v>4012</v>
          </cell>
          <cell r="M330">
            <v>0.81130887901959847</v>
          </cell>
          <cell r="N330">
            <v>7.7405169966482432E-2</v>
          </cell>
          <cell r="O330">
            <v>0.60833972938289294</v>
          </cell>
          <cell r="S330">
            <v>0.57742103778739917</v>
          </cell>
          <cell r="U330">
            <v>0.7530566666666666</v>
          </cell>
          <cell r="W330">
            <v>0.46143029223955601</v>
          </cell>
          <cell r="AF330">
            <v>-3.2995452564673622E-3</v>
          </cell>
        </row>
        <row r="331">
          <cell r="A331">
            <v>44651.333379629628</v>
          </cell>
          <cell r="G331">
            <v>4031</v>
          </cell>
          <cell r="M331">
            <v>0.78309064496243541</v>
          </cell>
          <cell r="N331">
            <v>4.8385481416961265E-2</v>
          </cell>
          <cell r="O331">
            <v>0.61902505962549381</v>
          </cell>
          <cell r="S331">
            <v>0.53790078156555088</v>
          </cell>
          <cell r="U331">
            <v>0.74917333333333325</v>
          </cell>
          <cell r="W331">
            <v>0.45659980594472127</v>
          </cell>
          <cell r="AF331">
            <v>-2.1164950010724715E-3</v>
          </cell>
        </row>
        <row r="332">
          <cell r="A332">
            <v>44652.333541666667</v>
          </cell>
          <cell r="G332">
            <v>4045</v>
          </cell>
          <cell r="M332">
            <v>0.75843626619782589</v>
          </cell>
          <cell r="N332">
            <v>6.605094875556447E-2</v>
          </cell>
          <cell r="O332">
            <v>0.63848203497421119</v>
          </cell>
          <cell r="S332">
            <v>0.50179585063792054</v>
          </cell>
          <cell r="U332">
            <v>0.74490000000000001</v>
          </cell>
          <cell r="W332">
            <v>0.46485510144864289</v>
          </cell>
          <cell r="AF332">
            <v>-2.7981000498999986E-4</v>
          </cell>
        </row>
        <row r="333">
          <cell r="A333">
            <v>44653.333506944444</v>
          </cell>
          <cell r="G333">
            <v>4038</v>
          </cell>
          <cell r="M333">
            <v>0.74493689957339504</v>
          </cell>
          <cell r="N333">
            <v>9.8867372487461178E-2</v>
          </cell>
          <cell r="O333">
            <v>0.61793785775735732</v>
          </cell>
          <cell r="S333">
            <v>0.48900187693540881</v>
          </cell>
          <cell r="U333">
            <v>0.74027000000000009</v>
          </cell>
          <cell r="W333">
            <v>0.46207880047494826</v>
          </cell>
          <cell r="AF333">
            <v>-3.4693428469678711E-4</v>
          </cell>
        </row>
        <row r="334">
          <cell r="A334">
            <v>44654.333356481482</v>
          </cell>
          <cell r="G334">
            <v>4049</v>
          </cell>
          <cell r="M334">
            <v>0.72750420309188824</v>
          </cell>
          <cell r="N334">
            <v>8.6868596996077685E-2</v>
          </cell>
          <cell r="O334">
            <v>0.53568062644195769</v>
          </cell>
          <cell r="S334">
            <v>0.47754689774377324</v>
          </cell>
          <cell r="U334">
            <v>0.73175000000000001</v>
          </cell>
          <cell r="W334">
            <v>0.47152896328043392</v>
          </cell>
          <cell r="AF334">
            <v>-1.0682850144392297E-3</v>
          </cell>
        </row>
        <row r="335">
          <cell r="A335">
            <v>44655.333368055559</v>
          </cell>
          <cell r="G335">
            <v>4044</v>
          </cell>
          <cell r="M335">
            <v>0.69598729577892871</v>
          </cell>
          <cell r="N335">
            <v>5.4236285077621606E-2</v>
          </cell>
          <cell r="O335">
            <v>0.53602717831661684</v>
          </cell>
          <cell r="S335">
            <v>0.45542354489243458</v>
          </cell>
          <cell r="U335">
            <v>0.72527333333333344</v>
          </cell>
          <cell r="W335">
            <v>0.47546236361086081</v>
          </cell>
          <cell r="AF335">
            <v>-6.8401787397764924E-4</v>
          </cell>
        </row>
        <row r="336">
          <cell r="A336">
            <v>44656.333368055559</v>
          </cell>
          <cell r="G336">
            <v>4057</v>
          </cell>
          <cell r="M336">
            <v>0.67451335884477115</v>
          </cell>
          <cell r="N336">
            <v>5.1252680910880873E-2</v>
          </cell>
          <cell r="O336">
            <v>0.52449285235344478</v>
          </cell>
          <cell r="S336">
            <v>0.45542354489243458</v>
          </cell>
          <cell r="U336">
            <v>0.71806999999999988</v>
          </cell>
          <cell r="W336">
            <v>0.48267979192103561</v>
          </cell>
          <cell r="AF336">
            <v>1.879887684792525E-4</v>
          </cell>
        </row>
        <row r="337">
          <cell r="A337">
            <v>44657.333333333336</v>
          </cell>
          <cell r="G337">
            <v>4068</v>
          </cell>
          <cell r="M337">
            <v>0.66464136836263887</v>
          </cell>
          <cell r="N337">
            <v>0.10644157485918426</v>
          </cell>
          <cell r="O337">
            <v>0.58888982929338118</v>
          </cell>
          <cell r="S337">
            <v>0.45205256752768724</v>
          </cell>
          <cell r="U337">
            <v>0.71209666666666649</v>
          </cell>
          <cell r="W337">
            <v>0.48897325668355796</v>
          </cell>
          <cell r="AF337">
            <v>1.4896842837459623E-3</v>
          </cell>
        </row>
        <row r="338">
          <cell r="A338">
            <v>44658.333506944444</v>
          </cell>
          <cell r="G338">
            <v>4076</v>
          </cell>
          <cell r="M338">
            <v>0.65306717637076772</v>
          </cell>
          <cell r="N338">
            <v>0.15967533750283308</v>
          </cell>
          <cell r="O338">
            <v>0.58444400630721471</v>
          </cell>
          <cell r="S338">
            <v>0.44376316236495478</v>
          </cell>
          <cell r="U338">
            <v>0.70417333333333332</v>
          </cell>
          <cell r="W338">
            <v>0.49340105231296777</v>
          </cell>
          <cell r="AF338">
            <v>2.7677496327052076E-3</v>
          </cell>
        </row>
        <row r="339">
          <cell r="A339">
            <v>44659.333437499998</v>
          </cell>
          <cell r="G339">
            <v>4083</v>
          </cell>
          <cell r="M339">
            <v>0.63333086326846311</v>
          </cell>
          <cell r="N339">
            <v>8.3545916927758312E-2</v>
          </cell>
          <cell r="O339">
            <v>0.55954762110272516</v>
          </cell>
          <cell r="S339">
            <v>0.42249053218802651</v>
          </cell>
          <cell r="U339">
            <v>0.69584999999999997</v>
          </cell>
          <cell r="W339">
            <v>0.47841542205078191</v>
          </cell>
          <cell r="AF339">
            <v>3.1191731673074763E-3</v>
          </cell>
        </row>
        <row r="340">
          <cell r="A340">
            <v>44660.333414351851</v>
          </cell>
          <cell r="G340">
            <v>4112</v>
          </cell>
          <cell r="M340">
            <v>0.62585590629542176</v>
          </cell>
          <cell r="N340">
            <v>8.660744471384238E-2</v>
          </cell>
          <cell r="O340">
            <v>0.53110012306246257</v>
          </cell>
          <cell r="S340">
            <v>0.41805656871209645</v>
          </cell>
          <cell r="U340">
            <v>0.68713999999999997</v>
          </cell>
          <cell r="W340">
            <v>0.45179976890838441</v>
          </cell>
          <cell r="AF340">
            <v>3.1730012538828678E-3</v>
          </cell>
        </row>
        <row r="341">
          <cell r="A341">
            <v>44661.333344907405</v>
          </cell>
          <cell r="G341">
            <v>4208</v>
          </cell>
          <cell r="M341">
            <v>0.59224361654431401</v>
          </cell>
          <cell r="N341">
            <v>2.2673001141465501E-2</v>
          </cell>
          <cell r="O341">
            <v>0.52916881493579127</v>
          </cell>
          <cell r="S341">
            <v>0.39044881285811556</v>
          </cell>
          <cell r="U341">
            <v>0.68028999999999995</v>
          </cell>
          <cell r="W341">
            <v>0.48288353841053877</v>
          </cell>
          <cell r="AF341">
            <v>3.0132509766112037E-3</v>
          </cell>
        </row>
        <row r="342">
          <cell r="A342">
            <v>44662.333391203705</v>
          </cell>
          <cell r="G342">
            <v>4233</v>
          </cell>
          <cell r="M342">
            <v>0.60200044831696742</v>
          </cell>
          <cell r="N342">
            <v>0.11195180835652388</v>
          </cell>
          <cell r="O342">
            <v>0.60182442588749752</v>
          </cell>
          <cell r="S342">
            <v>0.40388681618631961</v>
          </cell>
          <cell r="U342">
            <v>0.67451666666666676</v>
          </cell>
          <cell r="W342">
            <v>0.50716081042944716</v>
          </cell>
          <cell r="AF342">
            <v>2.3134855232822549E-3</v>
          </cell>
        </row>
        <row r="343">
          <cell r="A343">
            <v>44663.333634259259</v>
          </cell>
          <cell r="G343">
            <v>4238</v>
          </cell>
          <cell r="M343">
            <v>0.61695167170857856</v>
          </cell>
          <cell r="N343">
            <v>0.11079598860773621</v>
          </cell>
          <cell r="O343">
            <v>0.59515540888373308</v>
          </cell>
          <cell r="S343">
            <v>0.42536641286772758</v>
          </cell>
          <cell r="U343">
            <v>0.66402333333333341</v>
          </cell>
          <cell r="W343">
            <v>0.51686156427212326</v>
          </cell>
          <cell r="AF343">
            <v>1.2729572501850583E-3</v>
          </cell>
        </row>
        <row r="344">
          <cell r="A344">
            <v>44664.333333333336</v>
          </cell>
          <cell r="G344">
            <v>4240</v>
          </cell>
          <cell r="M344">
            <v>0.61329475272139766</v>
          </cell>
          <cell r="N344">
            <v>8.2792941101259121E-2</v>
          </cell>
          <cell r="O344">
            <v>0.59540336548751227</v>
          </cell>
          <cell r="S344">
            <v>0.42406725666620382</v>
          </cell>
          <cell r="U344">
            <v>0.65434000000000003</v>
          </cell>
          <cell r="W344">
            <v>0.5140262624749723</v>
          </cell>
          <cell r="AF344">
            <v>1.6110554866384241E-3</v>
          </cell>
        </row>
        <row r="345">
          <cell r="A345">
            <v>44665.333680555559</v>
          </cell>
          <cell r="G345">
            <v>4248</v>
          </cell>
          <cell r="M345">
            <v>0.60012000498566187</v>
          </cell>
          <cell r="N345">
            <v>5.163163231539189E-2</v>
          </cell>
          <cell r="O345">
            <v>0.60975711900389995</v>
          </cell>
          <cell r="S345">
            <v>0.40831905926348416</v>
          </cell>
          <cell r="U345">
            <v>0.64320999999999995</v>
          </cell>
          <cell r="W345">
            <v>0.49134238351052595</v>
          </cell>
          <cell r="AF345">
            <v>2.0261142654049991E-3</v>
          </cell>
        </row>
        <row r="346">
          <cell r="A346">
            <v>44666.333391203705</v>
          </cell>
          <cell r="G346">
            <v>4263</v>
          </cell>
          <cell r="M346">
            <v>0.58059922748832038</v>
          </cell>
          <cell r="N346">
            <v>4.6054875194744042E-2</v>
          </cell>
          <cell r="O346">
            <v>0.5807721515461175</v>
          </cell>
          <cell r="S346">
            <v>0.37940428541450938</v>
          </cell>
          <cell r="U346">
            <v>0.63351333333333315</v>
          </cell>
          <cell r="W346">
            <v>0.49134238351052595</v>
          </cell>
          <cell r="AF346">
            <v>2.4890257659775372E-3</v>
          </cell>
        </row>
        <row r="347">
          <cell r="A347">
            <v>44667.33357638889</v>
          </cell>
          <cell r="G347">
            <v>4296</v>
          </cell>
          <cell r="M347">
            <v>0.56011250927242195</v>
          </cell>
          <cell r="N347">
            <v>2.6211075455035666E-2</v>
          </cell>
          <cell r="O347">
            <v>0.57928998781568442</v>
          </cell>
          <cell r="S347">
            <v>0.35457949321000437</v>
          </cell>
          <cell r="U347">
            <v>0.62754999999999983</v>
          </cell>
          <cell r="W347">
            <v>0.50214820304456875</v>
          </cell>
          <cell r="AF347">
            <v>8.6369736297586819E-4</v>
          </cell>
        </row>
        <row r="348">
          <cell r="A348">
            <v>44668.333449074074</v>
          </cell>
          <cell r="G348">
            <v>4351</v>
          </cell>
          <cell r="M348">
            <v>0.5509560432605326</v>
          </cell>
          <cell r="N348">
            <v>3.0591986510588837E-2</v>
          </cell>
          <cell r="O348">
            <v>0.56490693019190164</v>
          </cell>
          <cell r="S348">
            <v>0.34600049830340235</v>
          </cell>
          <cell r="U348">
            <v>0.62516333333333329</v>
          </cell>
          <cell r="W348">
            <v>0.52918435194323021</v>
          </cell>
          <cell r="AF348">
            <v>7.684817730488902E-4</v>
          </cell>
        </row>
        <row r="349">
          <cell r="A349">
            <v>44669.333819444444</v>
          </cell>
          <cell r="G349">
            <v>4378</v>
          </cell>
          <cell r="M349">
            <v>0.56338387821957037</v>
          </cell>
          <cell r="N349">
            <v>0.17845412810406233</v>
          </cell>
          <cell r="O349">
            <v>0.56949047677530407</v>
          </cell>
          <cell r="S349">
            <v>0.36346975157103689</v>
          </cell>
          <cell r="U349">
            <v>0.62314666666666674</v>
          </cell>
          <cell r="W349">
            <v>0.54702740128424565</v>
          </cell>
          <cell r="AF349">
            <v>-5.6251243550675678E-4</v>
          </cell>
        </row>
        <row r="350">
          <cell r="A350">
            <v>44670.333379629628</v>
          </cell>
          <cell r="G350">
            <v>4404</v>
          </cell>
          <cell r="M350">
            <v>0.5604988528325866</v>
          </cell>
          <cell r="N350">
            <v>5.4557332661255613E-2</v>
          </cell>
          <cell r="O350">
            <v>0.56032832093168561</v>
          </cell>
          <cell r="S350">
            <v>0.35516704473522404</v>
          </cell>
          <cell r="U350">
            <v>0.61786000000000008</v>
          </cell>
          <cell r="W350">
            <v>0.56330821729866054</v>
          </cell>
          <cell r="AF350">
            <v>7.7468527384683128E-4</v>
          </cell>
        </row>
        <row r="351">
          <cell r="A351">
            <v>44671.333495370367</v>
          </cell>
          <cell r="G351">
            <v>4400</v>
          </cell>
          <cell r="M351">
            <v>0.55591055847700299</v>
          </cell>
          <cell r="N351">
            <v>5.8961771958517449E-2</v>
          </cell>
          <cell r="O351">
            <v>0.56038371898154127</v>
          </cell>
          <cell r="S351">
            <v>0.34099728620857106</v>
          </cell>
          <cell r="U351">
            <v>0.6144333333333335</v>
          </cell>
          <cell r="W351">
            <v>0.57939034557871061</v>
          </cell>
          <cell r="AF351">
            <v>3.0362322865447045E-3</v>
          </cell>
        </row>
        <row r="352">
          <cell r="A352">
            <v>44672.333425925928</v>
          </cell>
          <cell r="G352">
            <v>4404</v>
          </cell>
          <cell r="M352">
            <v>0.54132168474163966</v>
          </cell>
          <cell r="N352">
            <v>2.1242876751081215E-2</v>
          </cell>
          <cell r="O352">
            <v>0.56430648053152099</v>
          </cell>
          <cell r="S352">
            <v>0.32076245549644228</v>
          </cell>
          <cell r="U352">
            <v>0.61276333333333333</v>
          </cell>
          <cell r="W352">
            <v>0.57991282237113784</v>
          </cell>
          <cell r="AF352">
            <v>2.9657463750412116E-3</v>
          </cell>
        </row>
        <row r="353">
          <cell r="A353">
            <v>44673.333414351851</v>
          </cell>
          <cell r="G353">
            <v>4410</v>
          </cell>
          <cell r="M353">
            <v>0.54198890234984587</v>
          </cell>
          <cell r="N353">
            <v>9.2188818678129253E-2</v>
          </cell>
          <cell r="O353">
            <v>0.56061360998855181</v>
          </cell>
          <cell r="S353">
            <v>0.31791414697310294</v>
          </cell>
          <cell r="U353">
            <v>0.60946999999999985</v>
          </cell>
          <cell r="W353">
            <v>0.56467895843653759</v>
          </cell>
          <cell r="AF353">
            <v>2.0547407205062651E-3</v>
          </cell>
        </row>
        <row r="354">
          <cell r="A354">
            <v>44674.333865740744</v>
          </cell>
          <cell r="G354">
            <v>4440</v>
          </cell>
          <cell r="M354">
            <v>0.54320604601074285</v>
          </cell>
          <cell r="N354">
            <v>7.1860330420236956E-2</v>
          </cell>
          <cell r="O354">
            <v>0.55342369101982436</v>
          </cell>
          <cell r="S354">
            <v>0.31189422639551456</v>
          </cell>
          <cell r="U354">
            <v>0.6070333333333332</v>
          </cell>
          <cell r="W354">
            <v>0.55066422858332842</v>
          </cell>
          <cell r="AF354">
            <v>2.0593478132386878E-3</v>
          </cell>
        </row>
        <row r="355">
          <cell r="A355">
            <v>44675.333368055559</v>
          </cell>
          <cell r="G355">
            <v>4496</v>
          </cell>
          <cell r="M355">
            <v>0.53385318694314321</v>
          </cell>
          <cell r="N355">
            <v>2.2997934003770214E-2</v>
          </cell>
          <cell r="O355">
            <v>0.55352127870513712</v>
          </cell>
          <cell r="S355">
            <v>0.29829418411961239</v>
          </cell>
          <cell r="U355">
            <v>0.60541333333333314</v>
          </cell>
          <cell r="W355">
            <v>0.57059336816305573</v>
          </cell>
          <cell r="AF355">
            <v>1.4791767423718571E-3</v>
          </cell>
        </row>
        <row r="356">
          <cell r="A356">
            <v>44676.333333333336</v>
          </cell>
          <cell r="G356">
            <v>4506</v>
          </cell>
          <cell r="M356">
            <v>0.561823474489621</v>
          </cell>
          <cell r="N356">
            <v>9.2746547962648446E-2</v>
          </cell>
          <cell r="O356">
            <v>0.56230140821918917</v>
          </cell>
          <cell r="S356">
            <v>0.30644826673170156</v>
          </cell>
          <cell r="U356">
            <v>0.60462999999999978</v>
          </cell>
          <cell r="W356">
            <v>0.58065716726374239</v>
          </cell>
          <cell r="AF356">
            <v>2.3347645960016816E-3</v>
          </cell>
        </row>
        <row r="357">
          <cell r="A357">
            <v>44677.333807870367</v>
          </cell>
          <cell r="G357">
            <v>4519</v>
          </cell>
          <cell r="M357">
            <v>0.58595644812828795</v>
          </cell>
          <cell r="N357">
            <v>6.6485520522374247E-2</v>
          </cell>
          <cell r="O357">
            <v>0.58293527916349364</v>
          </cell>
          <cell r="S357">
            <v>0.31466424179072605</v>
          </cell>
          <cell r="U357">
            <v>0.60535333333333319</v>
          </cell>
          <cell r="W357">
            <v>0.57586586094502923</v>
          </cell>
          <cell r="AF357">
            <v>2.7485033055090202E-3</v>
          </cell>
        </row>
        <row r="358">
          <cell r="A358">
            <v>44678.333344907405</v>
          </cell>
          <cell r="G358">
            <v>4525</v>
          </cell>
          <cell r="M358">
            <v>0.6011949649092706</v>
          </cell>
          <cell r="N358">
            <v>0.16323913016811634</v>
          </cell>
          <cell r="O358">
            <v>0.59113602395202947</v>
          </cell>
          <cell r="S358">
            <v>0.32951826064580081</v>
          </cell>
          <cell r="U358">
            <v>0.60453333333333326</v>
          </cell>
          <cell r="W358">
            <v>0.56948390102477819</v>
          </cell>
          <cell r="AF358">
            <v>2.624030437282876E-3</v>
          </cell>
        </row>
        <row r="359">
          <cell r="A359">
            <v>44679.333344907405</v>
          </cell>
          <cell r="G359">
            <v>4547</v>
          </cell>
          <cell r="M359">
            <v>0.6054944094373087</v>
          </cell>
          <cell r="N359">
            <v>9.8997124758922736E-2</v>
          </cell>
          <cell r="O359">
            <v>0.58971991357127318</v>
          </cell>
          <cell r="S359">
            <v>0.33041953888423509</v>
          </cell>
          <cell r="U359">
            <v>0.60520000000000007</v>
          </cell>
          <cell r="W359">
            <v>0.56961011025881458</v>
          </cell>
          <cell r="AF359">
            <v>2.6601207063368104E-3</v>
          </cell>
        </row>
        <row r="360">
          <cell r="A360">
            <v>44680.333402777775</v>
          </cell>
          <cell r="G360">
            <v>4567</v>
          </cell>
          <cell r="M360">
            <v>0.62262233904857922</v>
          </cell>
          <cell r="N360">
            <v>0.13030402689436515</v>
          </cell>
          <cell r="O360">
            <v>0.60389752616399595</v>
          </cell>
          <cell r="S360">
            <v>0.34278601701679862</v>
          </cell>
          <cell r="U360">
            <v>0.60453333333333326</v>
          </cell>
          <cell r="W360">
            <v>0.58484955787946025</v>
          </cell>
          <cell r="AF360">
            <v>2.627665679589386E-3</v>
          </cell>
        </row>
        <row r="361">
          <cell r="A361">
            <v>44681.333854166667</v>
          </cell>
          <cell r="G361">
            <v>4576</v>
          </cell>
          <cell r="M361">
            <v>0.63110061638104953</v>
          </cell>
          <cell r="N361">
            <v>8.8235725474580931E-2</v>
          </cell>
          <cell r="O361">
            <v>0.60376811179441781</v>
          </cell>
          <cell r="S361">
            <v>0.35893647835080505</v>
          </cell>
          <cell r="U361">
            <v>0.60276999999999992</v>
          </cell>
          <cell r="W361">
            <v>0.56692986027169512</v>
          </cell>
          <cell r="AF361">
            <v>2.6826330998142023E-3</v>
          </cell>
        </row>
        <row r="362">
          <cell r="A362">
            <v>44682.333796296298</v>
          </cell>
          <cell r="G362">
            <v>4571</v>
          </cell>
          <cell r="M362">
            <v>0.6322974065302599</v>
          </cell>
          <cell r="N362">
            <v>8.2469497316502507E-2</v>
          </cell>
          <cell r="O362">
            <v>0.58850631859668934</v>
          </cell>
          <cell r="S362">
            <v>0.36543599713281094</v>
          </cell>
          <cell r="U362">
            <v>0.60265666666666662</v>
          </cell>
          <cell r="W362">
            <v>0.54961365276685292</v>
          </cell>
          <cell r="AF362">
            <v>2.2235805219052995E-3</v>
          </cell>
        </row>
        <row r="363">
          <cell r="A363">
            <v>44683.333344907405</v>
          </cell>
          <cell r="G363">
            <v>4576</v>
          </cell>
          <cell r="M363">
            <v>0.62647542427991176</v>
          </cell>
          <cell r="N363">
            <v>7.3454297726461587E-2</v>
          </cell>
          <cell r="O363">
            <v>0.59125927170733639</v>
          </cell>
          <cell r="S363">
            <v>0.35796298305426977</v>
          </cell>
          <cell r="U363">
            <v>0.60257333333333341</v>
          </cell>
          <cell r="W363">
            <v>0.52587803376239861</v>
          </cell>
          <cell r="AF363">
            <v>3.3513027581495436E-3</v>
          </cell>
        </row>
        <row r="364">
          <cell r="A364">
            <v>44684.33388888889</v>
          </cell>
          <cell r="G364">
            <v>4580</v>
          </cell>
          <cell r="M364">
            <v>0.63030930080258829</v>
          </cell>
          <cell r="N364">
            <v>8.176901885278233E-2</v>
          </cell>
          <cell r="O364">
            <v>0.5859681354773808</v>
          </cell>
          <cell r="S364">
            <v>0.35645350809742676</v>
          </cell>
          <cell r="U364">
            <v>0.60481666666666667</v>
          </cell>
          <cell r="W364">
            <v>0.51100326464660439</v>
          </cell>
          <cell r="AF364">
            <v>2.6612781264518937E-3</v>
          </cell>
        </row>
        <row r="365">
          <cell r="A365">
            <v>44685.333495370367</v>
          </cell>
          <cell r="G365">
            <v>4598</v>
          </cell>
          <cell r="M365">
            <v>0.64711110462068966</v>
          </cell>
          <cell r="N365">
            <v>5.4621453307960997E-2</v>
          </cell>
          <cell r="O365">
            <v>0.62529171547684859</v>
          </cell>
          <cell r="S365">
            <v>0.35645350809742676</v>
          </cell>
          <cell r="U365">
            <v>0.60401000000000005</v>
          </cell>
          <cell r="W365">
            <v>0.51236758115695435</v>
          </cell>
          <cell r="AF365">
            <v>2.2148553685257255E-3</v>
          </cell>
        </row>
        <row r="366">
          <cell r="A366">
            <v>44686.333402777775</v>
          </cell>
          <cell r="G366">
            <v>4609</v>
          </cell>
          <cell r="M366">
            <v>0.66912779554362778</v>
          </cell>
          <cell r="N366">
            <v>7.511364059410415E-2</v>
          </cell>
          <cell r="O366">
            <v>0.65538717034791283</v>
          </cell>
          <cell r="S366">
            <v>0.36846169891903313</v>
          </cell>
          <cell r="U366">
            <v>0.60368999999999995</v>
          </cell>
          <cell r="W366">
            <v>0.50876640778693938</v>
          </cell>
          <cell r="AF366">
            <v>2.6788896655716155E-3</v>
          </cell>
        </row>
        <row r="367">
          <cell r="A367">
            <v>44687.333425925928</v>
          </cell>
          <cell r="G367">
            <v>4848</v>
          </cell>
          <cell r="M367">
            <v>0.68192913770581209</v>
          </cell>
          <cell r="N367">
            <v>0.16104121440484248</v>
          </cell>
          <cell r="O367">
            <v>0.61313746945789105</v>
          </cell>
          <cell r="S367">
            <v>0.37803582158997451</v>
          </cell>
          <cell r="U367">
            <v>0.59910000000000008</v>
          </cell>
          <cell r="W367">
            <v>0.47538118776586019</v>
          </cell>
          <cell r="AF367">
            <v>1.9876534949752056E-3</v>
          </cell>
        </row>
      </sheetData>
      <sheetData sheetId="2"/>
      <sheetData sheetId="3">
        <row r="1">
          <cell r="A1" t="str">
            <v>Datetime</v>
          </cell>
          <cell r="T1" t="str">
            <v>ImpLoss</v>
          </cell>
        </row>
        <row r="2">
          <cell r="A2">
            <v>44587.333379629628</v>
          </cell>
          <cell r="T2">
            <v>3.489083083887401E-4</v>
          </cell>
        </row>
        <row r="3">
          <cell r="A3">
            <v>44588.333333333336</v>
          </cell>
          <cell r="T3">
            <v>7.1592791899743879E-4</v>
          </cell>
        </row>
        <row r="4">
          <cell r="A4">
            <v>44589.333344907405</v>
          </cell>
          <cell r="T4">
            <v>1.0602543586897273E-3</v>
          </cell>
        </row>
        <row r="5">
          <cell r="A5">
            <v>44590.333356481482</v>
          </cell>
          <cell r="T5">
            <v>1.4558384782550338E-3</v>
          </cell>
        </row>
        <row r="6">
          <cell r="A6">
            <v>44591.333379629628</v>
          </cell>
          <cell r="T6">
            <v>1.4433552752339818E-3</v>
          </cell>
        </row>
        <row r="7">
          <cell r="A7">
            <v>44592.333611111113</v>
          </cell>
          <cell r="T7">
            <v>1.7879409257439693E-3</v>
          </cell>
        </row>
        <row r="8">
          <cell r="A8">
            <v>44593.333356481482</v>
          </cell>
          <cell r="T8">
            <v>8.4851609202063472E-4</v>
          </cell>
        </row>
        <row r="9">
          <cell r="A9">
            <v>44594.333553240744</v>
          </cell>
          <cell r="T9">
            <v>8.436405961276261E-4</v>
          </cell>
        </row>
        <row r="10">
          <cell r="A10">
            <v>44595.333460648151</v>
          </cell>
          <cell r="T10">
            <v>2.1226704149297504E-3</v>
          </cell>
        </row>
        <row r="11">
          <cell r="A11">
            <v>44596.333402777775</v>
          </cell>
          <cell r="T11">
            <v>6.234577960055887E-4</v>
          </cell>
        </row>
        <row r="12">
          <cell r="A12">
            <v>44597.333344907405</v>
          </cell>
          <cell r="T12">
            <v>-1.5332022839750215E-3</v>
          </cell>
        </row>
        <row r="13">
          <cell r="A13">
            <v>44598.333425925928</v>
          </cell>
          <cell r="T13">
            <v>-1.2957981957784082E-3</v>
          </cell>
        </row>
        <row r="14">
          <cell r="A14">
            <v>44599.333402777775</v>
          </cell>
          <cell r="T14">
            <v>-1.9545531890319268E-3</v>
          </cell>
        </row>
        <row r="15">
          <cell r="A15">
            <v>44600.333564814813</v>
          </cell>
          <cell r="T15">
            <v>-2.0961029157974265E-3</v>
          </cell>
        </row>
        <row r="16">
          <cell r="A16">
            <v>44601.333391203705</v>
          </cell>
          <cell r="T16">
            <v>-3.2314566689805035E-3</v>
          </cell>
        </row>
        <row r="17">
          <cell r="A17">
            <v>44602.333495370367</v>
          </cell>
          <cell r="T17">
            <v>-4.8551654334407779E-3</v>
          </cell>
        </row>
        <row r="18">
          <cell r="A18">
            <v>44603.333460648151</v>
          </cell>
          <cell r="T18">
            <v>-1.8412215865450943E-3</v>
          </cell>
        </row>
        <row r="19">
          <cell r="A19">
            <v>44604.333483796298</v>
          </cell>
          <cell r="T19">
            <v>1.1249047792638578E-3</v>
          </cell>
        </row>
        <row r="20">
          <cell r="A20">
            <v>44605.333356481482</v>
          </cell>
          <cell r="T20">
            <v>1.1338681906032377E-3</v>
          </cell>
        </row>
        <row r="21">
          <cell r="A21">
            <v>44606.333472222221</v>
          </cell>
          <cell r="T21">
            <v>1.4596192230156291E-3</v>
          </cell>
        </row>
        <row r="22">
          <cell r="A22">
            <v>44607.333472222221</v>
          </cell>
          <cell r="T22">
            <v>-1.0181415631590474E-3</v>
          </cell>
        </row>
        <row r="23">
          <cell r="A23">
            <v>44608.333599537036</v>
          </cell>
          <cell r="T23">
            <v>-1.5651960916273078E-3</v>
          </cell>
        </row>
        <row r="24">
          <cell r="A24">
            <v>44609.333368055559</v>
          </cell>
          <cell r="T24">
            <v>-3.7125025431494763E-4</v>
          </cell>
        </row>
        <row r="25">
          <cell r="A25">
            <v>44610.333553240744</v>
          </cell>
          <cell r="T25">
            <v>2.32838079838249E-3</v>
          </cell>
        </row>
        <row r="26">
          <cell r="A26">
            <v>44611.333460648151</v>
          </cell>
          <cell r="T26">
            <v>4.2035053597264671E-3</v>
          </cell>
        </row>
        <row r="27">
          <cell r="A27">
            <v>44612.333495370367</v>
          </cell>
          <cell r="T27">
            <v>4.8412421265842109E-3</v>
          </cell>
        </row>
        <row r="28">
          <cell r="A28">
            <v>44613.333379629628</v>
          </cell>
          <cell r="T28">
            <v>5.2575015549063409E-3</v>
          </cell>
        </row>
        <row r="29">
          <cell r="A29">
            <v>44614.333391203705</v>
          </cell>
          <cell r="T29">
            <v>5.6972829205341746E-3</v>
          </cell>
        </row>
        <row r="30">
          <cell r="A30">
            <v>44615.333518518521</v>
          </cell>
          <cell r="T30">
            <v>5.2195890840966985E-3</v>
          </cell>
        </row>
        <row r="31">
          <cell r="A31">
            <v>44616.333333333336</v>
          </cell>
          <cell r="T31">
            <v>6.0181913712697988E-3</v>
          </cell>
        </row>
        <row r="32">
          <cell r="A32">
            <v>44617.333368055559</v>
          </cell>
          <cell r="T32">
            <v>6.4381047035451111E-3</v>
          </cell>
        </row>
        <row r="33">
          <cell r="A33">
            <v>44618.333449074074</v>
          </cell>
          <cell r="T33">
            <v>6.2756378087156506E-3</v>
          </cell>
        </row>
        <row r="34">
          <cell r="A34">
            <v>44619.333449074074</v>
          </cell>
          <cell r="T34">
            <v>5.9750409554073514E-3</v>
          </cell>
        </row>
        <row r="35">
          <cell r="A35">
            <v>44620.333402777775</v>
          </cell>
          <cell r="T35">
            <v>7.5041743025205943E-3</v>
          </cell>
        </row>
        <row r="36">
          <cell r="A36">
            <v>44621.333854166667</v>
          </cell>
          <cell r="T36">
            <v>5.2153059059905083E-3</v>
          </cell>
        </row>
        <row r="37">
          <cell r="A37">
            <v>44622.333483796298</v>
          </cell>
          <cell r="T37">
            <v>4.8671727663727182E-3</v>
          </cell>
        </row>
        <row r="38">
          <cell r="A38">
            <v>44623.333495370367</v>
          </cell>
          <cell r="T38">
            <v>5.8562174636413999E-3</v>
          </cell>
        </row>
        <row r="39">
          <cell r="A39">
            <v>44624.333356481482</v>
          </cell>
          <cell r="T39">
            <v>7.791559839863238E-3</v>
          </cell>
        </row>
        <row r="40">
          <cell r="A40">
            <v>44625.333437499998</v>
          </cell>
          <cell r="T40">
            <v>8.5230432323852856E-3</v>
          </cell>
        </row>
        <row r="41">
          <cell r="A41">
            <v>44626.333425925928</v>
          </cell>
          <cell r="T41">
            <v>8.7742992142412213E-3</v>
          </cell>
        </row>
        <row r="42">
          <cell r="A42">
            <v>44627.333333333336</v>
          </cell>
          <cell r="T42">
            <v>9.2451222719118764E-3</v>
          </cell>
        </row>
        <row r="43">
          <cell r="A43">
            <v>44628.333368055559</v>
          </cell>
          <cell r="T43">
            <v>9.5469156791783139E-3</v>
          </cell>
        </row>
        <row r="44">
          <cell r="A44">
            <v>44629.333333333336</v>
          </cell>
          <cell r="T44">
            <v>8.9761192624966402E-3</v>
          </cell>
        </row>
        <row r="45">
          <cell r="A45">
            <v>44630.33357638889</v>
          </cell>
          <cell r="T45">
            <v>9.9342855300188493E-3</v>
          </cell>
        </row>
        <row r="46">
          <cell r="A46">
            <v>44631.333414351851</v>
          </cell>
          <cell r="T46">
            <v>9.9872071137090401E-3</v>
          </cell>
        </row>
        <row r="47">
          <cell r="A47">
            <v>44632.334016203706</v>
          </cell>
          <cell r="T47">
            <v>1.0345077504140043E-2</v>
          </cell>
        </row>
        <row r="48">
          <cell r="A48">
            <v>44633.333425925928</v>
          </cell>
          <cell r="T48">
            <v>1.0391131097651218E-2</v>
          </cell>
        </row>
        <row r="49">
          <cell r="A49">
            <v>44634.333749999998</v>
          </cell>
          <cell r="T49">
            <v>1.0498122545850697E-2</v>
          </cell>
        </row>
        <row r="50">
          <cell r="A50">
            <v>44635.333379629628</v>
          </cell>
          <cell r="T50">
            <v>1.0671517298650901E-2</v>
          </cell>
        </row>
        <row r="51">
          <cell r="A51">
            <v>44636.333379629628</v>
          </cell>
          <cell r="T51">
            <v>1.0432042582431356E-2</v>
          </cell>
        </row>
        <row r="52">
          <cell r="A52">
            <v>44637.333587962959</v>
          </cell>
          <cell r="T52">
            <v>1.0001091104935966E-2</v>
          </cell>
        </row>
        <row r="53">
          <cell r="A53">
            <v>44638.33384259259</v>
          </cell>
          <cell r="T53">
            <v>9.8100847542377245E-3</v>
          </cell>
        </row>
        <row r="54">
          <cell r="A54">
            <v>44639.333356481482</v>
          </cell>
          <cell r="T54">
            <v>8.3385470392376426E-3</v>
          </cell>
        </row>
        <row r="55">
          <cell r="A55">
            <v>44640.333379629628</v>
          </cell>
          <cell r="T55">
            <v>8.953008774444049E-3</v>
          </cell>
        </row>
        <row r="56">
          <cell r="A56">
            <v>44641.333333333336</v>
          </cell>
          <cell r="T56">
            <v>8.988823903539167E-3</v>
          </cell>
        </row>
        <row r="57">
          <cell r="A57">
            <v>44642.333344907405</v>
          </cell>
          <cell r="T57">
            <v>7.755549159736308E-3</v>
          </cell>
        </row>
        <row r="58">
          <cell r="A58">
            <v>44643.333379629628</v>
          </cell>
          <cell r="T58">
            <v>9.4070541684514453E-3</v>
          </cell>
        </row>
        <row r="59">
          <cell r="A59">
            <v>44644.333402777775</v>
          </cell>
          <cell r="T59">
            <v>8.2244352893907635E-3</v>
          </cell>
        </row>
        <row r="60">
          <cell r="A60">
            <v>44645.333344907405</v>
          </cell>
          <cell r="T60">
            <v>6.3436802334542186E-3</v>
          </cell>
        </row>
        <row r="61">
          <cell r="A61">
            <v>44646.333460648151</v>
          </cell>
          <cell r="T61">
            <v>7.1380991230343138E-3</v>
          </cell>
        </row>
        <row r="62">
          <cell r="A62">
            <v>44647.333368055559</v>
          </cell>
          <cell r="T62">
            <v>6.5749813356015263E-3</v>
          </cell>
        </row>
        <row r="63">
          <cell r="A63">
            <v>44648.333854166667</v>
          </cell>
          <cell r="T63">
            <v>2.8170227248525137E-3</v>
          </cell>
        </row>
        <row r="64">
          <cell r="A64">
            <v>44649.333425925928</v>
          </cell>
          <cell r="T64">
            <v>5.8739336832358546E-4</v>
          </cell>
        </row>
        <row r="65">
          <cell r="A65">
            <v>44650.333506944444</v>
          </cell>
          <cell r="T65">
            <v>2.0446164308278725E-3</v>
          </cell>
        </row>
        <row r="66">
          <cell r="A66">
            <v>44651.333379629628</v>
          </cell>
          <cell r="T66">
            <v>1.7658207503359336E-3</v>
          </cell>
        </row>
        <row r="67">
          <cell r="A67">
            <v>44652.333541666667</v>
          </cell>
          <cell r="T67">
            <v>4.6780262608079326E-3</v>
          </cell>
        </row>
        <row r="68">
          <cell r="A68">
            <v>44653.333506944444</v>
          </cell>
          <cell r="T68">
            <v>5.1238849207724257E-4</v>
          </cell>
        </row>
        <row r="69">
          <cell r="A69">
            <v>44654.333356481482</v>
          </cell>
          <cell r="T69">
            <v>5.4597420881119518E-4</v>
          </cell>
        </row>
        <row r="70">
          <cell r="A70">
            <v>44655.333368055559</v>
          </cell>
          <cell r="T70">
            <v>9.0113907473576838E-4</v>
          </cell>
        </row>
        <row r="71">
          <cell r="A71">
            <v>44656.333368055559</v>
          </cell>
          <cell r="T71">
            <v>-4.0733767236433849E-4</v>
          </cell>
        </row>
        <row r="72">
          <cell r="A72">
            <v>44657.333333333336</v>
          </cell>
          <cell r="T72">
            <v>5.186651120193897E-3</v>
          </cell>
        </row>
        <row r="73">
          <cell r="A73">
            <v>44658.333506944444</v>
          </cell>
          <cell r="T73">
            <v>7.0312646089014663E-3</v>
          </cell>
        </row>
        <row r="74">
          <cell r="A74">
            <v>44659.333437499998</v>
          </cell>
          <cell r="T74">
            <v>6.2072423156829259E-3</v>
          </cell>
        </row>
        <row r="75">
          <cell r="A75">
            <v>44660.333414351851</v>
          </cell>
          <cell r="T75">
            <v>7.5004014752086956E-3</v>
          </cell>
        </row>
        <row r="76">
          <cell r="A76">
            <v>44661.333344907405</v>
          </cell>
          <cell r="T76">
            <v>6.7336483234341493E-3</v>
          </cell>
        </row>
        <row r="77">
          <cell r="A77">
            <v>44662.333391203705</v>
          </cell>
          <cell r="T77">
            <v>1.0496810212606178E-2</v>
          </cell>
        </row>
        <row r="78">
          <cell r="A78">
            <v>44663.333634259259</v>
          </cell>
          <cell r="T78">
            <v>1.1009632379320955E-2</v>
          </cell>
        </row>
        <row r="79">
          <cell r="A79">
            <v>44664.333333333336</v>
          </cell>
          <cell r="T79">
            <v>1.1132742005660168E-2</v>
          </cell>
        </row>
        <row r="80">
          <cell r="A80">
            <v>44665.333680555559</v>
          </cell>
          <cell r="T80">
            <v>1.0396049849283884E-2</v>
          </cell>
        </row>
        <row r="81">
          <cell r="A81">
            <v>44666.333391203705</v>
          </cell>
          <cell r="T81">
            <v>1.1384556867750195E-2</v>
          </cell>
        </row>
        <row r="82">
          <cell r="A82">
            <v>44667.33357638889</v>
          </cell>
          <cell r="T82">
            <v>1.1529276720948722E-2</v>
          </cell>
        </row>
        <row r="83">
          <cell r="A83">
            <v>44668.333449074074</v>
          </cell>
          <cell r="T83">
            <v>1.1447880637363017E-2</v>
          </cell>
        </row>
        <row r="84">
          <cell r="A84">
            <v>44669.333819444444</v>
          </cell>
          <cell r="T84">
            <v>1.3449342434605827E-2</v>
          </cell>
        </row>
        <row r="85">
          <cell r="A85">
            <v>44670.333379629628</v>
          </cell>
          <cell r="T85">
            <v>1.1561489003971692E-2</v>
          </cell>
        </row>
        <row r="86">
          <cell r="A86">
            <v>44671.333495370367</v>
          </cell>
          <cell r="T86">
            <v>1.022508210876838E-2</v>
          </cell>
        </row>
        <row r="87">
          <cell r="A87">
            <v>44672.333425925928</v>
          </cell>
          <cell r="T87">
            <v>1.0330891830143685E-2</v>
          </cell>
        </row>
        <row r="88">
          <cell r="A88">
            <v>44673.333414351851</v>
          </cell>
          <cell r="T88">
            <v>1.2642853970440848E-2</v>
          </cell>
        </row>
        <row r="89">
          <cell r="A89">
            <v>44674.333865740744</v>
          </cell>
          <cell r="T89">
            <v>1.3867969261366797E-2</v>
          </cell>
        </row>
        <row r="90">
          <cell r="A90">
            <v>44675.333368055559</v>
          </cell>
          <cell r="T90">
            <v>1.3887193448335555E-2</v>
          </cell>
        </row>
        <row r="91">
          <cell r="A91">
            <v>44676.333333333336</v>
          </cell>
          <cell r="T91">
            <v>1.5353316395638084E-2</v>
          </cell>
        </row>
        <row r="92">
          <cell r="A92">
            <v>44677.333807870367</v>
          </cell>
          <cell r="T92">
            <v>1.3467698515953641E-2</v>
          </cell>
        </row>
        <row r="93">
          <cell r="A93">
            <v>44678.333344907405</v>
          </cell>
          <cell r="T93">
            <v>1.5345390217525345E-2</v>
          </cell>
        </row>
        <row r="94">
          <cell r="A94">
            <v>44679.333344907405</v>
          </cell>
          <cell r="T94">
            <v>1.4797882036818866E-2</v>
          </cell>
        </row>
        <row r="95">
          <cell r="A95">
            <v>44680.333402777775</v>
          </cell>
          <cell r="T95">
            <v>1.602095106079604E-2</v>
          </cell>
        </row>
        <row r="96">
          <cell r="A96">
            <v>44681.333854166667</v>
          </cell>
          <cell r="T96">
            <v>1.620350076028032E-2</v>
          </cell>
        </row>
        <row r="97">
          <cell r="A97">
            <v>44682.333796296298</v>
          </cell>
          <cell r="T97">
            <v>1.7087767466815063E-2</v>
          </cell>
        </row>
        <row r="98">
          <cell r="A98">
            <v>44683.333344907405</v>
          </cell>
          <cell r="T98">
            <v>1.684951498597842E-2</v>
          </cell>
        </row>
        <row r="99">
          <cell r="A99">
            <v>44684.33388888889</v>
          </cell>
          <cell r="T99">
            <v>1.662401383972556E-2</v>
          </cell>
        </row>
        <row r="100">
          <cell r="A100">
            <v>44685.333495370367</v>
          </cell>
          <cell r="T100">
            <v>1.6401569066224475E-2</v>
          </cell>
        </row>
        <row r="101">
          <cell r="A101">
            <v>44686.333402777775</v>
          </cell>
          <cell r="T101">
            <v>1.5802285645918568E-2</v>
          </cell>
        </row>
        <row r="102">
          <cell r="A102">
            <v>44687.333425925928</v>
          </cell>
          <cell r="T102">
            <v>1.8481676712506667E-2</v>
          </cell>
        </row>
        <row r="103">
          <cell r="A103">
            <v>44688.333356481482</v>
          </cell>
          <cell r="T103">
            <v>1.8599128403224974E-2</v>
          </cell>
        </row>
        <row r="104">
          <cell r="A104">
            <v>44689.333425925928</v>
          </cell>
          <cell r="T104">
            <v>1.9561867502562613E-2</v>
          </cell>
        </row>
        <row r="105">
          <cell r="A105">
            <v>44690.333344907405</v>
          </cell>
          <cell r="T105">
            <v>1.9733583601832638E-2</v>
          </cell>
        </row>
        <row r="106">
          <cell r="A106">
            <v>44691.333379629628</v>
          </cell>
          <cell r="T106">
            <v>4.4698707524849279E-2</v>
          </cell>
        </row>
        <row r="107">
          <cell r="A107">
            <v>44692.333391203705</v>
          </cell>
          <cell r="T107">
            <v>0.13629306663305663</v>
          </cell>
        </row>
      </sheetData>
      <sheetData sheetId="4"/>
      <sheetData sheetId="5">
        <row r="1">
          <cell r="G1" t="str">
            <v>posCount</v>
          </cell>
          <cell r="T1" t="str">
            <v>impLoss</v>
          </cell>
        </row>
        <row r="2">
          <cell r="A2">
            <v>44587.333379629628</v>
          </cell>
          <cell r="G2">
            <v>38</v>
          </cell>
          <cell r="T2">
            <v>2.2007651024713581E-4</v>
          </cell>
        </row>
        <row r="3">
          <cell r="A3">
            <v>44588.333333333336</v>
          </cell>
          <cell r="G3">
            <v>39</v>
          </cell>
          <cell r="T3">
            <v>3.2186633886244209E-4</v>
          </cell>
        </row>
        <row r="4">
          <cell r="A4">
            <v>44589.333344907405</v>
          </cell>
          <cell r="G4">
            <v>37</v>
          </cell>
          <cell r="T4">
            <v>-4.4283905661731682E-3</v>
          </cell>
        </row>
        <row r="5">
          <cell r="A5">
            <v>44590.333356481482</v>
          </cell>
          <cell r="G5">
            <v>37</v>
          </cell>
          <cell r="T5">
            <v>-4.0936105385858124E-3</v>
          </cell>
        </row>
        <row r="6">
          <cell r="A6">
            <v>44591.333379629628</v>
          </cell>
          <cell r="G6">
            <v>35</v>
          </cell>
          <cell r="T6">
            <v>-8.0516415704692257E-3</v>
          </cell>
        </row>
        <row r="7">
          <cell r="A7">
            <v>44592.333611111113</v>
          </cell>
          <cell r="G7">
            <v>31</v>
          </cell>
          <cell r="T7">
            <v>-1.1307421587497091E-2</v>
          </cell>
        </row>
        <row r="8">
          <cell r="A8">
            <v>44593.333356481482</v>
          </cell>
          <cell r="G8">
            <v>34</v>
          </cell>
          <cell r="T8">
            <v>-8.1291218371939422E-3</v>
          </cell>
        </row>
        <row r="9">
          <cell r="A9">
            <v>44594.333553240744</v>
          </cell>
          <cell r="G9">
            <v>33</v>
          </cell>
          <cell r="T9">
            <v>-6.9327671776507893E-3</v>
          </cell>
        </row>
        <row r="10">
          <cell r="A10">
            <v>44595.333460648151</v>
          </cell>
          <cell r="G10">
            <v>33</v>
          </cell>
          <cell r="T10">
            <v>-1.0049259495123475E-2</v>
          </cell>
        </row>
        <row r="11">
          <cell r="A11">
            <v>44596.333402777775</v>
          </cell>
          <cell r="G11">
            <v>33</v>
          </cell>
          <cell r="T11">
            <v>-1.0584974594983865E-2</v>
          </cell>
        </row>
        <row r="12">
          <cell r="A12">
            <v>44597.333344907405</v>
          </cell>
          <cell r="G12">
            <v>35</v>
          </cell>
          <cell r="T12">
            <v>-7.1967265463789287E-3</v>
          </cell>
        </row>
        <row r="13">
          <cell r="A13">
            <v>44598.333425925928</v>
          </cell>
          <cell r="G13">
            <v>35</v>
          </cell>
          <cell r="T13">
            <v>-9.0584727798721509E-3</v>
          </cell>
        </row>
        <row r="14">
          <cell r="A14">
            <v>44599.333402777775</v>
          </cell>
          <cell r="G14">
            <v>35</v>
          </cell>
          <cell r="T14">
            <v>-7.5212745578711049E-3</v>
          </cell>
        </row>
        <row r="15">
          <cell r="A15">
            <v>44600.333564814813</v>
          </cell>
          <cell r="G15">
            <v>34</v>
          </cell>
          <cell r="T15">
            <v>-8.5700757667499516E-3</v>
          </cell>
        </row>
        <row r="16">
          <cell r="A16">
            <v>44601.333391203705</v>
          </cell>
          <cell r="G16">
            <v>34</v>
          </cell>
          <cell r="T16">
            <v>-1.1397629124075936E-2</v>
          </cell>
        </row>
        <row r="17">
          <cell r="A17">
            <v>44602.333495370367</v>
          </cell>
          <cell r="G17">
            <v>34</v>
          </cell>
          <cell r="T17">
            <v>-1.2675987671744493E-2</v>
          </cell>
        </row>
        <row r="18">
          <cell r="A18">
            <v>44603.333460648151</v>
          </cell>
          <cell r="G18">
            <v>34</v>
          </cell>
          <cell r="T18">
            <v>-1.326528695046969E-2</v>
          </cell>
        </row>
        <row r="19">
          <cell r="A19">
            <v>44604.333483796298</v>
          </cell>
          <cell r="G19">
            <v>36</v>
          </cell>
          <cell r="T19">
            <v>-1.0992607786628583E-2</v>
          </cell>
        </row>
        <row r="20">
          <cell r="A20">
            <v>44605.333356481482</v>
          </cell>
          <cell r="G20">
            <v>38</v>
          </cell>
          <cell r="T20">
            <v>-8.7873341680088091E-3</v>
          </cell>
        </row>
        <row r="21">
          <cell r="A21">
            <v>44606.333472222221</v>
          </cell>
          <cell r="G21">
            <v>38</v>
          </cell>
          <cell r="T21">
            <v>-9.3609177928769549E-3</v>
          </cell>
        </row>
        <row r="22">
          <cell r="A22">
            <v>44607.333472222221</v>
          </cell>
          <cell r="G22">
            <v>37</v>
          </cell>
          <cell r="T22">
            <v>-8.9826141948718963E-3</v>
          </cell>
        </row>
        <row r="23">
          <cell r="A23">
            <v>44608.333599537036</v>
          </cell>
          <cell r="G23">
            <v>37</v>
          </cell>
          <cell r="T23">
            <v>-8.1678281756398796E-3</v>
          </cell>
        </row>
        <row r="24">
          <cell r="A24">
            <v>44609.333368055559</v>
          </cell>
          <cell r="G24">
            <v>37</v>
          </cell>
          <cell r="T24">
            <v>-8.4607433456501679E-3</v>
          </cell>
        </row>
        <row r="25">
          <cell r="A25">
            <v>44610.333553240744</v>
          </cell>
          <cell r="G25">
            <v>38</v>
          </cell>
          <cell r="T25">
            <v>-1.1020848543915163E-2</v>
          </cell>
        </row>
        <row r="26">
          <cell r="A26">
            <v>44611.333460648151</v>
          </cell>
          <cell r="G26">
            <v>37</v>
          </cell>
          <cell r="T26">
            <v>-6.6206007565788871E-3</v>
          </cell>
        </row>
        <row r="27">
          <cell r="A27">
            <v>44612.333495370367</v>
          </cell>
          <cell r="G27">
            <v>37</v>
          </cell>
          <cell r="T27">
            <v>-6.667784118701503E-3</v>
          </cell>
        </row>
        <row r="28">
          <cell r="A28">
            <v>44613.333379629628</v>
          </cell>
          <cell r="G28">
            <v>37</v>
          </cell>
          <cell r="T28">
            <v>-4.9609044576872652E-3</v>
          </cell>
        </row>
        <row r="29">
          <cell r="A29">
            <v>44614.333391203705</v>
          </cell>
          <cell r="G29">
            <v>36</v>
          </cell>
          <cell r="T29">
            <v>-7.3850183131862757E-4</v>
          </cell>
        </row>
        <row r="30">
          <cell r="A30">
            <v>44615.333518518521</v>
          </cell>
          <cell r="G30">
            <v>37</v>
          </cell>
          <cell r="T30">
            <v>3.8333905445058214E-3</v>
          </cell>
        </row>
        <row r="31">
          <cell r="A31">
            <v>44616.333333333336</v>
          </cell>
          <cell r="G31">
            <v>36</v>
          </cell>
          <cell r="T31">
            <v>5.3922010962152989E-3</v>
          </cell>
        </row>
        <row r="32">
          <cell r="A32">
            <v>44617.333368055559</v>
          </cell>
          <cell r="G32">
            <v>35</v>
          </cell>
          <cell r="T32">
            <v>8.2870223506799068E-3</v>
          </cell>
        </row>
        <row r="33">
          <cell r="A33">
            <v>44618.333449074074</v>
          </cell>
          <cell r="G33">
            <v>34</v>
          </cell>
          <cell r="T33">
            <v>8.7095967517634154E-3</v>
          </cell>
        </row>
        <row r="34">
          <cell r="A34">
            <v>44619.333449074074</v>
          </cell>
          <cell r="G34">
            <v>34</v>
          </cell>
          <cell r="T34">
            <v>9.1867867010408943E-3</v>
          </cell>
        </row>
        <row r="35">
          <cell r="A35">
            <v>44620.333402777775</v>
          </cell>
          <cell r="G35">
            <v>34</v>
          </cell>
          <cell r="T35">
            <v>9.2112488291400396E-3</v>
          </cell>
        </row>
        <row r="36">
          <cell r="A36">
            <v>44621.333854166667</v>
          </cell>
          <cell r="G36">
            <v>39</v>
          </cell>
          <cell r="T36">
            <v>6.5326946251338391E-3</v>
          </cell>
        </row>
        <row r="37">
          <cell r="A37">
            <v>44622.333483796298</v>
          </cell>
          <cell r="G37">
            <v>40</v>
          </cell>
          <cell r="T37">
            <v>8.5149684524949976E-3</v>
          </cell>
        </row>
        <row r="38">
          <cell r="A38">
            <v>44623.333495370367</v>
          </cell>
          <cell r="G38">
            <v>40</v>
          </cell>
          <cell r="T38">
            <v>7.4760024898468114E-3</v>
          </cell>
        </row>
        <row r="39">
          <cell r="A39">
            <v>44624.333356481482</v>
          </cell>
          <cell r="G39">
            <v>41</v>
          </cell>
          <cell r="T39">
            <v>5.8685190497436146E-3</v>
          </cell>
        </row>
        <row r="40">
          <cell r="A40">
            <v>44625.333437499998</v>
          </cell>
          <cell r="G40">
            <v>42</v>
          </cell>
          <cell r="T40">
            <v>8.6182726766095286E-3</v>
          </cell>
        </row>
        <row r="41">
          <cell r="A41">
            <v>44626.333425925928</v>
          </cell>
          <cell r="G41">
            <v>46</v>
          </cell>
          <cell r="T41">
            <v>9.7621508346030783E-3</v>
          </cell>
        </row>
        <row r="42">
          <cell r="A42">
            <v>44627.333333333336</v>
          </cell>
          <cell r="G42">
            <v>47</v>
          </cell>
          <cell r="T42">
            <v>9.2824165731855146E-3</v>
          </cell>
        </row>
        <row r="43">
          <cell r="A43">
            <v>44628.333368055559</v>
          </cell>
          <cell r="G43">
            <v>52</v>
          </cell>
          <cell r="T43">
            <v>1.0917663812558098E-2</v>
          </cell>
        </row>
        <row r="44">
          <cell r="A44">
            <v>44629.333333333336</v>
          </cell>
          <cell r="G44">
            <v>60</v>
          </cell>
          <cell r="T44">
            <v>2.479481335314393E-3</v>
          </cell>
        </row>
        <row r="45">
          <cell r="A45">
            <v>44630.33357638889</v>
          </cell>
          <cell r="G45">
            <v>59</v>
          </cell>
          <cell r="T45">
            <v>1.6608556209607439E-3</v>
          </cell>
        </row>
        <row r="46">
          <cell r="A46">
            <v>44631.333414351851</v>
          </cell>
          <cell r="G46">
            <v>64</v>
          </cell>
          <cell r="T46">
            <v>6.1902449957118577E-4</v>
          </cell>
        </row>
        <row r="47">
          <cell r="A47">
            <v>44632.334016203706</v>
          </cell>
          <cell r="G47">
            <v>65</v>
          </cell>
          <cell r="T47">
            <v>7.8743147867825769E-3</v>
          </cell>
        </row>
        <row r="48">
          <cell r="A48">
            <v>44633.333425925928</v>
          </cell>
          <cell r="G48">
            <v>67</v>
          </cell>
          <cell r="T48">
            <v>1.000459162260392E-2</v>
          </cell>
        </row>
        <row r="49">
          <cell r="A49">
            <v>44634.333749999998</v>
          </cell>
          <cell r="G49">
            <v>70</v>
          </cell>
          <cell r="T49">
            <v>4.628633762860046E-3</v>
          </cell>
        </row>
        <row r="50">
          <cell r="A50">
            <v>44635.333379629628</v>
          </cell>
          <cell r="G50">
            <v>72</v>
          </cell>
          <cell r="T50">
            <v>4.997718363575876E-3</v>
          </cell>
        </row>
        <row r="51">
          <cell r="A51">
            <v>44636.333379629628</v>
          </cell>
          <cell r="G51">
            <v>71</v>
          </cell>
          <cell r="T51">
            <v>1.1803775670891969E-2</v>
          </cell>
        </row>
        <row r="52">
          <cell r="A52">
            <v>44637.333587962959</v>
          </cell>
          <cell r="G52">
            <v>69</v>
          </cell>
          <cell r="T52">
            <v>1.4792957243122018E-2</v>
          </cell>
        </row>
        <row r="53">
          <cell r="A53">
            <v>44638.33384259259</v>
          </cell>
          <cell r="G53">
            <v>68</v>
          </cell>
          <cell r="T53">
            <v>1.896107955149029E-2</v>
          </cell>
        </row>
        <row r="54">
          <cell r="A54">
            <v>44639.333356481482</v>
          </cell>
          <cell r="G54">
            <v>69</v>
          </cell>
          <cell r="T54">
            <v>1.8169201772958221E-2</v>
          </cell>
        </row>
        <row r="55">
          <cell r="A55">
            <v>44640.333379629628</v>
          </cell>
          <cell r="G55">
            <v>68</v>
          </cell>
          <cell r="T55">
            <v>1.5660401717321637E-2</v>
          </cell>
        </row>
        <row r="56">
          <cell r="A56">
            <v>44641.333333333336</v>
          </cell>
          <cell r="G56">
            <v>70</v>
          </cell>
          <cell r="T56">
            <v>1.4141850598449413E-2</v>
          </cell>
        </row>
        <row r="57">
          <cell r="A57">
            <v>44642.333344907405</v>
          </cell>
          <cell r="G57">
            <v>70</v>
          </cell>
          <cell r="T57">
            <v>1.7653395074139988E-2</v>
          </cell>
        </row>
        <row r="58">
          <cell r="A58">
            <v>44643.333379629628</v>
          </cell>
          <cell r="G58">
            <v>72</v>
          </cell>
          <cell r="T58">
            <v>1.7576557911067825E-2</v>
          </cell>
        </row>
        <row r="59">
          <cell r="A59">
            <v>44644.333402777775</v>
          </cell>
          <cell r="G59">
            <v>72</v>
          </cell>
          <cell r="T59">
            <v>1.850620549471782E-2</v>
          </cell>
        </row>
        <row r="60">
          <cell r="A60">
            <v>44645.333344907405</v>
          </cell>
          <cell r="G60">
            <v>72</v>
          </cell>
          <cell r="T60">
            <v>2.0926569464147837E-2</v>
          </cell>
        </row>
        <row r="61">
          <cell r="A61">
            <v>44646.333460648151</v>
          </cell>
          <cell r="G61">
            <v>70</v>
          </cell>
          <cell r="T61">
            <v>2.1861388284365235E-2</v>
          </cell>
        </row>
        <row r="62">
          <cell r="A62">
            <v>44647.333368055559</v>
          </cell>
          <cell r="G62">
            <v>71</v>
          </cell>
          <cell r="T62">
            <v>2.1824352831303795E-2</v>
          </cell>
        </row>
        <row r="63">
          <cell r="A63">
            <v>44648.333854166667</v>
          </cell>
          <cell r="G63">
            <v>71</v>
          </cell>
          <cell r="T63">
            <v>2.2643198568103706E-2</v>
          </cell>
        </row>
        <row r="64">
          <cell r="A64">
            <v>44649.333425925928</v>
          </cell>
          <cell r="G64">
            <v>68</v>
          </cell>
          <cell r="T64">
            <v>2.1023761560373666E-2</v>
          </cell>
        </row>
        <row r="65">
          <cell r="A65">
            <v>44650.333506944444</v>
          </cell>
          <cell r="G65">
            <v>72</v>
          </cell>
          <cell r="T65">
            <v>1.943352759655248E-2</v>
          </cell>
        </row>
        <row r="66">
          <cell r="A66">
            <v>44651.333379629628</v>
          </cell>
          <cell r="G66">
            <v>73</v>
          </cell>
          <cell r="T66">
            <v>1.9302349427827714E-2</v>
          </cell>
        </row>
        <row r="67">
          <cell r="A67">
            <v>44652.333541666667</v>
          </cell>
          <cell r="G67">
            <v>74</v>
          </cell>
          <cell r="T67">
            <v>2.0120529238121465E-2</v>
          </cell>
        </row>
        <row r="68">
          <cell r="A68">
            <v>44653.333506944444</v>
          </cell>
          <cell r="G68">
            <v>75</v>
          </cell>
          <cell r="T68">
            <v>1.8671945613723873E-2</v>
          </cell>
        </row>
        <row r="69">
          <cell r="A69">
            <v>44654.333356481482</v>
          </cell>
          <cell r="G69">
            <v>76</v>
          </cell>
          <cell r="T69">
            <v>1.6924464314151733E-2</v>
          </cell>
        </row>
        <row r="70">
          <cell r="A70">
            <v>44655.333368055559</v>
          </cell>
          <cell r="G70">
            <v>77</v>
          </cell>
          <cell r="T70">
            <v>1.7695047776169481E-2</v>
          </cell>
        </row>
        <row r="71">
          <cell r="A71">
            <v>44656.333368055559</v>
          </cell>
          <cell r="G71">
            <v>78</v>
          </cell>
          <cell r="T71">
            <v>1.6483982288188148E-2</v>
          </cell>
        </row>
        <row r="72">
          <cell r="A72">
            <v>44657.333333333336</v>
          </cell>
          <cell r="G72">
            <v>80</v>
          </cell>
          <cell r="T72">
            <v>1.5414203454485742E-2</v>
          </cell>
        </row>
        <row r="73">
          <cell r="A73">
            <v>44658.333506944444</v>
          </cell>
          <cell r="G73">
            <v>80</v>
          </cell>
          <cell r="T73">
            <v>1.8090911909540264E-2</v>
          </cell>
        </row>
        <row r="74">
          <cell r="A74">
            <v>44659.333437499998</v>
          </cell>
          <cell r="G74">
            <v>81</v>
          </cell>
          <cell r="T74">
            <v>2.1955189657415941E-2</v>
          </cell>
        </row>
        <row r="75">
          <cell r="A75">
            <v>44660.333414351851</v>
          </cell>
          <cell r="G75">
            <v>83</v>
          </cell>
          <cell r="T75">
            <v>2.4127067223789878E-2</v>
          </cell>
        </row>
        <row r="76">
          <cell r="A76">
            <v>44661.333344907405</v>
          </cell>
          <cell r="G76">
            <v>78</v>
          </cell>
          <cell r="T76">
            <v>2.4875580911590589E-2</v>
          </cell>
        </row>
        <row r="77">
          <cell r="A77">
            <v>44662.333391203705</v>
          </cell>
          <cell r="G77">
            <v>77</v>
          </cell>
          <cell r="T77">
            <v>2.6213556663847948E-2</v>
          </cell>
        </row>
        <row r="78">
          <cell r="A78">
            <v>44663.333634259259</v>
          </cell>
          <cell r="G78">
            <v>76</v>
          </cell>
          <cell r="T78">
            <v>2.6668869476514034E-2</v>
          </cell>
        </row>
        <row r="79">
          <cell r="A79">
            <v>44664.333333333336</v>
          </cell>
          <cell r="G79">
            <v>76</v>
          </cell>
          <cell r="T79">
            <v>2.7329273798810449E-2</v>
          </cell>
        </row>
        <row r="80">
          <cell r="A80">
            <v>44665.333680555559</v>
          </cell>
          <cell r="G80">
            <v>75</v>
          </cell>
          <cell r="T80">
            <v>2.728751800047946E-2</v>
          </cell>
        </row>
        <row r="81">
          <cell r="A81">
            <v>44666.333391203705</v>
          </cell>
          <cell r="G81">
            <v>74</v>
          </cell>
          <cell r="T81">
            <v>2.8161675082370552E-2</v>
          </cell>
        </row>
        <row r="82">
          <cell r="A82">
            <v>44667.33357638889</v>
          </cell>
          <cell r="G82">
            <v>72</v>
          </cell>
          <cell r="T82">
            <v>2.8429147903375585E-2</v>
          </cell>
        </row>
        <row r="83">
          <cell r="A83">
            <v>44668.333449074074</v>
          </cell>
          <cell r="G83">
            <v>74</v>
          </cell>
          <cell r="T83">
            <v>2.8364581209825657E-2</v>
          </cell>
        </row>
        <row r="84">
          <cell r="A84">
            <v>44669.333819444444</v>
          </cell>
          <cell r="G84">
            <v>75</v>
          </cell>
          <cell r="T84">
            <v>2.8205797191587223E-2</v>
          </cell>
        </row>
        <row r="85">
          <cell r="A85">
            <v>44670.333379629628</v>
          </cell>
          <cell r="G85">
            <v>76</v>
          </cell>
          <cell r="T85">
            <v>2.5996654952966436E-2</v>
          </cell>
        </row>
        <row r="86">
          <cell r="A86">
            <v>44671.333495370367</v>
          </cell>
          <cell r="G86">
            <v>73</v>
          </cell>
          <cell r="T86">
            <v>2.4340080668164843E-2</v>
          </cell>
        </row>
        <row r="87">
          <cell r="A87">
            <v>44672.333425925928</v>
          </cell>
          <cell r="G87">
            <v>74</v>
          </cell>
          <cell r="T87">
            <v>2.4237739456157703E-2</v>
          </cell>
        </row>
        <row r="88">
          <cell r="A88">
            <v>44673.333414351851</v>
          </cell>
          <cell r="G88">
            <v>73</v>
          </cell>
          <cell r="T88">
            <v>2.3153241973092875E-2</v>
          </cell>
        </row>
        <row r="89">
          <cell r="A89">
            <v>44674.333865740744</v>
          </cell>
          <cell r="G89">
            <v>72</v>
          </cell>
          <cell r="T89">
            <v>2.3854366482032097E-2</v>
          </cell>
        </row>
        <row r="90">
          <cell r="A90">
            <v>44675.333368055559</v>
          </cell>
          <cell r="G90">
            <v>70</v>
          </cell>
          <cell r="T90">
            <v>2.4706075449866249E-2</v>
          </cell>
        </row>
        <row r="91">
          <cell r="A91">
            <v>44676.333333333336</v>
          </cell>
          <cell r="G91">
            <v>69</v>
          </cell>
          <cell r="T91">
            <v>2.4052720762875346E-2</v>
          </cell>
        </row>
        <row r="92">
          <cell r="A92">
            <v>44677.333807870367</v>
          </cell>
          <cell r="G92">
            <v>70</v>
          </cell>
          <cell r="T92">
            <v>2.2913528350832602E-2</v>
          </cell>
        </row>
        <row r="93">
          <cell r="A93">
            <v>44678.333344907405</v>
          </cell>
          <cell r="G93">
            <v>70</v>
          </cell>
          <cell r="T93">
            <v>2.4671957247326182E-2</v>
          </cell>
        </row>
        <row r="94">
          <cell r="A94">
            <v>44679.333344907405</v>
          </cell>
          <cell r="G94">
            <v>70</v>
          </cell>
          <cell r="T94">
            <v>2.4506570280846018E-2</v>
          </cell>
        </row>
        <row r="95">
          <cell r="A95">
            <v>44680.333402777775</v>
          </cell>
          <cell r="G95">
            <v>70</v>
          </cell>
          <cell r="T95">
            <v>2.6662282248705482E-2</v>
          </cell>
        </row>
        <row r="96">
          <cell r="A96">
            <v>44681.333854166667</v>
          </cell>
          <cell r="G96">
            <v>71</v>
          </cell>
          <cell r="T96">
            <v>2.7012249058239846E-2</v>
          </cell>
        </row>
        <row r="97">
          <cell r="A97">
            <v>44682.333796296298</v>
          </cell>
          <cell r="G97">
            <v>71</v>
          </cell>
          <cell r="T97">
            <v>2.8139912121197153E-2</v>
          </cell>
        </row>
        <row r="98">
          <cell r="A98">
            <v>44683.333344907405</v>
          </cell>
          <cell r="G98">
            <v>72</v>
          </cell>
          <cell r="T98">
            <v>2.7609959240108006E-2</v>
          </cell>
        </row>
        <row r="99">
          <cell r="A99">
            <v>44684.33388888889</v>
          </cell>
          <cell r="G99">
            <v>72</v>
          </cell>
          <cell r="T99">
            <v>2.7124001248286511E-2</v>
          </cell>
        </row>
        <row r="100">
          <cell r="A100">
            <v>44685.333495370367</v>
          </cell>
          <cell r="G100">
            <v>72</v>
          </cell>
          <cell r="T100">
            <v>2.6737825827081174E-2</v>
          </cell>
        </row>
        <row r="101">
          <cell r="A101">
            <v>44686.333402777775</v>
          </cell>
          <cell r="G101">
            <v>71</v>
          </cell>
          <cell r="T101">
            <v>2.7952050719963317E-2</v>
          </cell>
        </row>
        <row r="102">
          <cell r="A102">
            <v>44687.333425925928</v>
          </cell>
          <cell r="G102">
            <v>71</v>
          </cell>
          <cell r="T102">
            <v>2.7806845752715637E-2</v>
          </cell>
        </row>
        <row r="103">
          <cell r="A103">
            <v>44688.333356481482</v>
          </cell>
          <cell r="G103">
            <v>69</v>
          </cell>
          <cell r="T103">
            <v>3.0232744683105439E-2</v>
          </cell>
        </row>
        <row r="104">
          <cell r="A104">
            <v>44689.333425925928</v>
          </cell>
          <cell r="G104">
            <v>67</v>
          </cell>
          <cell r="T104">
            <v>3.2224794015673019E-2</v>
          </cell>
        </row>
        <row r="105">
          <cell r="A105">
            <v>44690.333344907405</v>
          </cell>
          <cell r="G105">
            <v>68</v>
          </cell>
          <cell r="T105">
            <v>3.3109185481144499E-2</v>
          </cell>
        </row>
        <row r="106">
          <cell r="A106">
            <v>44691.333379629628</v>
          </cell>
          <cell r="G106">
            <v>66</v>
          </cell>
          <cell r="T106">
            <v>1.0961341856699836E-2</v>
          </cell>
        </row>
        <row r="107">
          <cell r="A107">
            <v>44692.333391203705</v>
          </cell>
          <cell r="G107">
            <v>55</v>
          </cell>
          <cell r="T107">
            <v>-0.27841799696070679</v>
          </cell>
        </row>
        <row r="108">
          <cell r="A108">
            <v>44693.333414351851</v>
          </cell>
          <cell r="G108">
            <v>60</v>
          </cell>
          <cell r="T108">
            <v>-0.61930904691336108</v>
          </cell>
        </row>
        <row r="109">
          <cell r="A109">
            <v>44694.333553240744</v>
          </cell>
          <cell r="G109">
            <v>59</v>
          </cell>
          <cell r="T109">
            <v>-0.98192273259901441</v>
          </cell>
        </row>
        <row r="110">
          <cell r="A110">
            <v>44695.333657407406</v>
          </cell>
          <cell r="G110">
            <v>67</v>
          </cell>
          <cell r="T110">
            <v>-0.98428394088999349</v>
          </cell>
        </row>
        <row r="111">
          <cell r="A111">
            <v>44696.333425925928</v>
          </cell>
          <cell r="G111">
            <v>87</v>
          </cell>
          <cell r="T111">
            <v>-0.98602994990314896</v>
          </cell>
        </row>
        <row r="112">
          <cell r="A112">
            <v>44697.333460648151</v>
          </cell>
          <cell r="G112">
            <v>76</v>
          </cell>
          <cell r="T112">
            <v>-0.98802356594938656</v>
          </cell>
        </row>
        <row r="113">
          <cell r="A113">
            <v>44698.333460648151</v>
          </cell>
          <cell r="G113">
            <v>75</v>
          </cell>
          <cell r="T113">
            <v>-0.98778900008108128</v>
          </cell>
        </row>
        <row r="114">
          <cell r="A114">
            <v>44699.333645833336</v>
          </cell>
          <cell r="G114">
            <v>73</v>
          </cell>
          <cell r="T114">
            <v>-0.98779095785605675</v>
          </cell>
        </row>
        <row r="115">
          <cell r="A115">
            <v>44700.333796296298</v>
          </cell>
          <cell r="G115">
            <v>71</v>
          </cell>
          <cell r="T115">
            <v>-0.98916336691643658</v>
          </cell>
        </row>
        <row r="116">
          <cell r="A116">
            <v>44701.333414351851</v>
          </cell>
          <cell r="G116">
            <v>70</v>
          </cell>
          <cell r="T116">
            <v>-0.98926685426985572</v>
          </cell>
        </row>
        <row r="117">
          <cell r="A117">
            <v>44702.333402777775</v>
          </cell>
          <cell r="G117">
            <v>69</v>
          </cell>
          <cell r="T117">
            <v>-0.99025299258584831</v>
          </cell>
        </row>
        <row r="118">
          <cell r="A118">
            <v>44703.333472222221</v>
          </cell>
          <cell r="G118">
            <v>67</v>
          </cell>
          <cell r="T118">
            <v>-0.98664039660836078</v>
          </cell>
        </row>
        <row r="119">
          <cell r="A119">
            <v>44704.333368055559</v>
          </cell>
          <cell r="G119">
            <v>70</v>
          </cell>
          <cell r="T119">
            <v>-0.98738588041995567</v>
          </cell>
        </row>
        <row r="120">
          <cell r="A120">
            <v>44705.33353009259</v>
          </cell>
          <cell r="G120">
            <v>72</v>
          </cell>
          <cell r="T120">
            <v>-0.98803689022024188</v>
          </cell>
        </row>
        <row r="121">
          <cell r="A121">
            <v>44706.333622685182</v>
          </cell>
          <cell r="G121">
            <v>66</v>
          </cell>
          <cell r="T121">
            <v>-0.98772589548494105</v>
          </cell>
        </row>
        <row r="122">
          <cell r="A122">
            <v>44707.333634259259</v>
          </cell>
          <cell r="G122">
            <v>66</v>
          </cell>
          <cell r="T122">
            <v>-0.98808050279014503</v>
          </cell>
        </row>
        <row r="123">
          <cell r="A123">
            <v>44708.33353009259</v>
          </cell>
          <cell r="G123">
            <v>78</v>
          </cell>
          <cell r="T123">
            <v>-0.9885764985518809</v>
          </cell>
        </row>
        <row r="124">
          <cell r="A124">
            <v>44709.333587962959</v>
          </cell>
          <cell r="G124">
            <v>76</v>
          </cell>
          <cell r="T124">
            <v>-0.99042396240254937</v>
          </cell>
        </row>
        <row r="125">
          <cell r="A125">
            <v>44710.333414351851</v>
          </cell>
          <cell r="G125">
            <v>78</v>
          </cell>
          <cell r="T125">
            <v>-0.989614378098568</v>
          </cell>
        </row>
        <row r="126">
          <cell r="A126">
            <v>44711.333506944444</v>
          </cell>
          <cell r="G126">
            <v>80</v>
          </cell>
          <cell r="T126">
            <v>-0.98699954342516683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67"/>
  <sheetViews>
    <sheetView workbookViewId="0">
      <selection activeCell="Q13" sqref="Q13"/>
    </sheetView>
  </sheetViews>
  <sheetFormatPr defaultRowHeight="15" x14ac:dyDescent="0.25"/>
  <cols>
    <col min="1" max="1" width="14.85546875" bestFit="1" customWidth="1"/>
    <col min="16" max="16" width="10.14062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T1" t="s">
        <v>16</v>
      </c>
      <c r="U1" t="s">
        <v>60</v>
      </c>
    </row>
    <row r="2" spans="1:23" x14ac:dyDescent="0.25">
      <c r="A2" s="1">
        <v>44322.33353009259</v>
      </c>
      <c r="B2">
        <v>12381176.305271488</v>
      </c>
      <c r="C2">
        <v>12380929.273025</v>
      </c>
      <c r="D2">
        <v>3573.8383232071124</v>
      </c>
      <c r="E2">
        <v>37143.528915814459</v>
      </c>
      <c r="F2">
        <v>2.694445744720002E+18</v>
      </c>
      <c r="G2">
        <v>354</v>
      </c>
      <c r="H2">
        <v>2.8506466433217143E-4</v>
      </c>
      <c r="I2">
        <v>3507.9759967540226</v>
      </c>
      <c r="J2">
        <v>2</v>
      </c>
      <c r="K2">
        <f t="shared" ref="K2:K65" si="0">(1+$U$16)*H2</f>
        <v>28.506466433217142</v>
      </c>
      <c r="L2">
        <f t="shared" ref="L2:L65" si="1">H2/(1+$U$16)</f>
        <v>2.8506466433217144E-9</v>
      </c>
      <c r="M2">
        <f>1/(SQRT(H2)-SQRT(L2))</f>
        <v>59.416059022592904</v>
      </c>
      <c r="N2">
        <f>D2*0.003</f>
        <v>10.721514969621337</v>
      </c>
      <c r="O2" s="2">
        <f>M2/(F2/POWER(10,$U$21))</f>
        <v>2.205131023292036E-5</v>
      </c>
      <c r="P2" s="2">
        <f>O2*N2*365</f>
        <v>8.6294560258137226E-2</v>
      </c>
      <c r="S2" s="3"/>
      <c r="T2" t="s">
        <v>19</v>
      </c>
      <c r="U2">
        <v>367</v>
      </c>
    </row>
    <row r="3" spans="1:23" x14ac:dyDescent="0.25">
      <c r="A3" s="1">
        <v>44323.333483796298</v>
      </c>
      <c r="B3">
        <v>55465469.960961416</v>
      </c>
      <c r="C3">
        <v>55457377.533581004</v>
      </c>
      <c r="D3">
        <v>15944.306614182387</v>
      </c>
      <c r="E3">
        <v>166396.40988288427</v>
      </c>
      <c r="F3">
        <v>6.6394017356407562E+18</v>
      </c>
      <c r="G3">
        <v>684</v>
      </c>
      <c r="H3">
        <v>2.8940158527358242E-4</v>
      </c>
      <c r="I3">
        <v>3455.4060892743955</v>
      </c>
      <c r="J3">
        <v>3</v>
      </c>
      <c r="K3">
        <f t="shared" si="0"/>
        <v>28.940158527358243</v>
      </c>
      <c r="L3">
        <f t="shared" si="1"/>
        <v>2.8940158527358244E-9</v>
      </c>
      <c r="M3">
        <f>1/(SQRT(H3)-SQRT(L3))</f>
        <v>58.969179214529873</v>
      </c>
      <c r="N3">
        <f t="shared" ref="N3" si="2">D3*0.003</f>
        <v>47.832919842547163</v>
      </c>
      <c r="O3" s="2">
        <f t="shared" ref="O3:O66" si="3">M3/(F3/POWER(10,$U$21))</f>
        <v>8.8817007258318685E-6</v>
      </c>
      <c r="P3" s="2">
        <f t="shared" ref="P3:P66" si="4">O3*N3*365</f>
        <v>0.15506575279273618</v>
      </c>
      <c r="S3" s="3"/>
      <c r="T3" t="s">
        <v>20</v>
      </c>
      <c r="U3">
        <v>1</v>
      </c>
    </row>
    <row r="4" spans="1:23" x14ac:dyDescent="0.25">
      <c r="A4" s="1">
        <v>44324.333356481482</v>
      </c>
      <c r="B4">
        <v>41550245.505310476</v>
      </c>
      <c r="C4">
        <v>41557677.298431993</v>
      </c>
      <c r="D4">
        <v>11827.306425057566</v>
      </c>
      <c r="E4">
        <v>124650.73651593144</v>
      </c>
      <c r="F4">
        <v>7.1521649565926994E+18</v>
      </c>
      <c r="G4">
        <v>897</v>
      </c>
      <c r="H4">
        <v>2.8251072003584115E-4</v>
      </c>
      <c r="I4">
        <v>3539.6886881783935</v>
      </c>
      <c r="J4">
        <v>4</v>
      </c>
      <c r="K4">
        <f t="shared" si="0"/>
        <v>28.251072003584113</v>
      </c>
      <c r="L4">
        <f t="shared" si="1"/>
        <v>2.8251072003584115E-9</v>
      </c>
      <c r="M4">
        <f>1/(SQRT(H4)-SQRT(L4))</f>
        <v>59.684020351178738</v>
      </c>
      <c r="N4">
        <f>D4*0.003</f>
        <v>35.4819192751727</v>
      </c>
      <c r="O4" s="2">
        <f t="shared" si="3"/>
        <v>8.344888675444124E-6</v>
      </c>
      <c r="P4" s="2">
        <f t="shared" si="4"/>
        <v>0.1080738232149801</v>
      </c>
      <c r="T4" t="s">
        <v>21</v>
      </c>
      <c r="U4">
        <v>2</v>
      </c>
    </row>
    <row r="5" spans="1:23" x14ac:dyDescent="0.25">
      <c r="A5" s="1">
        <v>44325.333356481482</v>
      </c>
      <c r="B5">
        <v>68791868.626536638</v>
      </c>
      <c r="C5">
        <v>68801080.397799015</v>
      </c>
      <c r="D5">
        <v>18028.903744930289</v>
      </c>
      <c r="E5">
        <v>206375.60587960994</v>
      </c>
      <c r="F5">
        <v>7.810432353184342E+18</v>
      </c>
      <c r="G5">
        <v>884</v>
      </c>
      <c r="H5">
        <v>2.5799005472301257E-4</v>
      </c>
      <c r="I5">
        <v>3876.1184072526985</v>
      </c>
      <c r="J5">
        <v>5</v>
      </c>
      <c r="K5">
        <f t="shared" si="0"/>
        <v>25.799005472301257</v>
      </c>
      <c r="L5">
        <f t="shared" si="1"/>
        <v>2.5799005472301257E-9</v>
      </c>
      <c r="M5">
        <f>1/(SQRT(H5)-SQRT(L5))</f>
        <v>62.455983767287719</v>
      </c>
      <c r="N5">
        <f t="shared" ref="N5:N68" si="5">D5*0.003</f>
        <v>54.086711234790869</v>
      </c>
      <c r="O5" s="2">
        <f t="shared" si="3"/>
        <v>7.9964822615516526E-6</v>
      </c>
      <c r="P5" s="2">
        <f t="shared" si="4"/>
        <v>0.15786375084575516</v>
      </c>
      <c r="T5" t="s">
        <v>22</v>
      </c>
      <c r="U5" t="s">
        <v>23</v>
      </c>
    </row>
    <row r="6" spans="1:23" x14ac:dyDescent="0.25">
      <c r="A6" s="1">
        <v>44326.333333333336</v>
      </c>
      <c r="B6">
        <v>78964908.256811738</v>
      </c>
      <c r="C6">
        <v>78433212.669763982</v>
      </c>
      <c r="D6">
        <v>19861.079596177937</v>
      </c>
      <c r="E6">
        <v>236894.72477043513</v>
      </c>
      <c r="F6">
        <v>3.8391785077355663E+18</v>
      </c>
      <c r="G6">
        <v>886</v>
      </c>
      <c r="H6">
        <v>2.4653976685184927E-4</v>
      </c>
      <c r="I6">
        <v>4056.1407709974847</v>
      </c>
      <c r="J6">
        <v>6</v>
      </c>
      <c r="K6">
        <f t="shared" si="0"/>
        <v>24.653976685184926</v>
      </c>
      <c r="L6">
        <f t="shared" si="1"/>
        <v>2.4653976685184926E-9</v>
      </c>
      <c r="M6">
        <f t="shared" ref="M6:M9" si="6">1/(SQRT(H6)-SQRT(L6))</f>
        <v>63.889876013460771</v>
      </c>
      <c r="N6">
        <f t="shared" si="5"/>
        <v>59.583238788533812</v>
      </c>
      <c r="O6" s="2">
        <f t="shared" si="3"/>
        <v>1.664154867629337E-5</v>
      </c>
      <c r="P6" s="2">
        <f t="shared" si="4"/>
        <v>0.36191843953556774</v>
      </c>
      <c r="T6" t="s">
        <v>24</v>
      </c>
      <c r="U6" t="s">
        <v>25</v>
      </c>
    </row>
    <row r="7" spans="1:23" x14ac:dyDescent="0.25">
      <c r="A7" s="1">
        <v>44327.333668981482</v>
      </c>
      <c r="B7">
        <v>181207775.5013724</v>
      </c>
      <c r="C7">
        <v>180323683.73273301</v>
      </c>
      <c r="D7">
        <v>46060.942261178119</v>
      </c>
      <c r="E7">
        <v>543623.32650411734</v>
      </c>
      <c r="F7">
        <v>5.1307031032282307E+18</v>
      </c>
      <c r="G7">
        <v>882</v>
      </c>
      <c r="H7">
        <v>2.5041574746709753E-4</v>
      </c>
      <c r="I7">
        <v>3993.3590843019624</v>
      </c>
      <c r="J7">
        <v>7</v>
      </c>
      <c r="K7">
        <f t="shared" si="0"/>
        <v>25.041574746709752</v>
      </c>
      <c r="L7">
        <f t="shared" si="1"/>
        <v>2.5041574746709755E-9</v>
      </c>
      <c r="M7">
        <f t="shared" si="6"/>
        <v>63.393498189055805</v>
      </c>
      <c r="N7">
        <f t="shared" si="5"/>
        <v>138.18282678353435</v>
      </c>
      <c r="O7" s="2">
        <f t="shared" si="3"/>
        <v>1.2355713615385133E-5</v>
      </c>
      <c r="P7" s="2">
        <f t="shared" si="4"/>
        <v>0.62318181352012814</v>
      </c>
      <c r="T7" t="s">
        <v>26</v>
      </c>
      <c r="U7" t="s">
        <v>27</v>
      </c>
      <c r="W7" s="4"/>
    </row>
    <row r="8" spans="1:23" x14ac:dyDescent="0.25">
      <c r="A8" s="1">
        <v>44328.333414351851</v>
      </c>
      <c r="B8">
        <v>89049229.425067127</v>
      </c>
      <c r="C8">
        <v>88950163.721996009</v>
      </c>
      <c r="D8">
        <v>21482.241701090039</v>
      </c>
      <c r="E8">
        <v>267147.68827520125</v>
      </c>
      <c r="F8">
        <v>4.6596504014095442E+18</v>
      </c>
      <c r="G8">
        <v>898</v>
      </c>
      <c r="H8">
        <v>2.3498594557270716E-4</v>
      </c>
      <c r="I8">
        <v>4255.5736580875191</v>
      </c>
      <c r="J8">
        <v>8</v>
      </c>
      <c r="K8">
        <f t="shared" si="0"/>
        <v>23.498594557270717</v>
      </c>
      <c r="L8">
        <f t="shared" si="1"/>
        <v>2.3498594557270716E-9</v>
      </c>
      <c r="M8">
        <f t="shared" si="6"/>
        <v>65.441702886964322</v>
      </c>
      <c r="N8">
        <f t="shared" si="5"/>
        <v>64.446725103270111</v>
      </c>
      <c r="O8" s="2">
        <f t="shared" si="3"/>
        <v>1.4044337503768139E-5</v>
      </c>
      <c r="P8" s="2">
        <f t="shared" si="4"/>
        <v>0.33036571880245558</v>
      </c>
      <c r="T8" t="s">
        <v>29</v>
      </c>
      <c r="U8" t="s">
        <v>30</v>
      </c>
      <c r="W8" s="5"/>
    </row>
    <row r="9" spans="1:23" x14ac:dyDescent="0.25">
      <c r="A9" s="1">
        <v>44329.333564814813</v>
      </c>
      <c r="B9">
        <v>347320646.02655989</v>
      </c>
      <c r="C9">
        <v>347113336.87308103</v>
      </c>
      <c r="D9">
        <v>88628.802762505657</v>
      </c>
      <c r="E9">
        <v>1041961.9380796796</v>
      </c>
      <c r="F9">
        <v>5.2025275014002924E+18</v>
      </c>
      <c r="G9">
        <v>897</v>
      </c>
      <c r="H9">
        <v>2.6707227287819149E-4</v>
      </c>
      <c r="I9">
        <v>3744.3048251440473</v>
      </c>
      <c r="J9">
        <v>9</v>
      </c>
      <c r="K9">
        <f t="shared" si="0"/>
        <v>26.707227287819148</v>
      </c>
      <c r="L9">
        <f t="shared" si="1"/>
        <v>2.6707227287819149E-9</v>
      </c>
      <c r="M9">
        <f t="shared" si="6"/>
        <v>61.384840903859747</v>
      </c>
      <c r="N9">
        <f t="shared" si="5"/>
        <v>265.88640828751699</v>
      </c>
      <c r="O9" s="2">
        <f t="shared" si="3"/>
        <v>1.1799042078554633E-5</v>
      </c>
      <c r="P9" s="2">
        <f t="shared" si="4"/>
        <v>1.1450797956175622</v>
      </c>
      <c r="T9" t="s">
        <v>32</v>
      </c>
      <c r="U9" t="s">
        <v>33</v>
      </c>
    </row>
    <row r="10" spans="1:23" x14ac:dyDescent="0.25">
      <c r="A10" s="1">
        <v>44330.333379629628</v>
      </c>
      <c r="B10">
        <v>258405996.34802628</v>
      </c>
      <c r="C10">
        <v>258422742.15137196</v>
      </c>
      <c r="D10">
        <v>68860.666952140891</v>
      </c>
      <c r="E10">
        <v>775217.98904407863</v>
      </c>
      <c r="F10">
        <v>6.9339861088393943E+18</v>
      </c>
      <c r="G10">
        <v>956</v>
      </c>
      <c r="H10">
        <v>2.4904230994198673E-4</v>
      </c>
      <c r="I10">
        <v>4015.3819655501325</v>
      </c>
      <c r="J10">
        <v>10</v>
      </c>
      <c r="K10">
        <f t="shared" si="0"/>
        <v>24.904230994198674</v>
      </c>
      <c r="L10">
        <f t="shared" si="1"/>
        <v>2.4904230994198671E-9</v>
      </c>
      <c r="M10">
        <f>1/(SQRT(H10)-SQRT(L10))</f>
        <v>63.568061495596574</v>
      </c>
      <c r="N10">
        <f t="shared" si="5"/>
        <v>206.58200085642267</v>
      </c>
      <c r="O10" s="2">
        <f t="shared" si="3"/>
        <v>9.1676072749209103E-6</v>
      </c>
      <c r="P10" s="2">
        <f t="shared" si="4"/>
        <v>0.69125986868045619</v>
      </c>
      <c r="T10" t="s">
        <v>34</v>
      </c>
      <c r="U10" t="s">
        <v>35</v>
      </c>
    </row>
    <row r="11" spans="1:23" x14ac:dyDescent="0.25">
      <c r="A11" s="1">
        <v>44331.333564814813</v>
      </c>
      <c r="B11">
        <v>174371652.95625043</v>
      </c>
      <c r="C11">
        <v>174355524.66437507</v>
      </c>
      <c r="D11">
        <v>43463.925764977059</v>
      </c>
      <c r="E11">
        <v>523114.95886875177</v>
      </c>
      <c r="F11">
        <v>8.8321560234631854E+18</v>
      </c>
      <c r="G11">
        <v>997</v>
      </c>
      <c r="H11">
        <v>2.567547313732212E-4</v>
      </c>
      <c r="I11">
        <v>3894.7675653399751</v>
      </c>
      <c r="J11">
        <v>11</v>
      </c>
      <c r="K11">
        <f t="shared" si="0"/>
        <v>25.675473137322118</v>
      </c>
      <c r="L11">
        <f t="shared" si="1"/>
        <v>2.5675473137322121E-9</v>
      </c>
      <c r="M11">
        <f t="shared" ref="M11:M12" si="7">1/(SQRT(H11)-SQRT(L11))</f>
        <v>62.606050633321708</v>
      </c>
      <c r="N11">
        <f t="shared" si="5"/>
        <v>130.39177729493119</v>
      </c>
      <c r="O11" s="2">
        <f t="shared" si="3"/>
        <v>7.0884221776658772E-6</v>
      </c>
      <c r="P11" s="2">
        <f t="shared" si="4"/>
        <v>0.33735926757637097</v>
      </c>
      <c r="T11" t="s">
        <v>37</v>
      </c>
      <c r="U11" t="s">
        <v>38</v>
      </c>
    </row>
    <row r="12" spans="1:23" x14ac:dyDescent="0.25">
      <c r="A12" s="1">
        <v>44332.333460648151</v>
      </c>
      <c r="B12">
        <v>225422374.8891139</v>
      </c>
      <c r="C12">
        <v>225326519.71170783</v>
      </c>
      <c r="D12">
        <v>59898.840552644746</v>
      </c>
      <c r="E12">
        <v>676267.12466734182</v>
      </c>
      <c r="F12">
        <v>1.5754029013113139E+19</v>
      </c>
      <c r="G12">
        <v>1072</v>
      </c>
      <c r="H12">
        <v>2.6309628205821781E-4</v>
      </c>
      <c r="I12">
        <v>3800.8898954289307</v>
      </c>
      <c r="J12">
        <v>12</v>
      </c>
      <c r="K12">
        <f t="shared" si="0"/>
        <v>26.309628205821781</v>
      </c>
      <c r="L12">
        <f t="shared" si="1"/>
        <v>2.6309628205821779E-9</v>
      </c>
      <c r="M12">
        <f t="shared" si="7"/>
        <v>61.846934792456729</v>
      </c>
      <c r="N12">
        <f t="shared" si="5"/>
        <v>179.69652165793426</v>
      </c>
      <c r="O12" s="2">
        <f t="shared" si="3"/>
        <v>3.9257852541072105E-6</v>
      </c>
      <c r="P12" s="2">
        <f t="shared" si="4"/>
        <v>0.25748923355276249</v>
      </c>
      <c r="T12" t="s">
        <v>39</v>
      </c>
      <c r="U12" t="s">
        <v>40</v>
      </c>
    </row>
    <row r="13" spans="1:23" x14ac:dyDescent="0.25">
      <c r="A13" s="1">
        <v>44333.333611111113</v>
      </c>
      <c r="B13">
        <v>423437736.98131561</v>
      </c>
      <c r="C13">
        <v>423496356.87030101</v>
      </c>
      <c r="D13">
        <v>121674.37789062876</v>
      </c>
      <c r="E13">
        <v>1270313.2109439466</v>
      </c>
      <c r="F13">
        <v>8.9647826175849544E+18</v>
      </c>
      <c r="G13">
        <v>1124</v>
      </c>
      <c r="H13">
        <v>2.8500765995010481E-4</v>
      </c>
      <c r="I13">
        <v>3508.6776270331334</v>
      </c>
      <c r="J13">
        <v>13</v>
      </c>
      <c r="K13">
        <f t="shared" si="0"/>
        <v>28.500765995010482</v>
      </c>
      <c r="L13">
        <f t="shared" si="1"/>
        <v>2.8500765995010483E-9</v>
      </c>
      <c r="M13">
        <f>1/(SQRT(H13)-SQRT(L13))</f>
        <v>59.422000628495155</v>
      </c>
      <c r="N13">
        <f t="shared" si="5"/>
        <v>365.02313367188628</v>
      </c>
      <c r="O13" s="2">
        <f t="shared" si="3"/>
        <v>6.6283816533303735E-6</v>
      </c>
      <c r="P13" s="2">
        <f t="shared" si="4"/>
        <v>0.88312211442924038</v>
      </c>
      <c r="T13" t="s">
        <v>41</v>
      </c>
      <c r="U13" t="s">
        <v>42</v>
      </c>
    </row>
    <row r="14" spans="1:23" x14ac:dyDescent="0.25">
      <c r="A14" s="1">
        <v>44334.333333333336</v>
      </c>
      <c r="B14">
        <v>244379443.04402685</v>
      </c>
      <c r="C14">
        <v>244456497.52119517</v>
      </c>
      <c r="D14">
        <v>72649.233415204915</v>
      </c>
      <c r="E14">
        <v>733138.32913208101</v>
      </c>
      <c r="F14">
        <v>9.0331852578955336E+18</v>
      </c>
      <c r="G14">
        <v>1190</v>
      </c>
      <c r="H14">
        <v>2.8194629143346513E-4</v>
      </c>
      <c r="I14">
        <v>3546.7747950002181</v>
      </c>
      <c r="J14">
        <v>14</v>
      </c>
      <c r="K14">
        <f t="shared" si="0"/>
        <v>28.194629143346514</v>
      </c>
      <c r="L14">
        <f t="shared" si="1"/>
        <v>2.8194629143346514E-9</v>
      </c>
      <c r="M14">
        <f t="shared" ref="M14:M77" si="8">1/(SQRT(H14)-SQRT(L14))</f>
        <v>59.743731236502406</v>
      </c>
      <c r="N14">
        <f t="shared" si="5"/>
        <v>217.94770024561475</v>
      </c>
      <c r="O14" s="2">
        <f t="shared" si="3"/>
        <v>6.6138055991138766E-6</v>
      </c>
      <c r="P14" s="2">
        <f t="shared" si="4"/>
        <v>0.52613425787243051</v>
      </c>
      <c r="T14" t="s">
        <v>43</v>
      </c>
      <c r="U14" t="s">
        <v>44</v>
      </c>
    </row>
    <row r="15" spans="1:23" x14ac:dyDescent="0.25">
      <c r="A15" s="1">
        <v>44335.333333333336</v>
      </c>
      <c r="B15">
        <v>448058600.71194649</v>
      </c>
      <c r="C15">
        <v>447996822.46187401</v>
      </c>
      <c r="D15">
        <v>144772.18600559328</v>
      </c>
      <c r="E15">
        <v>1344175.8021358382</v>
      </c>
      <c r="F15">
        <v>4.9918639722591642E+18</v>
      </c>
      <c r="G15">
        <v>1184</v>
      </c>
      <c r="H15">
        <v>3.6948238908986815E-4</v>
      </c>
      <c r="I15">
        <v>2706.488941092055</v>
      </c>
      <c r="J15">
        <v>15</v>
      </c>
      <c r="K15">
        <f t="shared" si="0"/>
        <v>36.948238908986816</v>
      </c>
      <c r="L15">
        <f t="shared" si="1"/>
        <v>3.6948238908986813E-9</v>
      </c>
      <c r="M15">
        <f t="shared" si="8"/>
        <v>52.188962611813658</v>
      </c>
      <c r="N15">
        <f t="shared" si="5"/>
        <v>434.31655801677982</v>
      </c>
      <c r="O15" s="2">
        <f t="shared" si="3"/>
        <v>1.0454804638475463E-5</v>
      </c>
      <c r="P15" s="2">
        <f t="shared" si="4"/>
        <v>1.6573535893419924</v>
      </c>
    </row>
    <row r="16" spans="1:23" x14ac:dyDescent="0.25">
      <c r="A16" s="1">
        <v>44336.333425925928</v>
      </c>
      <c r="B16">
        <v>615492956.4127779</v>
      </c>
      <c r="C16">
        <v>615506102.56020689</v>
      </c>
      <c r="D16">
        <v>243228.23860237771</v>
      </c>
      <c r="E16">
        <v>1846478.8692383347</v>
      </c>
      <c r="F16">
        <v>5.6002302417163643E+18</v>
      </c>
      <c r="G16">
        <v>1203</v>
      </c>
      <c r="H16">
        <v>3.6383622961006027E-4</v>
      </c>
      <c r="I16">
        <v>2748.4893438780005</v>
      </c>
      <c r="J16">
        <v>16</v>
      </c>
      <c r="K16">
        <f t="shared" si="0"/>
        <v>36.383622961006026</v>
      </c>
      <c r="L16">
        <f t="shared" si="1"/>
        <v>3.6383622961006029E-9</v>
      </c>
      <c r="M16">
        <f t="shared" si="8"/>
        <v>52.592348497666144</v>
      </c>
      <c r="N16">
        <f t="shared" si="5"/>
        <v>729.6847158071331</v>
      </c>
      <c r="O16" s="2">
        <f t="shared" si="3"/>
        <v>9.3911046917148873E-6</v>
      </c>
      <c r="P16" s="2">
        <f t="shared" si="4"/>
        <v>2.5011791287024892</v>
      </c>
      <c r="T16" t="s">
        <v>45</v>
      </c>
      <c r="U16">
        <v>99999</v>
      </c>
    </row>
    <row r="17" spans="1:21" x14ac:dyDescent="0.25">
      <c r="A17" s="1">
        <v>44337.333587962959</v>
      </c>
      <c r="B17">
        <v>481295941.29200411</v>
      </c>
      <c r="C17">
        <v>481333967.37064505</v>
      </c>
      <c r="D17">
        <v>172718.41543466854</v>
      </c>
      <c r="E17">
        <v>1443887.8238760121</v>
      </c>
      <c r="F17">
        <v>9.373822995145087E+18</v>
      </c>
      <c r="G17">
        <v>1298</v>
      </c>
      <c r="H17">
        <v>3.6933463307508272E-4</v>
      </c>
      <c r="I17">
        <v>2707.5716990686551</v>
      </c>
      <c r="J17">
        <v>17</v>
      </c>
      <c r="K17">
        <f t="shared" si="0"/>
        <v>36.933463307508269</v>
      </c>
      <c r="L17">
        <f t="shared" si="1"/>
        <v>3.6933463307508271E-9</v>
      </c>
      <c r="M17">
        <f t="shared" si="8"/>
        <v>52.199400926225657</v>
      </c>
      <c r="N17">
        <f t="shared" si="5"/>
        <v>518.15524630400557</v>
      </c>
      <c r="O17" s="2">
        <f t="shared" si="3"/>
        <v>5.5686352252715779E-6</v>
      </c>
      <c r="P17" s="2">
        <f t="shared" si="4"/>
        <v>1.0531774082056309</v>
      </c>
      <c r="T17" t="s">
        <v>46</v>
      </c>
      <c r="U17">
        <v>2.3E-3</v>
      </c>
    </row>
    <row r="18" spans="1:21" x14ac:dyDescent="0.25">
      <c r="A18" s="1">
        <v>44338.333472222221</v>
      </c>
      <c r="B18">
        <v>622116407.39338446</v>
      </c>
      <c r="C18">
        <v>621933817.89913416</v>
      </c>
      <c r="D18">
        <v>261856.84214520571</v>
      </c>
      <c r="E18">
        <v>1866349.2221801523</v>
      </c>
      <c r="F18">
        <v>6.6524521355813878E+18</v>
      </c>
      <c r="G18">
        <v>1335</v>
      </c>
      <c r="H18">
        <v>4.1314453406815244E-4</v>
      </c>
      <c r="I18">
        <v>2420.4604382713187</v>
      </c>
      <c r="J18">
        <v>18</v>
      </c>
      <c r="K18">
        <f t="shared" si="0"/>
        <v>41.314453406815247</v>
      </c>
      <c r="L18">
        <f t="shared" si="1"/>
        <v>4.1314453406815246E-9</v>
      </c>
      <c r="M18">
        <f t="shared" si="8"/>
        <v>49.35424698451552</v>
      </c>
      <c r="N18">
        <f t="shared" si="5"/>
        <v>785.57052643561713</v>
      </c>
      <c r="O18" s="2">
        <f t="shared" si="3"/>
        <v>7.4189555939138264E-6</v>
      </c>
      <c r="P18" s="2">
        <f t="shared" si="4"/>
        <v>2.1272611908023733</v>
      </c>
    </row>
    <row r="19" spans="1:21" x14ac:dyDescent="0.25">
      <c r="A19" s="1">
        <v>44339.333414351851</v>
      </c>
      <c r="B19">
        <v>384367178.35334492</v>
      </c>
      <c r="C19">
        <v>384266474.58577824</v>
      </c>
      <c r="D19">
        <v>173357.4158364404</v>
      </c>
      <c r="E19">
        <v>1153101.5350600369</v>
      </c>
      <c r="F19">
        <v>5.9765674919865743E+18</v>
      </c>
      <c r="G19">
        <v>1398</v>
      </c>
      <c r="H19">
        <v>4.70780032953669E-4</v>
      </c>
      <c r="I19">
        <v>2124.1342665405973</v>
      </c>
      <c r="J19">
        <v>19</v>
      </c>
      <c r="K19">
        <f t="shared" si="0"/>
        <v>47.078003295366898</v>
      </c>
      <c r="L19">
        <f t="shared" si="1"/>
        <v>4.7078003295366898E-9</v>
      </c>
      <c r="M19">
        <f t="shared" si="8"/>
        <v>46.234537577392921</v>
      </c>
      <c r="N19">
        <f t="shared" si="5"/>
        <v>520.07224750932119</v>
      </c>
      <c r="O19" s="2">
        <f t="shared" si="3"/>
        <v>7.7359684533613196E-6</v>
      </c>
      <c r="P19" s="2">
        <f t="shared" si="4"/>
        <v>1.4684908125733027</v>
      </c>
      <c r="T19" t="s">
        <v>47</v>
      </c>
      <c r="U19">
        <v>6</v>
      </c>
    </row>
    <row r="20" spans="1:21" x14ac:dyDescent="0.25">
      <c r="A20" s="1">
        <v>44340.333333333336</v>
      </c>
      <c r="B20">
        <v>606501969.12465954</v>
      </c>
      <c r="C20">
        <v>606349923.93057823</v>
      </c>
      <c r="D20">
        <v>300047.91478776676</v>
      </c>
      <c r="E20">
        <v>1819505.9073739778</v>
      </c>
      <c r="F20">
        <v>9.4386727066014556E+18</v>
      </c>
      <c r="G20">
        <v>1454</v>
      </c>
      <c r="H20">
        <v>4.2254517672382359E-4</v>
      </c>
      <c r="I20">
        <v>2366.6108503555397</v>
      </c>
      <c r="J20">
        <v>20</v>
      </c>
      <c r="K20">
        <f t="shared" si="0"/>
        <v>42.254517672382356</v>
      </c>
      <c r="L20">
        <f t="shared" si="1"/>
        <v>4.2254517672382362E-9</v>
      </c>
      <c r="M20">
        <f t="shared" si="8"/>
        <v>48.802150674625707</v>
      </c>
      <c r="N20">
        <f t="shared" si="5"/>
        <v>900.14374436330024</v>
      </c>
      <c r="O20" s="2">
        <f t="shared" si="3"/>
        <v>5.1704463319819569E-6</v>
      </c>
      <c r="P20" s="2">
        <f t="shared" si="4"/>
        <v>1.6987628962744015</v>
      </c>
      <c r="T20" t="s">
        <v>48</v>
      </c>
      <c r="U20">
        <v>18</v>
      </c>
    </row>
    <row r="21" spans="1:21" x14ac:dyDescent="0.25">
      <c r="A21" s="1">
        <v>44341.333622685182</v>
      </c>
      <c r="B21">
        <v>660173524.29438114</v>
      </c>
      <c r="C21">
        <v>660232450.7918911</v>
      </c>
      <c r="D21">
        <v>258885.4448616528</v>
      </c>
      <c r="E21">
        <v>1980520.5728831422</v>
      </c>
      <c r="F21">
        <v>9.147909554373804E+18</v>
      </c>
      <c r="G21">
        <v>1513</v>
      </c>
      <c r="H21">
        <v>4.1455154569899417E-4</v>
      </c>
      <c r="I21">
        <v>2412.2452572546908</v>
      </c>
      <c r="J21">
        <v>21</v>
      </c>
      <c r="K21">
        <f t="shared" si="0"/>
        <v>41.455154569899413</v>
      </c>
      <c r="L21">
        <f t="shared" si="1"/>
        <v>4.1455154569899415E-9</v>
      </c>
      <c r="M21">
        <f t="shared" si="8"/>
        <v>49.27042022883937</v>
      </c>
      <c r="N21">
        <f t="shared" si="5"/>
        <v>776.65633458495836</v>
      </c>
      <c r="O21" s="2">
        <f t="shared" si="3"/>
        <v>5.3859758818103054E-6</v>
      </c>
      <c r="P21" s="2">
        <f t="shared" si="4"/>
        <v>1.5268140845833698</v>
      </c>
      <c r="T21" t="s">
        <v>49</v>
      </c>
      <c r="U21">
        <f>AVERAGE(U19:U20)</f>
        <v>12</v>
      </c>
    </row>
    <row r="22" spans="1:21" x14ac:dyDescent="0.25">
      <c r="A22" s="1">
        <v>44342.333564814813</v>
      </c>
      <c r="B22">
        <v>440156335.96854782</v>
      </c>
      <c r="C22">
        <v>440246043.89272499</v>
      </c>
      <c r="D22">
        <v>164009.71394453896</v>
      </c>
      <c r="E22">
        <v>1320469.0079056472</v>
      </c>
      <c r="F22">
        <v>1.9758674328809378E+19</v>
      </c>
      <c r="G22">
        <v>1590</v>
      </c>
      <c r="H22">
        <v>3.5336633946024933E-4</v>
      </c>
      <c r="I22">
        <v>2829.9243259203849</v>
      </c>
      <c r="J22">
        <v>22</v>
      </c>
      <c r="K22">
        <f t="shared" si="0"/>
        <v>35.336633946024932</v>
      </c>
      <c r="L22">
        <f t="shared" si="1"/>
        <v>3.5336633946024933E-9</v>
      </c>
      <c r="M22">
        <f t="shared" si="8"/>
        <v>53.365790502740829</v>
      </c>
      <c r="N22">
        <f t="shared" si="5"/>
        <v>492.0291418336169</v>
      </c>
      <c r="O22" s="2">
        <f t="shared" si="3"/>
        <v>2.7008790981958836E-6</v>
      </c>
      <c r="P22" s="2">
        <f t="shared" si="4"/>
        <v>0.48505259708181092</v>
      </c>
    </row>
    <row r="23" spans="1:21" x14ac:dyDescent="0.25">
      <c r="A23" s="1">
        <v>44343.333344907405</v>
      </c>
      <c r="B23">
        <v>495333469.49500084</v>
      </c>
      <c r="C23">
        <v>495365661.73082161</v>
      </c>
      <c r="D23">
        <v>179988.73427077197</v>
      </c>
      <c r="E23">
        <v>1486000.4084849991</v>
      </c>
      <c r="F23">
        <v>1.6083178375980521E+19</v>
      </c>
      <c r="G23">
        <v>1681</v>
      </c>
      <c r="H23">
        <v>3.5333100635961338E-4</v>
      </c>
      <c r="I23">
        <v>2830.2073183529769</v>
      </c>
      <c r="J23">
        <v>23</v>
      </c>
      <c r="K23">
        <f t="shared" si="0"/>
        <v>35.333100635961337</v>
      </c>
      <c r="L23">
        <f t="shared" si="1"/>
        <v>3.5333100635961337E-9</v>
      </c>
      <c r="M23">
        <f t="shared" si="8"/>
        <v>53.368458725562064</v>
      </c>
      <c r="N23">
        <f t="shared" si="5"/>
        <v>539.96620281231594</v>
      </c>
      <c r="O23" s="2">
        <f t="shared" si="3"/>
        <v>3.3182781088385722E-6</v>
      </c>
      <c r="P23" s="2">
        <f t="shared" si="4"/>
        <v>0.65399168106125083</v>
      </c>
    </row>
    <row r="24" spans="1:21" x14ac:dyDescent="0.25">
      <c r="A24" s="1">
        <v>44344.333784722221</v>
      </c>
      <c r="B24">
        <v>400898346.74466419</v>
      </c>
      <c r="C24">
        <v>400718084.72999477</v>
      </c>
      <c r="D24">
        <v>150401.07115596393</v>
      </c>
      <c r="E24">
        <v>1202695.040233992</v>
      </c>
      <c r="F24">
        <v>1.522328558564427E+19</v>
      </c>
      <c r="G24">
        <v>1789</v>
      </c>
      <c r="H24">
        <v>4.1104296557565434E-4</v>
      </c>
      <c r="I24">
        <v>2432.8356978437218</v>
      </c>
      <c r="J24">
        <v>24</v>
      </c>
      <c r="K24">
        <f t="shared" si="0"/>
        <v>41.104296557565434</v>
      </c>
      <c r="L24">
        <f t="shared" si="1"/>
        <v>4.1104296557565432E-9</v>
      </c>
      <c r="M24">
        <f t="shared" si="8"/>
        <v>49.480254605489755</v>
      </c>
      <c r="N24">
        <f t="shared" si="5"/>
        <v>451.20321346789183</v>
      </c>
      <c r="O24" s="2">
        <f t="shared" si="3"/>
        <v>3.2503006218414633E-6</v>
      </c>
      <c r="P24" s="2">
        <f t="shared" si="4"/>
        <v>0.53528932113871774</v>
      </c>
    </row>
    <row r="25" spans="1:21" x14ac:dyDescent="0.25">
      <c r="A25" s="1">
        <v>44345.333518518521</v>
      </c>
      <c r="B25">
        <v>585392645.46136951</v>
      </c>
      <c r="C25">
        <v>585451898.91817188</v>
      </c>
      <c r="D25">
        <v>235820.33119766694</v>
      </c>
      <c r="E25">
        <v>1756177.9363841079</v>
      </c>
      <c r="F25">
        <v>2.400019929869276E+19</v>
      </c>
      <c r="G25">
        <v>1913</v>
      </c>
      <c r="H25">
        <v>4.0829831976650334E-4</v>
      </c>
      <c r="I25">
        <v>2449.1896037482534</v>
      </c>
      <c r="J25">
        <v>25</v>
      </c>
      <c r="K25">
        <f t="shared" si="0"/>
        <v>40.829831976650333</v>
      </c>
      <c r="L25">
        <f t="shared" si="1"/>
        <v>4.0829831976650334E-9</v>
      </c>
      <c r="M25">
        <f t="shared" si="8"/>
        <v>49.646283099595955</v>
      </c>
      <c r="N25">
        <f t="shared" si="5"/>
        <v>707.46099359300081</v>
      </c>
      <c r="O25" s="2">
        <f t="shared" si="3"/>
        <v>2.0685779514464318E-6</v>
      </c>
      <c r="P25" s="2">
        <f t="shared" si="4"/>
        <v>0.53415494769202643</v>
      </c>
    </row>
    <row r="26" spans="1:21" x14ac:dyDescent="0.25">
      <c r="A26" s="1">
        <v>44346.333495370367</v>
      </c>
      <c r="B26">
        <v>679971497.36489868</v>
      </c>
      <c r="C26">
        <v>679984203.9374361</v>
      </c>
      <c r="D26">
        <v>293807.78528561769</v>
      </c>
      <c r="E26">
        <v>2039914.4920946993</v>
      </c>
      <c r="F26">
        <v>2.8588635676345823E+19</v>
      </c>
      <c r="G26">
        <v>2024</v>
      </c>
      <c r="H26">
        <v>4.0829831976650334E-4</v>
      </c>
      <c r="I26">
        <v>2449.1896037482534</v>
      </c>
      <c r="J26">
        <v>26</v>
      </c>
      <c r="K26">
        <f t="shared" si="0"/>
        <v>40.829831976650333</v>
      </c>
      <c r="L26">
        <f t="shared" si="1"/>
        <v>4.0829831976650334E-9</v>
      </c>
      <c r="M26">
        <f t="shared" si="8"/>
        <v>49.646283099595955</v>
      </c>
      <c r="N26">
        <f t="shared" si="5"/>
        <v>881.42335585685305</v>
      </c>
      <c r="O26" s="2">
        <f t="shared" si="3"/>
        <v>1.7365740590647769E-6</v>
      </c>
      <c r="P26" s="2">
        <f t="shared" si="4"/>
        <v>0.55868978121471391</v>
      </c>
    </row>
    <row r="27" spans="1:21" x14ac:dyDescent="0.25">
      <c r="A27" s="1">
        <v>44347.334201388891</v>
      </c>
      <c r="B27">
        <v>368412791.65792847</v>
      </c>
      <c r="C27">
        <v>368445816.97012901</v>
      </c>
      <c r="D27">
        <v>153311.33695291029</v>
      </c>
      <c r="E27">
        <v>1105238.3749737851</v>
      </c>
      <c r="F27">
        <v>4.5928168374902079E+19</v>
      </c>
      <c r="G27">
        <v>2175</v>
      </c>
      <c r="H27">
        <v>3.9045015534677844E-4</v>
      </c>
      <c r="I27">
        <v>2561.146375039471</v>
      </c>
      <c r="J27">
        <v>27</v>
      </c>
      <c r="K27">
        <f t="shared" si="0"/>
        <v>39.045015534677844</v>
      </c>
      <c r="L27">
        <f t="shared" si="1"/>
        <v>3.9045015534677843E-9</v>
      </c>
      <c r="M27">
        <f t="shared" si="8"/>
        <v>50.768313411131039</v>
      </c>
      <c r="N27">
        <f t="shared" si="5"/>
        <v>459.93401085873091</v>
      </c>
      <c r="O27" s="2">
        <f t="shared" si="3"/>
        <v>1.1053851091277986E-6</v>
      </c>
      <c r="P27" s="2">
        <f t="shared" si="4"/>
        <v>0.18556753547640248</v>
      </c>
    </row>
    <row r="28" spans="1:21" x14ac:dyDescent="0.25">
      <c r="A28" s="1">
        <v>44348.333333333336</v>
      </c>
      <c r="B28">
        <v>392363469.72348976</v>
      </c>
      <c r="C28">
        <v>392393629.74754524</v>
      </c>
      <c r="D28">
        <v>149695.12792430958</v>
      </c>
      <c r="E28">
        <v>1177090.4091704711</v>
      </c>
      <c r="F28">
        <v>2.9287787332528484E+19</v>
      </c>
      <c r="G28">
        <v>2252</v>
      </c>
      <c r="H28">
        <v>3.8122948357313007E-4</v>
      </c>
      <c r="I28">
        <v>2623.0919776386422</v>
      </c>
      <c r="J28">
        <v>28</v>
      </c>
      <c r="K28">
        <f t="shared" si="0"/>
        <v>38.122948357313007</v>
      </c>
      <c r="L28">
        <f t="shared" si="1"/>
        <v>3.8122948357313009E-9</v>
      </c>
      <c r="M28">
        <f t="shared" si="8"/>
        <v>51.378603463263055</v>
      </c>
      <c r="N28">
        <f t="shared" si="5"/>
        <v>449.08538377292876</v>
      </c>
      <c r="O28" s="2">
        <f t="shared" si="3"/>
        <v>1.754267158523082E-6</v>
      </c>
      <c r="P28" s="2">
        <f t="shared" si="4"/>
        <v>0.28755274514583801</v>
      </c>
    </row>
    <row r="29" spans="1:21" x14ac:dyDescent="0.25">
      <c r="A29" s="1">
        <v>44349.333449074074</v>
      </c>
      <c r="B29">
        <v>357105500.55193329</v>
      </c>
      <c r="C29">
        <v>357160692.63391304</v>
      </c>
      <c r="D29">
        <v>136898.36455391161</v>
      </c>
      <c r="E29">
        <v>1071316.5016557947</v>
      </c>
      <c r="F29">
        <v>3.3254379491878916E+19</v>
      </c>
      <c r="G29">
        <v>2361</v>
      </c>
      <c r="H29">
        <v>3.7126007871661135E-4</v>
      </c>
      <c r="I29">
        <v>2693.5295695051441</v>
      </c>
      <c r="J29">
        <v>29</v>
      </c>
      <c r="K29">
        <f t="shared" si="0"/>
        <v>37.126007871661137</v>
      </c>
      <c r="L29">
        <f t="shared" si="1"/>
        <v>3.7126007871661133E-9</v>
      </c>
      <c r="M29">
        <f t="shared" si="8"/>
        <v>52.063865532833397</v>
      </c>
      <c r="N29">
        <f t="shared" si="5"/>
        <v>410.69509366173486</v>
      </c>
      <c r="O29" s="2">
        <f t="shared" si="3"/>
        <v>1.5656243276332358E-6</v>
      </c>
      <c r="P29" s="2">
        <f t="shared" si="4"/>
        <v>0.23469289390489423</v>
      </c>
    </row>
    <row r="30" spans="1:21" x14ac:dyDescent="0.25">
      <c r="A30" s="1">
        <v>44350.333344907405</v>
      </c>
      <c r="B30">
        <v>336044755.63575745</v>
      </c>
      <c r="C30">
        <v>335822922.03004646</v>
      </c>
      <c r="D30">
        <v>121245.72621544497</v>
      </c>
      <c r="E30">
        <v>1008134.2669072747</v>
      </c>
      <c r="F30">
        <v>2.9448394166377357E+19</v>
      </c>
      <c r="G30">
        <v>2380</v>
      </c>
      <c r="H30">
        <v>3.5513750682933458E-4</v>
      </c>
      <c r="I30">
        <v>2815.81072336739</v>
      </c>
      <c r="J30">
        <v>30</v>
      </c>
      <c r="K30">
        <f t="shared" si="0"/>
        <v>35.513750682933455</v>
      </c>
      <c r="L30">
        <f t="shared" si="1"/>
        <v>3.5513750682933456E-9</v>
      </c>
      <c r="M30">
        <f t="shared" si="8"/>
        <v>53.232549309317378</v>
      </c>
      <c r="N30">
        <f t="shared" si="5"/>
        <v>363.73717864633494</v>
      </c>
      <c r="O30" s="2">
        <f t="shared" si="3"/>
        <v>1.8076554194624144E-6</v>
      </c>
      <c r="P30" s="2">
        <f t="shared" si="4"/>
        <v>0.23999169101760576</v>
      </c>
    </row>
    <row r="31" spans="1:21" x14ac:dyDescent="0.25">
      <c r="A31" s="1">
        <v>44351.333784722221</v>
      </c>
      <c r="B31">
        <v>361715598.8441391</v>
      </c>
      <c r="C31">
        <v>361616378.33635139</v>
      </c>
      <c r="D31">
        <v>132598.96068852814</v>
      </c>
      <c r="E31">
        <v>1085146.7965324186</v>
      </c>
      <c r="F31">
        <v>3.4253858419204764E+19</v>
      </c>
      <c r="G31">
        <v>2448</v>
      </c>
      <c r="H31">
        <v>3.8153457392559547E-4</v>
      </c>
      <c r="I31">
        <v>2620.9944480549589</v>
      </c>
      <c r="J31">
        <v>31</v>
      </c>
      <c r="K31">
        <f t="shared" si="0"/>
        <v>38.153457392559545</v>
      </c>
      <c r="L31">
        <f t="shared" si="1"/>
        <v>3.8153457392559545E-9</v>
      </c>
      <c r="M31">
        <f t="shared" si="8"/>
        <v>51.3580571587107</v>
      </c>
      <c r="N31">
        <f t="shared" si="5"/>
        <v>397.79688206558444</v>
      </c>
      <c r="O31" s="2">
        <f t="shared" si="3"/>
        <v>1.4993364113958122E-6</v>
      </c>
      <c r="P31" s="2">
        <f t="shared" si="4"/>
        <v>0.21769744261153962</v>
      </c>
    </row>
    <row r="32" spans="1:21" x14ac:dyDescent="0.25">
      <c r="A32" s="1">
        <v>44352.333553240744</v>
      </c>
      <c r="B32">
        <v>352031038.60800743</v>
      </c>
      <c r="C32">
        <v>352037439.07209206</v>
      </c>
      <c r="D32">
        <v>131282.31181254843</v>
      </c>
      <c r="E32">
        <v>1056093.1158240214</v>
      </c>
      <c r="F32">
        <v>3.0344993986632741E+19</v>
      </c>
      <c r="G32">
        <v>2535</v>
      </c>
      <c r="H32">
        <v>3.7845677965771252E-4</v>
      </c>
      <c r="I32">
        <v>2642.3096473643027</v>
      </c>
      <c r="J32">
        <v>32</v>
      </c>
      <c r="K32">
        <f t="shared" si="0"/>
        <v>37.845677965771252</v>
      </c>
      <c r="L32">
        <f t="shared" si="1"/>
        <v>3.784567796577125E-9</v>
      </c>
      <c r="M32">
        <f t="shared" si="8"/>
        <v>51.566468618151426</v>
      </c>
      <c r="N32">
        <f t="shared" si="5"/>
        <v>393.8469354376453</v>
      </c>
      <c r="O32" s="2">
        <f t="shared" si="3"/>
        <v>1.6993402154196157E-6</v>
      </c>
      <c r="P32" s="2">
        <f t="shared" si="4"/>
        <v>0.24428717667977173</v>
      </c>
    </row>
    <row r="33" spans="1:16" x14ac:dyDescent="0.25">
      <c r="A33" s="1">
        <v>44353.333333333336</v>
      </c>
      <c r="B33">
        <v>282778764.80604553</v>
      </c>
      <c r="C33">
        <v>282799462.9762001</v>
      </c>
      <c r="D33">
        <v>107273.6415780778</v>
      </c>
      <c r="E33">
        <v>848336.29441813752</v>
      </c>
      <c r="F33">
        <v>3.4128195276243714E+19</v>
      </c>
      <c r="G33">
        <v>2628</v>
      </c>
      <c r="H33">
        <v>3.7014802299989582E-4</v>
      </c>
      <c r="I33">
        <v>2701.6218860104013</v>
      </c>
      <c r="J33">
        <v>33</v>
      </c>
      <c r="K33">
        <f t="shared" si="0"/>
        <v>37.014802299989583</v>
      </c>
      <c r="L33">
        <f t="shared" si="1"/>
        <v>3.7014802299989581E-9</v>
      </c>
      <c r="M33">
        <f t="shared" si="8"/>
        <v>52.142016021887613</v>
      </c>
      <c r="N33">
        <f t="shared" si="5"/>
        <v>321.82092473423342</v>
      </c>
      <c r="O33" s="2">
        <f t="shared" si="3"/>
        <v>1.527828108103423E-6</v>
      </c>
      <c r="P33" s="2">
        <f t="shared" si="4"/>
        <v>0.17946577492345125</v>
      </c>
    </row>
    <row r="34" spans="1:16" x14ac:dyDescent="0.25">
      <c r="A34" s="1">
        <v>44354.333599537036</v>
      </c>
      <c r="B34">
        <v>223429214.39433098</v>
      </c>
      <c r="C34">
        <v>223492733.25137901</v>
      </c>
      <c r="D34">
        <v>81569.527451651171</v>
      </c>
      <c r="E34">
        <v>670287.64318299666</v>
      </c>
      <c r="F34">
        <v>4.7782734790696518E+19</v>
      </c>
      <c r="G34">
        <v>2691</v>
      </c>
      <c r="H34">
        <v>3.5577729799191363E-4</v>
      </c>
      <c r="I34">
        <v>2810.7470758933268</v>
      </c>
      <c r="J34">
        <v>34</v>
      </c>
      <c r="K34">
        <f t="shared" si="0"/>
        <v>35.577729799191367</v>
      </c>
      <c r="L34">
        <f t="shared" si="1"/>
        <v>3.5577729799191363E-9</v>
      </c>
      <c r="M34">
        <f t="shared" si="8"/>
        <v>53.184663960805466</v>
      </c>
      <c r="N34">
        <f t="shared" si="5"/>
        <v>244.70858235495351</v>
      </c>
      <c r="O34" s="2">
        <f t="shared" si="3"/>
        <v>1.1130519044958624E-6</v>
      </c>
      <c r="P34" s="2">
        <f t="shared" si="4"/>
        <v>9.9416274077382211E-2</v>
      </c>
    </row>
    <row r="35" spans="1:16" x14ac:dyDescent="0.25">
      <c r="A35" s="1">
        <v>44355.333460648151</v>
      </c>
      <c r="B35">
        <v>450709146.40202713</v>
      </c>
      <c r="C35">
        <v>450561363.25799179</v>
      </c>
      <c r="D35">
        <v>173676.70553220063</v>
      </c>
      <c r="E35">
        <v>1352127.4392060786</v>
      </c>
      <c r="F35">
        <v>3.0337664582030828E+19</v>
      </c>
      <c r="G35">
        <v>2664</v>
      </c>
      <c r="H35">
        <v>3.9551933481040595E-4</v>
      </c>
      <c r="I35">
        <v>2528.3214042604382</v>
      </c>
      <c r="J35">
        <v>35</v>
      </c>
      <c r="K35">
        <f t="shared" si="0"/>
        <v>39.551933481040592</v>
      </c>
      <c r="L35">
        <f t="shared" si="1"/>
        <v>3.95519334810406E-9</v>
      </c>
      <c r="M35">
        <f t="shared" si="8"/>
        <v>50.44192783360436</v>
      </c>
      <c r="N35">
        <f t="shared" si="5"/>
        <v>521.03011659660194</v>
      </c>
      <c r="O35" s="2">
        <f t="shared" si="3"/>
        <v>1.6626832858941094E-6</v>
      </c>
      <c r="P35" s="2">
        <f t="shared" si="4"/>
        <v>0.31620244420410965</v>
      </c>
    </row>
    <row r="36" spans="1:16" x14ac:dyDescent="0.25">
      <c r="A36" s="1">
        <v>44356.333391203705</v>
      </c>
      <c r="B36">
        <v>450593941.94587517</v>
      </c>
      <c r="C36">
        <v>450600959.6067791</v>
      </c>
      <c r="D36">
        <v>183706.02617371641</v>
      </c>
      <c r="E36">
        <v>1351781.8258376196</v>
      </c>
      <c r="F36">
        <v>3.4374629162596762E+19</v>
      </c>
      <c r="G36">
        <v>2703</v>
      </c>
      <c r="H36">
        <v>3.9488704145841419E-4</v>
      </c>
      <c r="I36">
        <v>2532.3697539092595</v>
      </c>
      <c r="J36">
        <v>36</v>
      </c>
      <c r="K36">
        <f t="shared" si="0"/>
        <v>39.488704145841417</v>
      </c>
      <c r="L36">
        <f t="shared" si="1"/>
        <v>3.9488704145841417E-9</v>
      </c>
      <c r="M36">
        <f t="shared" si="8"/>
        <v>50.482295502436131</v>
      </c>
      <c r="N36">
        <f t="shared" si="5"/>
        <v>551.1180785211493</v>
      </c>
      <c r="O36" s="2">
        <f t="shared" si="3"/>
        <v>1.468591712325037E-6</v>
      </c>
      <c r="P36" s="2">
        <f t="shared" si="4"/>
        <v>0.29541911655946046</v>
      </c>
    </row>
    <row r="37" spans="1:16" x14ac:dyDescent="0.25">
      <c r="A37" s="1">
        <v>44357.333402777775</v>
      </c>
      <c r="B37">
        <v>315433051.8456192</v>
      </c>
      <c r="C37">
        <v>315455546.53181076</v>
      </c>
      <c r="D37">
        <v>123467.94832591806</v>
      </c>
      <c r="E37">
        <v>946299.15553686023</v>
      </c>
      <c r="F37">
        <v>3.6611005278823911E+19</v>
      </c>
      <c r="G37">
        <v>2754</v>
      </c>
      <c r="H37">
        <v>3.8959215205413119E-4</v>
      </c>
      <c r="I37">
        <v>2566.7868172587232</v>
      </c>
      <c r="J37">
        <v>37</v>
      </c>
      <c r="K37">
        <f t="shared" si="0"/>
        <v>38.959215205413116</v>
      </c>
      <c r="L37">
        <f t="shared" si="1"/>
        <v>3.895921520541312E-9</v>
      </c>
      <c r="M37">
        <f t="shared" si="8"/>
        <v>50.824186486834108</v>
      </c>
      <c r="N37">
        <f t="shared" si="5"/>
        <v>370.4038449777542</v>
      </c>
      <c r="O37" s="2">
        <f t="shared" si="3"/>
        <v>1.3882215497707519E-6</v>
      </c>
      <c r="P37" s="2">
        <f t="shared" si="4"/>
        <v>0.18768394889636311</v>
      </c>
    </row>
    <row r="38" spans="1:16" x14ac:dyDescent="0.25">
      <c r="A38" s="1">
        <v>44358.333391203705</v>
      </c>
      <c r="B38">
        <v>264761866.17730904</v>
      </c>
      <c r="C38">
        <v>264694724.46251869</v>
      </c>
      <c r="D38">
        <v>106979.2917815689</v>
      </c>
      <c r="E38">
        <v>794285.59853192419</v>
      </c>
      <c r="F38">
        <v>3.501047744897321E+19</v>
      </c>
      <c r="G38">
        <v>2798</v>
      </c>
      <c r="H38">
        <v>4.0524768906149495E-4</v>
      </c>
      <c r="I38">
        <v>2467.6266564675052</v>
      </c>
      <c r="J38">
        <v>38</v>
      </c>
      <c r="K38">
        <f t="shared" si="0"/>
        <v>40.524768906149497</v>
      </c>
      <c r="L38">
        <f t="shared" si="1"/>
        <v>4.0524768906149497E-9</v>
      </c>
      <c r="M38">
        <f t="shared" si="8"/>
        <v>49.832796830373709</v>
      </c>
      <c r="N38">
        <f t="shared" si="5"/>
        <v>320.9378753447067</v>
      </c>
      <c r="O38" s="2">
        <f t="shared" si="3"/>
        <v>1.4233681018204797E-6</v>
      </c>
      <c r="P38" s="2">
        <f t="shared" si="4"/>
        <v>0.16673664806756791</v>
      </c>
    </row>
    <row r="39" spans="1:16" x14ac:dyDescent="0.25">
      <c r="A39" s="1">
        <v>44359.333506944444</v>
      </c>
      <c r="B39">
        <v>237937960.86042976</v>
      </c>
      <c r="C39">
        <v>237870727.45620537</v>
      </c>
      <c r="D39">
        <v>101314.11303921696</v>
      </c>
      <c r="E39">
        <v>713813.88258129358</v>
      </c>
      <c r="F39">
        <v>2.4734164071273316E+19</v>
      </c>
      <c r="G39">
        <v>2803</v>
      </c>
      <c r="H39">
        <v>4.1963979536328546E-4</v>
      </c>
      <c r="I39">
        <v>2382.9961101146096</v>
      </c>
      <c r="J39">
        <v>39</v>
      </c>
      <c r="K39">
        <f t="shared" si="0"/>
        <v>41.963979536328544</v>
      </c>
      <c r="L39">
        <f t="shared" si="1"/>
        <v>4.1963979536328543E-9</v>
      </c>
      <c r="M39">
        <f t="shared" si="8"/>
        <v>48.970800415638813</v>
      </c>
      <c r="N39">
        <f t="shared" si="5"/>
        <v>303.94233911765087</v>
      </c>
      <c r="O39" s="2">
        <f t="shared" si="3"/>
        <v>1.9798849993282911E-6</v>
      </c>
      <c r="P39" s="2">
        <f t="shared" si="4"/>
        <v>0.21964637042612314</v>
      </c>
    </row>
    <row r="40" spans="1:16" x14ac:dyDescent="0.25">
      <c r="A40" s="1">
        <v>44360.333437499998</v>
      </c>
      <c r="B40">
        <v>129846468.40104103</v>
      </c>
      <c r="C40">
        <v>129838851.72254944</v>
      </c>
      <c r="D40">
        <v>54486.967467429116</v>
      </c>
      <c r="E40">
        <v>389539.40520312637</v>
      </c>
      <c r="F40">
        <v>2.5009963697408381E+19</v>
      </c>
      <c r="G40">
        <v>2839</v>
      </c>
      <c r="H40">
        <v>4.2368753307123468E-4</v>
      </c>
      <c r="I40">
        <v>2360.2299382074802</v>
      </c>
      <c r="J40">
        <v>40</v>
      </c>
      <c r="K40">
        <f t="shared" si="0"/>
        <v>42.36875330712347</v>
      </c>
      <c r="L40">
        <f t="shared" si="1"/>
        <v>4.2368753307123469E-9</v>
      </c>
      <c r="M40">
        <f t="shared" si="8"/>
        <v>48.736315511651483</v>
      </c>
      <c r="N40">
        <f t="shared" si="5"/>
        <v>163.46090240228736</v>
      </c>
      <c r="O40" s="2">
        <f t="shared" si="3"/>
        <v>1.9486759797536894E-6</v>
      </c>
      <c r="P40" s="2">
        <f t="shared" si="4"/>
        <v>0.11626430196117282</v>
      </c>
    </row>
    <row r="41" spans="1:16" x14ac:dyDescent="0.25">
      <c r="A41" s="1">
        <v>44361.333425925928</v>
      </c>
      <c r="B41">
        <v>183474335.01193428</v>
      </c>
      <c r="C41">
        <v>183579061.02855301</v>
      </c>
      <c r="D41">
        <v>74603.969583357684</v>
      </c>
      <c r="E41">
        <v>550423.00503579527</v>
      </c>
      <c r="F41">
        <v>3.1298602038266909E+19</v>
      </c>
      <c r="G41">
        <v>2852</v>
      </c>
      <c r="H41">
        <v>4.0230029935899004E-4</v>
      </c>
      <c r="I41">
        <v>2485.7053340337102</v>
      </c>
      <c r="J41">
        <v>41</v>
      </c>
      <c r="K41">
        <f t="shared" si="0"/>
        <v>40.230029935899005</v>
      </c>
      <c r="L41">
        <f t="shared" si="1"/>
        <v>4.0230029935899003E-9</v>
      </c>
      <c r="M41">
        <f t="shared" si="8"/>
        <v>50.015009764630534</v>
      </c>
      <c r="N41">
        <f t="shared" si="5"/>
        <v>223.81190875007306</v>
      </c>
      <c r="O41" s="2">
        <f t="shared" si="3"/>
        <v>1.597995006405724E-6</v>
      </c>
      <c r="P41" s="2">
        <f t="shared" si="4"/>
        <v>0.13054236408321387</v>
      </c>
    </row>
    <row r="42" spans="1:16" x14ac:dyDescent="0.25">
      <c r="A42" s="1">
        <v>44362.333472222221</v>
      </c>
      <c r="B42">
        <v>218406156.14738083</v>
      </c>
      <c r="C42">
        <v>218441388.81687355</v>
      </c>
      <c r="D42">
        <v>85064.889076881111</v>
      </c>
      <c r="E42">
        <v>655218.46844214946</v>
      </c>
      <c r="F42">
        <v>3.1713125669329768E+19</v>
      </c>
      <c r="G42">
        <v>2902</v>
      </c>
      <c r="H42">
        <v>3.8811458490894404E-4</v>
      </c>
      <c r="I42">
        <v>2576.5586733480036</v>
      </c>
      <c r="J42">
        <v>42</v>
      </c>
      <c r="K42">
        <f t="shared" si="0"/>
        <v>38.811458490894402</v>
      </c>
      <c r="L42">
        <f t="shared" si="1"/>
        <v>3.8811458490894407E-9</v>
      </c>
      <c r="M42">
        <f t="shared" si="8"/>
        <v>50.920839399786317</v>
      </c>
      <c r="N42">
        <f t="shared" si="5"/>
        <v>255.19466723064335</v>
      </c>
      <c r="O42" s="2">
        <f t="shared" si="3"/>
        <v>1.6056707853629392E-6</v>
      </c>
      <c r="P42" s="2">
        <f t="shared" si="4"/>
        <v>0.14956189693972127</v>
      </c>
    </row>
    <row r="43" spans="1:16" x14ac:dyDescent="0.25">
      <c r="A43" s="1">
        <v>44363.333483796298</v>
      </c>
      <c r="B43">
        <v>141206057.20940208</v>
      </c>
      <c r="C43">
        <v>141151166.11673737</v>
      </c>
      <c r="D43">
        <v>55394.394900410436</v>
      </c>
      <c r="E43">
        <v>423618.17162820697</v>
      </c>
      <c r="F43">
        <v>2.9055549694542881E+19</v>
      </c>
      <c r="G43">
        <v>2931</v>
      </c>
      <c r="H43">
        <v>4.0520716834466046E-4</v>
      </c>
      <c r="I43">
        <v>2467.8734191331523</v>
      </c>
      <c r="J43">
        <v>43</v>
      </c>
      <c r="K43">
        <f t="shared" si="0"/>
        <v>40.520716834466043</v>
      </c>
      <c r="L43">
        <f t="shared" si="1"/>
        <v>4.0520716834466049E-9</v>
      </c>
      <c r="M43">
        <f t="shared" si="8"/>
        <v>49.835288407927358</v>
      </c>
      <c r="N43">
        <f t="shared" si="5"/>
        <v>166.18318470123131</v>
      </c>
      <c r="O43" s="2">
        <f t="shared" si="3"/>
        <v>1.7151727959663161E-6</v>
      </c>
      <c r="P43" s="2">
        <f t="shared" si="4"/>
        <v>0.10403700030450813</v>
      </c>
    </row>
    <row r="44" spans="1:16" x14ac:dyDescent="0.25">
      <c r="A44" s="1">
        <v>44364.333344907405</v>
      </c>
      <c r="B44">
        <v>165437659.65533447</v>
      </c>
      <c r="C44">
        <v>165420664.21635056</v>
      </c>
      <c r="D44">
        <v>68429.085165745579</v>
      </c>
      <c r="E44">
        <v>496312.9789659977</v>
      </c>
      <c r="F44">
        <v>3.1227404244000662E+19</v>
      </c>
      <c r="G44">
        <v>2959</v>
      </c>
      <c r="H44">
        <v>4.1104296557565434E-4</v>
      </c>
      <c r="I44">
        <v>2432.8356978437218</v>
      </c>
      <c r="J44">
        <v>44</v>
      </c>
      <c r="K44">
        <f t="shared" si="0"/>
        <v>41.104296557565434</v>
      </c>
      <c r="L44">
        <f t="shared" si="1"/>
        <v>4.1104296557565432E-9</v>
      </c>
      <c r="M44">
        <f t="shared" si="8"/>
        <v>49.480254605489755</v>
      </c>
      <c r="N44">
        <f t="shared" si="5"/>
        <v>205.28725549723674</v>
      </c>
      <c r="O44" s="2">
        <f t="shared" si="3"/>
        <v>1.5845138526041847E-6</v>
      </c>
      <c r="P44" s="2">
        <f t="shared" si="4"/>
        <v>0.11872738253594015</v>
      </c>
    </row>
    <row r="45" spans="1:16" x14ac:dyDescent="0.25">
      <c r="A45" s="1">
        <v>44365.333541666667</v>
      </c>
      <c r="B45">
        <v>179621035.91143799</v>
      </c>
      <c r="C45">
        <v>179562868.7311306</v>
      </c>
      <c r="D45">
        <v>76462.570373144001</v>
      </c>
      <c r="E45">
        <v>538863.1077343151</v>
      </c>
      <c r="F45">
        <v>2.484221143782291E+19</v>
      </c>
      <c r="G45">
        <v>3004</v>
      </c>
      <c r="H45">
        <v>4.3133943756869171E-4</v>
      </c>
      <c r="I45">
        <v>2318.3597716838676</v>
      </c>
      <c r="J45">
        <v>45</v>
      </c>
      <c r="K45">
        <f t="shared" si="0"/>
        <v>43.133943756869172</v>
      </c>
      <c r="L45">
        <f t="shared" si="1"/>
        <v>4.3133943756869171E-9</v>
      </c>
      <c r="M45">
        <f t="shared" si="8"/>
        <v>48.3020932416077</v>
      </c>
      <c r="N45">
        <f t="shared" si="5"/>
        <v>229.387711119432</v>
      </c>
      <c r="O45" s="2">
        <f t="shared" si="3"/>
        <v>1.9443556127240149E-6</v>
      </c>
      <c r="P45" s="2">
        <f t="shared" si="4"/>
        <v>0.16279411851581863</v>
      </c>
    </row>
    <row r="46" spans="1:16" x14ac:dyDescent="0.25">
      <c r="A46" s="1">
        <v>44366.333622685182</v>
      </c>
      <c r="B46">
        <v>202609719.77057838</v>
      </c>
      <c r="C46">
        <v>202571145.62252045</v>
      </c>
      <c r="D46">
        <v>91198.650221230462</v>
      </c>
      <c r="E46">
        <v>607829.15931173414</v>
      </c>
      <c r="F46">
        <v>2.2755905927965487E+19</v>
      </c>
      <c r="G46">
        <v>2985</v>
      </c>
      <c r="H46">
        <v>4.4714974496107805E-4</v>
      </c>
      <c r="I46">
        <v>2236.3872757817285</v>
      </c>
      <c r="J46">
        <v>46</v>
      </c>
      <c r="K46">
        <f t="shared" si="0"/>
        <v>44.714974496107807</v>
      </c>
      <c r="L46">
        <f t="shared" si="1"/>
        <v>4.4714974496107806E-9</v>
      </c>
      <c r="M46">
        <f t="shared" si="8"/>
        <v>47.440476456807787</v>
      </c>
      <c r="N46">
        <f t="shared" si="5"/>
        <v>273.59595066369138</v>
      </c>
      <c r="O46" s="2">
        <f t="shared" si="3"/>
        <v>2.0847544636096693E-6</v>
      </c>
      <c r="P46" s="2">
        <f t="shared" si="4"/>
        <v>0.20818883847065645</v>
      </c>
    </row>
    <row r="47" spans="1:16" x14ac:dyDescent="0.25">
      <c r="A47" s="1">
        <v>44367.333449074074</v>
      </c>
      <c r="B47">
        <v>166392028.33620453</v>
      </c>
      <c r="C47">
        <v>166301545.16699028</v>
      </c>
      <c r="D47">
        <v>76647.063592386432</v>
      </c>
      <c r="E47">
        <v>499176.08500861377</v>
      </c>
      <c r="F47">
        <v>1.7598359866562441E+19</v>
      </c>
      <c r="G47">
        <v>2969</v>
      </c>
      <c r="H47">
        <v>4.8110708663841133E-4</v>
      </c>
      <c r="I47">
        <v>2078.5393268413363</v>
      </c>
      <c r="J47">
        <v>47</v>
      </c>
      <c r="K47">
        <f t="shared" si="0"/>
        <v>48.11070866384113</v>
      </c>
      <c r="L47">
        <f t="shared" si="1"/>
        <v>4.8110708663841131E-9</v>
      </c>
      <c r="M47">
        <f t="shared" si="8"/>
        <v>45.735629261432628</v>
      </c>
      <c r="N47">
        <f t="shared" si="5"/>
        <v>229.94119077715931</v>
      </c>
      <c r="O47" s="2">
        <f t="shared" si="3"/>
        <v>2.5988574849143798E-6</v>
      </c>
      <c r="P47" s="2">
        <f t="shared" si="4"/>
        <v>0.21811830043059124</v>
      </c>
    </row>
    <row r="48" spans="1:16" x14ac:dyDescent="0.25">
      <c r="A48" s="1">
        <v>44368.333425925928</v>
      </c>
      <c r="B48">
        <v>434917461.86837959</v>
      </c>
      <c r="C48">
        <v>434884304.72358894</v>
      </c>
      <c r="D48">
        <v>209386.90803839266</v>
      </c>
      <c r="E48">
        <v>1304752.3856051415</v>
      </c>
      <c r="F48">
        <v>6.5391253374693868E+18</v>
      </c>
      <c r="G48">
        <v>2930</v>
      </c>
      <c r="H48">
        <v>5.0673454360637389E-4</v>
      </c>
      <c r="I48">
        <v>1973.4198361199342</v>
      </c>
      <c r="J48">
        <v>48</v>
      </c>
      <c r="K48">
        <f t="shared" si="0"/>
        <v>50.673454360637386</v>
      </c>
      <c r="L48">
        <f t="shared" si="1"/>
        <v>5.0673454360637389E-9</v>
      </c>
      <c r="M48">
        <f t="shared" si="8"/>
        <v>44.564114399921998</v>
      </c>
      <c r="N48">
        <f t="shared" si="5"/>
        <v>628.16072411517803</v>
      </c>
      <c r="O48" s="2">
        <f t="shared" si="3"/>
        <v>6.8149962112774116E-6</v>
      </c>
      <c r="P48" s="2">
        <f t="shared" si="4"/>
        <v>1.5625332285451479</v>
      </c>
    </row>
    <row r="49" spans="1:16" x14ac:dyDescent="0.25">
      <c r="A49" s="1">
        <v>44369.333541666667</v>
      </c>
      <c r="B49">
        <v>275886303.34985352</v>
      </c>
      <c r="C49">
        <v>275860779.7306366</v>
      </c>
      <c r="D49">
        <v>142953.38751519937</v>
      </c>
      <c r="E49">
        <v>827658.91004955769</v>
      </c>
      <c r="F49">
        <v>9.7796821727590502E+18</v>
      </c>
      <c r="G49">
        <v>2910</v>
      </c>
      <c r="H49">
        <v>5.3527709319746951E-4</v>
      </c>
      <c r="I49">
        <v>1868.1912839320571</v>
      </c>
      <c r="J49">
        <v>49</v>
      </c>
      <c r="K49">
        <f t="shared" si="0"/>
        <v>53.527709319746954</v>
      </c>
      <c r="L49">
        <f t="shared" si="1"/>
        <v>5.3527709319746953E-9</v>
      </c>
      <c r="M49">
        <f t="shared" si="8"/>
        <v>43.359693795528706</v>
      </c>
      <c r="N49">
        <f t="shared" si="5"/>
        <v>428.86016254559814</v>
      </c>
      <c r="O49" s="2">
        <f t="shared" si="3"/>
        <v>4.4336506063873484E-6</v>
      </c>
      <c r="P49" s="2">
        <f t="shared" si="4"/>
        <v>0.6940168836998688</v>
      </c>
    </row>
    <row r="50" spans="1:16" x14ac:dyDescent="0.25">
      <c r="A50" s="1">
        <v>44370.333692129629</v>
      </c>
      <c r="B50">
        <v>362819216.49931145</v>
      </c>
      <c r="C50">
        <v>362882616.95146942</v>
      </c>
      <c r="D50">
        <v>192964.21500924788</v>
      </c>
      <c r="E50">
        <v>1088457.6494979337</v>
      </c>
      <c r="F50">
        <v>1.7309041201517607E+19</v>
      </c>
      <c r="G50">
        <v>2963</v>
      </c>
      <c r="H50">
        <v>5.0119128460118507E-4</v>
      </c>
      <c r="I50">
        <v>1995.2461878816068</v>
      </c>
      <c r="J50">
        <v>50</v>
      </c>
      <c r="K50">
        <f t="shared" si="0"/>
        <v>50.11912846011851</v>
      </c>
      <c r="L50">
        <f t="shared" si="1"/>
        <v>5.0119128460118504E-9</v>
      </c>
      <c r="M50">
        <f t="shared" si="8"/>
        <v>44.809879976881348</v>
      </c>
      <c r="N50">
        <f t="shared" si="5"/>
        <v>578.8926450277437</v>
      </c>
      <c r="O50" s="2">
        <f t="shared" si="3"/>
        <v>2.5888135255552194E-6</v>
      </c>
      <c r="P50" s="2">
        <f t="shared" si="4"/>
        <v>0.54700546489167468</v>
      </c>
    </row>
    <row r="51" spans="1:16" x14ac:dyDescent="0.25">
      <c r="A51" s="1">
        <v>44371.333344907405</v>
      </c>
      <c r="B51">
        <v>140783336.33174324</v>
      </c>
      <c r="C51">
        <v>140775509.35536957</v>
      </c>
      <c r="D51">
        <v>72087.976187925786</v>
      </c>
      <c r="E51">
        <v>422350.00899523497</v>
      </c>
      <c r="F51">
        <v>1.5285863984015598E+19</v>
      </c>
      <c r="G51">
        <v>3069</v>
      </c>
      <c r="H51">
        <v>5.1008988427487536E-4</v>
      </c>
      <c r="I51">
        <v>1960.438798784576</v>
      </c>
      <c r="J51">
        <v>51</v>
      </c>
      <c r="K51">
        <f t="shared" si="0"/>
        <v>51.008988427487537</v>
      </c>
      <c r="L51">
        <f t="shared" si="1"/>
        <v>5.1008988427487533E-9</v>
      </c>
      <c r="M51">
        <f t="shared" si="8"/>
        <v>44.417302535674231</v>
      </c>
      <c r="N51">
        <f t="shared" si="5"/>
        <v>216.26392856377737</v>
      </c>
      <c r="O51" s="2">
        <f t="shared" si="3"/>
        <v>2.9057763815065562E-6</v>
      </c>
      <c r="P51" s="2">
        <f t="shared" si="4"/>
        <v>0.22937133476424254</v>
      </c>
    </row>
    <row r="52" spans="1:16" x14ac:dyDescent="0.25">
      <c r="A52" s="1">
        <v>44372.333333333336</v>
      </c>
      <c r="B52">
        <v>113559796.51448441</v>
      </c>
      <c r="C52">
        <v>113534263.08094788</v>
      </c>
      <c r="D52">
        <v>57548.38768960163</v>
      </c>
      <c r="E52">
        <v>340679.38954345137</v>
      </c>
      <c r="F52">
        <v>9.5344911252579287E+18</v>
      </c>
      <c r="G52">
        <v>3126</v>
      </c>
      <c r="H52">
        <v>5.3925263628189658E-4</v>
      </c>
      <c r="I52">
        <v>1854.4183796576672</v>
      </c>
      <c r="J52">
        <v>52</v>
      </c>
      <c r="K52">
        <f t="shared" si="0"/>
        <v>53.925263628189654</v>
      </c>
      <c r="L52">
        <f t="shared" si="1"/>
        <v>5.3925263628189655E-9</v>
      </c>
      <c r="M52">
        <f t="shared" si="8"/>
        <v>43.199567351264349</v>
      </c>
      <c r="N52">
        <f t="shared" si="5"/>
        <v>172.64516306880489</v>
      </c>
      <c r="O52" s="2">
        <f t="shared" si="3"/>
        <v>4.5308728891491535E-6</v>
      </c>
      <c r="P52" s="2">
        <f t="shared" si="4"/>
        <v>0.28551515040878167</v>
      </c>
    </row>
    <row r="53" spans="1:16" x14ac:dyDescent="0.25">
      <c r="A53" s="1">
        <v>44373.333333333336</v>
      </c>
      <c r="B53">
        <v>168233169.10162354</v>
      </c>
      <c r="C53">
        <v>168213707.95168686</v>
      </c>
      <c r="D53">
        <v>92727.689386132173</v>
      </c>
      <c r="E53">
        <v>504699.50730486959</v>
      </c>
      <c r="F53">
        <v>1.7068460277623204E+19</v>
      </c>
      <c r="G53">
        <v>3171</v>
      </c>
      <c r="H53">
        <v>5.5417626784245446E-4</v>
      </c>
      <c r="I53">
        <v>1804.4800148033185</v>
      </c>
      <c r="J53">
        <v>53</v>
      </c>
      <c r="K53">
        <f t="shared" si="0"/>
        <v>55.417626784245449</v>
      </c>
      <c r="L53">
        <f t="shared" si="1"/>
        <v>5.5417626784245444E-9</v>
      </c>
      <c r="M53">
        <f t="shared" si="8"/>
        <v>42.613928615397313</v>
      </c>
      <c r="N53">
        <f t="shared" si="5"/>
        <v>278.18306815839651</v>
      </c>
      <c r="O53" s="2">
        <f t="shared" si="3"/>
        <v>2.4966474961578279E-6</v>
      </c>
      <c r="P53" s="2">
        <f t="shared" si="4"/>
        <v>0.2535016471157745</v>
      </c>
    </row>
    <row r="54" spans="1:16" x14ac:dyDescent="0.25">
      <c r="A54" s="1">
        <v>44374.333391203705</v>
      </c>
      <c r="B54">
        <v>134223747.14918709</v>
      </c>
      <c r="C54">
        <v>134245331.0601635</v>
      </c>
      <c r="D54">
        <v>74067.481684303842</v>
      </c>
      <c r="E54">
        <v>402671.24144756049</v>
      </c>
      <c r="F54">
        <v>1.1890759484359979E+19</v>
      </c>
      <c r="G54">
        <v>3224</v>
      </c>
      <c r="H54">
        <v>5.4396436493698653E-4</v>
      </c>
      <c r="I54">
        <v>1838.3557167680299</v>
      </c>
      <c r="J54">
        <v>54</v>
      </c>
      <c r="K54">
        <f t="shared" si="0"/>
        <v>54.396436493698651</v>
      </c>
      <c r="L54">
        <f t="shared" si="1"/>
        <v>5.4396436493698654E-9</v>
      </c>
      <c r="M54">
        <f t="shared" si="8"/>
        <v>43.012066717690011</v>
      </c>
      <c r="N54">
        <f t="shared" si="5"/>
        <v>222.20244505291154</v>
      </c>
      <c r="O54" s="2">
        <f t="shared" si="3"/>
        <v>3.617268247185065E-6</v>
      </c>
      <c r="P54" s="2">
        <f t="shared" si="4"/>
        <v>0.29337453486192505</v>
      </c>
    </row>
    <row r="55" spans="1:16" x14ac:dyDescent="0.25">
      <c r="A55" s="1">
        <v>44375.333391203705</v>
      </c>
      <c r="B55">
        <v>116149588.20354652</v>
      </c>
      <c r="C55">
        <v>116209637.28317642</v>
      </c>
      <c r="D55">
        <v>59453.993855808862</v>
      </c>
      <c r="E55">
        <v>348448.7646106407</v>
      </c>
      <c r="F55">
        <v>1.3849228207706882E+19</v>
      </c>
      <c r="G55">
        <v>3219</v>
      </c>
      <c r="H55">
        <v>4.9978998180765682E-4</v>
      </c>
      <c r="I55">
        <v>2000.8404257787784</v>
      </c>
      <c r="J55">
        <v>55</v>
      </c>
      <c r="K55">
        <f t="shared" si="0"/>
        <v>49.978998180765679</v>
      </c>
      <c r="L55">
        <f t="shared" si="1"/>
        <v>4.997899818076568E-9</v>
      </c>
      <c r="M55">
        <f t="shared" si="8"/>
        <v>44.872654602155038</v>
      </c>
      <c r="N55">
        <f t="shared" si="5"/>
        <v>178.3619815674266</v>
      </c>
      <c r="O55" s="2">
        <f t="shared" si="3"/>
        <v>3.2400834132536063E-6</v>
      </c>
      <c r="P55" s="2">
        <f t="shared" si="4"/>
        <v>0.2109363097815575</v>
      </c>
    </row>
    <row r="56" spans="1:16" x14ac:dyDescent="0.25">
      <c r="A56" s="1">
        <v>44376.333587962959</v>
      </c>
      <c r="B56">
        <v>181272170.43906975</v>
      </c>
      <c r="C56">
        <v>181359418.67008209</v>
      </c>
      <c r="D56">
        <v>86146.77544314228</v>
      </c>
      <c r="E56">
        <v>543816.51131720841</v>
      </c>
      <c r="F56">
        <v>1.5226814033123762E+19</v>
      </c>
      <c r="G56">
        <v>3229</v>
      </c>
      <c r="H56">
        <v>4.5860637600005457E-4</v>
      </c>
      <c r="I56">
        <v>2180.5191823148157</v>
      </c>
      <c r="J56">
        <v>56</v>
      </c>
      <c r="K56">
        <f t="shared" si="0"/>
        <v>45.860637600005454</v>
      </c>
      <c r="L56">
        <f t="shared" si="1"/>
        <v>4.5860637600005459E-9</v>
      </c>
      <c r="M56">
        <f t="shared" si="8"/>
        <v>46.844163873385419</v>
      </c>
      <c r="N56">
        <f t="shared" si="5"/>
        <v>258.44032632942685</v>
      </c>
      <c r="O56" s="2">
        <f t="shared" si="3"/>
        <v>3.0764258216776423E-6</v>
      </c>
      <c r="P56" s="2">
        <f t="shared" si="4"/>
        <v>0.29020146004816544</v>
      </c>
    </row>
    <row r="57" spans="1:16" x14ac:dyDescent="0.25">
      <c r="A57" s="1">
        <v>44377.333344907405</v>
      </c>
      <c r="B57">
        <v>133433754.94452667</v>
      </c>
      <c r="C57">
        <v>133426225.55024719</v>
      </c>
      <c r="D57">
        <v>61364.991933400743</v>
      </c>
      <c r="E57">
        <v>400301.26483357698</v>
      </c>
      <c r="F57">
        <v>1.6050112957863305E+19</v>
      </c>
      <c r="G57">
        <v>3239</v>
      </c>
      <c r="H57">
        <v>4.6428178286251069E-4</v>
      </c>
      <c r="I57">
        <v>2153.8643920821964</v>
      </c>
      <c r="J57">
        <v>57</v>
      </c>
      <c r="K57">
        <f t="shared" si="0"/>
        <v>46.428178286251068</v>
      </c>
      <c r="L57">
        <f t="shared" si="1"/>
        <v>4.6428178286251067E-9</v>
      </c>
      <c r="M57">
        <f t="shared" si="8"/>
        <v>46.556970649301384</v>
      </c>
      <c r="N57">
        <f t="shared" si="5"/>
        <v>184.09497580020223</v>
      </c>
      <c r="O57" s="2">
        <f t="shared" si="3"/>
        <v>2.900725419910026E-6</v>
      </c>
      <c r="P57" s="2">
        <f t="shared" si="4"/>
        <v>0.19491327623319921</v>
      </c>
    </row>
    <row r="58" spans="1:16" x14ac:dyDescent="0.25">
      <c r="A58" s="1">
        <v>44378.333425925928</v>
      </c>
      <c r="B58">
        <v>172109147.02528572</v>
      </c>
      <c r="C58">
        <v>172114528.00045395</v>
      </c>
      <c r="D58">
        <v>78536.512443305925</v>
      </c>
      <c r="E58">
        <v>516327.44107586145</v>
      </c>
      <c r="F58">
        <v>1.5760447414975558E+19</v>
      </c>
      <c r="G58">
        <v>3248</v>
      </c>
      <c r="H58">
        <v>4.6847896805633749E-4</v>
      </c>
      <c r="I58">
        <v>2134.5675434457153</v>
      </c>
      <c r="J58">
        <v>58</v>
      </c>
      <c r="K58">
        <f t="shared" si="0"/>
        <v>46.847896805633752</v>
      </c>
      <c r="L58">
        <f t="shared" si="1"/>
        <v>4.6847896805633751E-9</v>
      </c>
      <c r="M58">
        <f t="shared" si="8"/>
        <v>46.347945392009507</v>
      </c>
      <c r="N58">
        <f t="shared" si="5"/>
        <v>235.60953732991777</v>
      </c>
      <c r="O58" s="2">
        <f t="shared" si="3"/>
        <v>2.9407759926897601E-6</v>
      </c>
      <c r="P58" s="2">
        <f t="shared" si="4"/>
        <v>0.25289932792542591</v>
      </c>
    </row>
    <row r="59" spans="1:16" x14ac:dyDescent="0.25">
      <c r="A59" s="1">
        <v>44379.333402777775</v>
      </c>
      <c r="B59">
        <v>116201379.30106354</v>
      </c>
      <c r="C59">
        <v>116164647.83272743</v>
      </c>
      <c r="D59">
        <v>55682.143550872803</v>
      </c>
      <c r="E59">
        <v>348604.1379031837</v>
      </c>
      <c r="F59">
        <v>1.3742484703833496E+19</v>
      </c>
      <c r="G59">
        <v>3310</v>
      </c>
      <c r="H59">
        <v>4.9077652603914091E-4</v>
      </c>
      <c r="I59">
        <v>2037.5872661852759</v>
      </c>
      <c r="J59">
        <v>59</v>
      </c>
      <c r="K59">
        <f t="shared" si="0"/>
        <v>49.077652603914089</v>
      </c>
      <c r="L59">
        <f t="shared" si="1"/>
        <v>4.9077652603914089E-9</v>
      </c>
      <c r="M59">
        <f t="shared" si="8"/>
        <v>45.282838757608886</v>
      </c>
      <c r="N59">
        <f t="shared" si="5"/>
        <v>167.0464306526184</v>
      </c>
      <c r="O59" s="2">
        <f t="shared" si="3"/>
        <v>3.295098356192977E-6</v>
      </c>
      <c r="P59" s="2">
        <f t="shared" si="4"/>
        <v>0.20090856295374168</v>
      </c>
    </row>
    <row r="60" spans="1:16" x14ac:dyDescent="0.25">
      <c r="A60" s="1">
        <v>44380.333449074074</v>
      </c>
      <c r="B60">
        <v>102171636.18086624</v>
      </c>
      <c r="C60">
        <v>102248934.70398903</v>
      </c>
      <c r="D60">
        <v>47736.667903384194</v>
      </c>
      <c r="E60">
        <v>306514.90854260325</v>
      </c>
      <c r="F60">
        <v>1.587517256220784E+19</v>
      </c>
      <c r="G60">
        <v>3407</v>
      </c>
      <c r="H60">
        <v>4.5300034563317378E-4</v>
      </c>
      <c r="I60">
        <v>2207.5038344667628</v>
      </c>
      <c r="J60">
        <v>60</v>
      </c>
      <c r="K60">
        <f t="shared" si="0"/>
        <v>45.300034563317375</v>
      </c>
      <c r="L60">
        <f t="shared" si="1"/>
        <v>4.5300034563317377E-9</v>
      </c>
      <c r="M60">
        <f t="shared" si="8"/>
        <v>47.133128689280703</v>
      </c>
      <c r="N60">
        <f t="shared" si="5"/>
        <v>143.21000371015259</v>
      </c>
      <c r="O60" s="2">
        <f t="shared" si="3"/>
        <v>2.9689837073950936E-6</v>
      </c>
      <c r="P60" s="2">
        <f t="shared" si="4"/>
        <v>0.15519368122927341</v>
      </c>
    </row>
    <row r="61" spans="1:16" x14ac:dyDescent="0.25">
      <c r="A61" s="1">
        <v>44381.333379629628</v>
      </c>
      <c r="B61">
        <v>88523350.320360184</v>
      </c>
      <c r="C61">
        <v>88589944.851512909</v>
      </c>
      <c r="D61">
        <v>39272.949227674864</v>
      </c>
      <c r="E61">
        <v>265570.05096108466</v>
      </c>
      <c r="F61">
        <v>1.3589877253943943E+19</v>
      </c>
      <c r="G61">
        <v>3435</v>
      </c>
      <c r="H61">
        <v>4.2785987335829421E-4</v>
      </c>
      <c r="I61">
        <v>2337.2137988798727</v>
      </c>
      <c r="J61">
        <v>61</v>
      </c>
      <c r="K61">
        <f t="shared" si="0"/>
        <v>42.785987335829418</v>
      </c>
      <c r="L61">
        <f t="shared" si="1"/>
        <v>4.2785987335829424E-9</v>
      </c>
      <c r="M61">
        <f t="shared" si="8"/>
        <v>48.498103571893679</v>
      </c>
      <c r="N61">
        <f t="shared" si="5"/>
        <v>117.8188476830246</v>
      </c>
      <c r="O61" s="2">
        <f t="shared" si="3"/>
        <v>3.5686932755642778E-6</v>
      </c>
      <c r="P61" s="2">
        <f t="shared" si="4"/>
        <v>0.15346765525331674</v>
      </c>
    </row>
    <row r="62" spans="1:16" x14ac:dyDescent="0.25">
      <c r="A62" s="1">
        <v>44382.333391203705</v>
      </c>
      <c r="B62">
        <v>116672592.32400322</v>
      </c>
      <c r="C62">
        <v>116602445.95950699</v>
      </c>
      <c r="D62">
        <v>50845.980216576718</v>
      </c>
      <c r="E62">
        <v>350017.77697200328</v>
      </c>
      <c r="F62">
        <v>1.351150642180581E+19</v>
      </c>
      <c r="G62">
        <v>3451</v>
      </c>
      <c r="H62">
        <v>4.5645609067396296E-4</v>
      </c>
      <c r="I62">
        <v>2190.7912292800997</v>
      </c>
      <c r="J62">
        <v>62</v>
      </c>
      <c r="K62">
        <f t="shared" si="0"/>
        <v>45.645609067396293</v>
      </c>
      <c r="L62">
        <f t="shared" si="1"/>
        <v>4.5645609067396299E-9</v>
      </c>
      <c r="M62">
        <f t="shared" si="8"/>
        <v>46.954371591546646</v>
      </c>
      <c r="N62">
        <f t="shared" si="5"/>
        <v>152.53794064973016</v>
      </c>
      <c r="O62" s="2">
        <f t="shared" si="3"/>
        <v>3.4751396421474079E-6</v>
      </c>
      <c r="P62" s="2">
        <f t="shared" si="4"/>
        <v>0.19348308523644311</v>
      </c>
    </row>
    <row r="63" spans="1:16" x14ac:dyDescent="0.25">
      <c r="A63" s="1">
        <v>44383.333518518521</v>
      </c>
      <c r="B63">
        <v>136747389.02397728</v>
      </c>
      <c r="C63">
        <v>136796350.31506538</v>
      </c>
      <c r="D63">
        <v>60889.997263380326</v>
      </c>
      <c r="E63">
        <v>410242.16707193106</v>
      </c>
      <c r="F63">
        <v>1.5486604757799191E+19</v>
      </c>
      <c r="G63">
        <v>3494</v>
      </c>
      <c r="H63">
        <v>4.3497776652016924E-4</v>
      </c>
      <c r="I63">
        <v>2298.9680782997712</v>
      </c>
      <c r="J63">
        <v>63</v>
      </c>
      <c r="K63">
        <f t="shared" si="0"/>
        <v>43.497776652016924</v>
      </c>
      <c r="L63">
        <f t="shared" si="1"/>
        <v>4.3497776652016924E-9</v>
      </c>
      <c r="M63">
        <f t="shared" si="8"/>
        <v>48.09965997890103</v>
      </c>
      <c r="N63">
        <f t="shared" si="5"/>
        <v>182.66999179014098</v>
      </c>
      <c r="O63" s="2">
        <f t="shared" si="3"/>
        <v>3.1058880065159287E-6</v>
      </c>
      <c r="P63" s="2">
        <f t="shared" si="4"/>
        <v>0.20708367587774715</v>
      </c>
    </row>
    <row r="64" spans="1:16" x14ac:dyDescent="0.25">
      <c r="A64" s="1">
        <v>44384.333333333336</v>
      </c>
      <c r="B64">
        <v>125557907.92739487</v>
      </c>
      <c r="C64">
        <v>125606733.15871048</v>
      </c>
      <c r="D64">
        <v>53828.573644656688</v>
      </c>
      <c r="E64">
        <v>376673.72378218919</v>
      </c>
      <c r="F64">
        <v>1.4809571787404909E+19</v>
      </c>
      <c r="G64">
        <v>3511</v>
      </c>
      <c r="H64">
        <v>4.1930423454697831E-4</v>
      </c>
      <c r="I64">
        <v>2384.9031743750761</v>
      </c>
      <c r="J64">
        <v>64</v>
      </c>
      <c r="K64">
        <f t="shared" si="0"/>
        <v>41.930423454697831</v>
      </c>
      <c r="L64">
        <f t="shared" si="1"/>
        <v>4.1930423454697834E-9</v>
      </c>
      <c r="M64">
        <f t="shared" si="8"/>
        <v>48.990391674248976</v>
      </c>
      <c r="N64">
        <f t="shared" si="5"/>
        <v>161.48572093397007</v>
      </c>
      <c r="O64" s="2">
        <f t="shared" si="3"/>
        <v>3.308022161445196E-6</v>
      </c>
      <c r="P64" s="2">
        <f t="shared" si="4"/>
        <v>0.19498239541638249</v>
      </c>
    </row>
    <row r="65" spans="1:16" x14ac:dyDescent="0.25">
      <c r="A65" s="1">
        <v>44385.333368055559</v>
      </c>
      <c r="B65">
        <v>136041656.65089035</v>
      </c>
      <c r="C65">
        <v>135902470.23240662</v>
      </c>
      <c r="D65">
        <v>60461.835502310656</v>
      </c>
      <c r="E65">
        <v>408124.96995266527</v>
      </c>
      <c r="F65">
        <v>1.4536864491621835E+19</v>
      </c>
      <c r="G65">
        <v>3539</v>
      </c>
      <c r="H65">
        <v>4.6252094783323818E-4</v>
      </c>
      <c r="I65">
        <v>2162.0642366246939</v>
      </c>
      <c r="J65">
        <v>65</v>
      </c>
      <c r="K65">
        <f t="shared" si="0"/>
        <v>46.25209478332382</v>
      </c>
      <c r="L65">
        <f t="shared" si="1"/>
        <v>4.6252094783323817E-9</v>
      </c>
      <c r="M65">
        <f t="shared" si="8"/>
        <v>46.645508551086614</v>
      </c>
      <c r="N65">
        <f t="shared" si="5"/>
        <v>181.38550650693196</v>
      </c>
      <c r="O65" s="2">
        <f t="shared" si="3"/>
        <v>3.2087737061847313E-6</v>
      </c>
      <c r="P65" s="2">
        <f t="shared" si="4"/>
        <v>0.21243914104629161</v>
      </c>
    </row>
    <row r="66" spans="1:16" x14ac:dyDescent="0.25">
      <c r="A66" s="1">
        <v>44386.33357638889</v>
      </c>
      <c r="B66">
        <v>130753065.6550293</v>
      </c>
      <c r="C66">
        <v>130694609.60361481</v>
      </c>
      <c r="D66">
        <v>61648.439262555912</v>
      </c>
      <c r="E66">
        <v>392259.19696509093</v>
      </c>
      <c r="F66">
        <v>1.4912395385461645E+19</v>
      </c>
      <c r="G66">
        <v>3575</v>
      </c>
      <c r="H66">
        <v>4.8096278337403473E-4</v>
      </c>
      <c r="I66">
        <v>2079.1629509976469</v>
      </c>
      <c r="J66">
        <v>66</v>
      </c>
      <c r="K66">
        <f t="shared" ref="K66:K129" si="9">(1+$U$16)*H66</f>
        <v>48.096278337403476</v>
      </c>
      <c r="L66">
        <f t="shared" ref="L66:L129" si="10">H66/(1+$U$16)</f>
        <v>4.8096278337403475E-9</v>
      </c>
      <c r="M66">
        <f t="shared" si="8"/>
        <v>45.742489777327592</v>
      </c>
      <c r="N66">
        <f t="shared" si="5"/>
        <v>184.94531778766773</v>
      </c>
      <c r="O66" s="2">
        <f t="shared" si="3"/>
        <v>3.0674139596595422E-6</v>
      </c>
      <c r="P66" s="2">
        <f t="shared" si="4"/>
        <v>0.20706590508778019</v>
      </c>
    </row>
    <row r="67" spans="1:16" x14ac:dyDescent="0.25">
      <c r="A67" s="1">
        <v>44387.333402777775</v>
      </c>
      <c r="B67">
        <v>178467506.15538406</v>
      </c>
      <c r="C67">
        <v>178524586.44231033</v>
      </c>
      <c r="D67">
        <v>83327.907331588678</v>
      </c>
      <c r="E67">
        <v>535402.51846615225</v>
      </c>
      <c r="F67">
        <v>1.8443132808298602E+19</v>
      </c>
      <c r="G67">
        <v>3630</v>
      </c>
      <c r="H67">
        <v>4.7276136791798615E-4</v>
      </c>
      <c r="I67">
        <v>2115.2320554531398</v>
      </c>
      <c r="J67">
        <v>67</v>
      </c>
      <c r="K67">
        <f t="shared" si="9"/>
        <v>47.276136791798614</v>
      </c>
      <c r="L67">
        <f t="shared" si="10"/>
        <v>4.7276136791798618E-9</v>
      </c>
      <c r="M67">
        <f t="shared" si="8"/>
        <v>46.137551768429958</v>
      </c>
      <c r="N67">
        <f t="shared" si="5"/>
        <v>249.98372199476603</v>
      </c>
      <c r="O67" s="2">
        <f t="shared" ref="O67:O130" si="11">M67/(F67/POWER(10,$U$21))</f>
        <v>2.5016114262144269E-6</v>
      </c>
      <c r="P67" s="2">
        <f t="shared" ref="P67:P130" si="12">O67*N67*365</f>
        <v>0.22825717938804685</v>
      </c>
    </row>
    <row r="68" spans="1:16" x14ac:dyDescent="0.25">
      <c r="A68" s="1">
        <v>44388.333425925928</v>
      </c>
      <c r="B68">
        <v>76582873.262111664</v>
      </c>
      <c r="C68">
        <v>76576520.323554993</v>
      </c>
      <c r="D68">
        <v>36295.03606161382</v>
      </c>
      <c r="E68">
        <v>229748.61978633702</v>
      </c>
      <c r="F68">
        <v>1.92608480979548E+19</v>
      </c>
      <c r="G68">
        <v>3693</v>
      </c>
      <c r="H68">
        <v>4.7063882718587779E-4</v>
      </c>
      <c r="I68">
        <v>2124.7715705467117</v>
      </c>
      <c r="J68">
        <v>68</v>
      </c>
      <c r="K68">
        <f t="shared" si="9"/>
        <v>47.063882718587777</v>
      </c>
      <c r="L68">
        <f t="shared" si="10"/>
        <v>4.7063882718587777E-9</v>
      </c>
      <c r="M68">
        <f t="shared" si="8"/>
        <v>46.241472931406165</v>
      </c>
      <c r="N68">
        <f t="shared" si="5"/>
        <v>108.88510818484147</v>
      </c>
      <c r="O68" s="2">
        <f t="shared" si="11"/>
        <v>2.4008014961872988E-6</v>
      </c>
      <c r="P68" s="2">
        <f t="shared" si="12"/>
        <v>9.5415208684579408E-2</v>
      </c>
    </row>
    <row r="69" spans="1:16" x14ac:dyDescent="0.25">
      <c r="A69" s="1">
        <v>44389.333368055559</v>
      </c>
      <c r="B69">
        <v>53208210.475704193</v>
      </c>
      <c r="C69">
        <v>53198476.166996002</v>
      </c>
      <c r="D69">
        <v>24853.631839932874</v>
      </c>
      <c r="E69">
        <v>159624.63142711669</v>
      </c>
      <c r="F69">
        <v>1.7071837236328511E+19</v>
      </c>
      <c r="G69">
        <v>3746</v>
      </c>
      <c r="H69">
        <v>4.7574901636740524E-4</v>
      </c>
      <c r="I69">
        <v>2101.9486443409332</v>
      </c>
      <c r="J69">
        <v>69</v>
      </c>
      <c r="K69">
        <f t="shared" si="9"/>
        <v>47.57490163674052</v>
      </c>
      <c r="L69">
        <f t="shared" si="10"/>
        <v>4.7574901636740523E-9</v>
      </c>
      <c r="M69">
        <f t="shared" si="8"/>
        <v>45.992454383460469</v>
      </c>
      <c r="N69">
        <f t="shared" ref="N69:N132" si="13">D69*0.003</f>
        <v>74.560895519798621</v>
      </c>
      <c r="O69" s="2">
        <f t="shared" si="11"/>
        <v>2.6940541751176898E-6</v>
      </c>
      <c r="P69" s="2">
        <f t="shared" si="12"/>
        <v>7.3317948534603966E-2</v>
      </c>
    </row>
    <row r="70" spans="1:16" x14ac:dyDescent="0.25">
      <c r="A70" s="1">
        <v>44390.333680555559</v>
      </c>
      <c r="B70">
        <v>96541768.408432007</v>
      </c>
      <c r="C70">
        <v>96496787.161998749</v>
      </c>
      <c r="D70">
        <v>47507.456999431364</v>
      </c>
      <c r="E70">
        <v>289625.30522529036</v>
      </c>
      <c r="F70">
        <v>1.6860487007523965E+19</v>
      </c>
      <c r="G70">
        <v>3734</v>
      </c>
      <c r="H70">
        <v>4.9959011578393784E-4</v>
      </c>
      <c r="I70">
        <v>2001.6408820075192</v>
      </c>
      <c r="J70">
        <v>70</v>
      </c>
      <c r="K70">
        <f t="shared" si="9"/>
        <v>49.959011578393785</v>
      </c>
      <c r="L70">
        <f t="shared" si="10"/>
        <v>4.9959011578393781E-9</v>
      </c>
      <c r="M70">
        <f t="shared" si="8"/>
        <v>44.881629581802017</v>
      </c>
      <c r="N70">
        <f t="shared" si="13"/>
        <v>142.52237099829409</v>
      </c>
      <c r="O70" s="2">
        <f t="shared" si="11"/>
        <v>2.6619414707163359E-6</v>
      </c>
      <c r="P70" s="2">
        <f t="shared" si="12"/>
        <v>0.13847596660079006</v>
      </c>
    </row>
    <row r="71" spans="1:16" x14ac:dyDescent="0.25">
      <c r="A71" s="1">
        <v>44391.333425925928</v>
      </c>
      <c r="B71">
        <v>108800051.78611374</v>
      </c>
      <c r="C71">
        <v>108777803.09780121</v>
      </c>
      <c r="D71">
        <v>56291.16663465742</v>
      </c>
      <c r="E71">
        <v>326400.15535834432</v>
      </c>
      <c r="F71">
        <v>1.2058106226636589E+19</v>
      </c>
      <c r="G71">
        <v>3720</v>
      </c>
      <c r="H71">
        <v>5.1228788319023118E-4</v>
      </c>
      <c r="I71">
        <v>1952.0274299141749</v>
      </c>
      <c r="J71">
        <v>71</v>
      </c>
      <c r="K71">
        <f t="shared" si="9"/>
        <v>51.228788319023117</v>
      </c>
      <c r="L71">
        <f t="shared" si="10"/>
        <v>5.1228788319023115E-9</v>
      </c>
      <c r="M71">
        <f t="shared" si="8"/>
        <v>44.321912685467659</v>
      </c>
      <c r="N71">
        <f t="shared" si="13"/>
        <v>168.87349990397226</v>
      </c>
      <c r="O71" s="2">
        <f t="shared" si="11"/>
        <v>3.6756943298077521E-6</v>
      </c>
      <c r="P71" s="2">
        <f t="shared" si="12"/>
        <v>0.22656548860891457</v>
      </c>
    </row>
    <row r="72" spans="1:16" x14ac:dyDescent="0.25">
      <c r="A72" s="1">
        <v>44392.333472222221</v>
      </c>
      <c r="B72">
        <v>98057464.547439575</v>
      </c>
      <c r="C72">
        <v>98037376.316608429</v>
      </c>
      <c r="D72">
        <v>49533.373794439249</v>
      </c>
      <c r="E72">
        <v>294172.39364231378</v>
      </c>
      <c r="F72">
        <v>1.2247382786037895E+19</v>
      </c>
      <c r="G72">
        <v>3744</v>
      </c>
      <c r="H72">
        <v>5.2216612477249053E-4</v>
      </c>
      <c r="I72">
        <v>1915.099338233983</v>
      </c>
      <c r="J72">
        <v>72</v>
      </c>
      <c r="K72">
        <f t="shared" si="9"/>
        <v>52.216612477249051</v>
      </c>
      <c r="L72">
        <f t="shared" si="10"/>
        <v>5.221661247724905E-9</v>
      </c>
      <c r="M72">
        <f t="shared" si="8"/>
        <v>43.900674096498356</v>
      </c>
      <c r="N72">
        <f t="shared" si="13"/>
        <v>148.60012138331774</v>
      </c>
      <c r="O72" s="2">
        <f t="shared" si="11"/>
        <v>3.5844943253137675E-6</v>
      </c>
      <c r="P72" s="2">
        <f t="shared" si="12"/>
        <v>0.19441954652139543</v>
      </c>
    </row>
    <row r="73" spans="1:16" x14ac:dyDescent="0.25">
      <c r="A73" s="1">
        <v>44393.333379629628</v>
      </c>
      <c r="B73">
        <v>95214162.320705414</v>
      </c>
      <c r="C73">
        <v>95196135.372543335</v>
      </c>
      <c r="D73">
        <v>49901.762533653527</v>
      </c>
      <c r="E73">
        <v>285642.48696212471</v>
      </c>
      <c r="F73">
        <v>1.1390819989059332E+19</v>
      </c>
      <c r="G73">
        <v>3753</v>
      </c>
      <c r="H73">
        <v>5.3796004631161793E-4</v>
      </c>
      <c r="I73">
        <v>1858.8741057188874</v>
      </c>
      <c r="J73">
        <v>73</v>
      </c>
      <c r="K73">
        <f t="shared" si="9"/>
        <v>53.796004631161793</v>
      </c>
      <c r="L73">
        <f t="shared" si="10"/>
        <v>5.3796004631161795E-9</v>
      </c>
      <c r="M73">
        <f t="shared" si="8"/>
        <v>43.251435353306356</v>
      </c>
      <c r="N73">
        <f t="shared" si="13"/>
        <v>149.70528760096059</v>
      </c>
      <c r="O73" s="2">
        <f t="shared" si="11"/>
        <v>3.7970431799333624E-6</v>
      </c>
      <c r="P73" s="2">
        <f t="shared" si="12"/>
        <v>0.20747966606909435</v>
      </c>
    </row>
    <row r="74" spans="1:16" x14ac:dyDescent="0.25">
      <c r="A74" s="1">
        <v>44394.333425925928</v>
      </c>
      <c r="B74">
        <v>82902387.130710602</v>
      </c>
      <c r="C74">
        <v>82904571.830924988</v>
      </c>
      <c r="D74">
        <v>43948.73268986959</v>
      </c>
      <c r="E74">
        <v>248707.16139212996</v>
      </c>
      <c r="F74">
        <v>1.2631591777191864E+19</v>
      </c>
      <c r="G74">
        <v>3771</v>
      </c>
      <c r="H74">
        <v>5.369926375269837E-4</v>
      </c>
      <c r="I74">
        <v>1862.2229247039729</v>
      </c>
      <c r="J74">
        <v>74</v>
      </c>
      <c r="K74">
        <f t="shared" si="9"/>
        <v>53.699263752698371</v>
      </c>
      <c r="L74">
        <f t="shared" si="10"/>
        <v>5.3699263752698366E-9</v>
      </c>
      <c r="M74">
        <f t="shared" si="8"/>
        <v>43.290377219274724</v>
      </c>
      <c r="N74">
        <f t="shared" si="13"/>
        <v>131.84619806960876</v>
      </c>
      <c r="O74" s="2">
        <f t="shared" si="11"/>
        <v>3.4271513822542666E-6</v>
      </c>
      <c r="P74" s="2">
        <f t="shared" si="12"/>
        <v>0.16492776118511876</v>
      </c>
    </row>
    <row r="75" spans="1:16" x14ac:dyDescent="0.25">
      <c r="A75" s="1">
        <v>44395.333854166667</v>
      </c>
      <c r="B75">
        <v>60440318.348072052</v>
      </c>
      <c r="C75">
        <v>60478278.737014771</v>
      </c>
      <c r="D75">
        <v>31365.045005864464</v>
      </c>
      <c r="E75">
        <v>181320.95504420996</v>
      </c>
      <c r="F75">
        <v>1.6931946831928533E+19</v>
      </c>
      <c r="G75">
        <v>3810</v>
      </c>
      <c r="H75">
        <v>5.0993688790988581E-4</v>
      </c>
      <c r="I75">
        <v>1961.0269892393358</v>
      </c>
      <c r="J75">
        <v>75</v>
      </c>
      <c r="K75">
        <f t="shared" si="9"/>
        <v>50.993688790988578</v>
      </c>
      <c r="L75">
        <f t="shared" si="10"/>
        <v>5.0993688790988582E-9</v>
      </c>
      <c r="M75">
        <f t="shared" si="8"/>
        <v>44.423965297616689</v>
      </c>
      <c r="N75">
        <f t="shared" si="13"/>
        <v>94.095135017593392</v>
      </c>
      <c r="O75" s="2">
        <f t="shared" si="11"/>
        <v>2.6236773442878124E-6</v>
      </c>
      <c r="P75" s="2">
        <f t="shared" si="12"/>
        <v>9.0109474992977334E-2</v>
      </c>
    </row>
    <row r="76" spans="1:16" x14ac:dyDescent="0.25">
      <c r="A76" s="1">
        <v>44396.333541666667</v>
      </c>
      <c r="B76">
        <v>60566641.916572571</v>
      </c>
      <c r="C76">
        <v>60538875.539913177</v>
      </c>
      <c r="D76">
        <v>31866.962817828171</v>
      </c>
      <c r="E76">
        <v>181699.92574971914</v>
      </c>
      <c r="F76">
        <v>1.2077570944855917E+19</v>
      </c>
      <c r="G76">
        <v>3817</v>
      </c>
      <c r="H76">
        <v>5.3645594011730749E-4</v>
      </c>
      <c r="I76">
        <v>1864.0859858524984</v>
      </c>
      <c r="J76">
        <v>76</v>
      </c>
      <c r="K76">
        <f t="shared" si="9"/>
        <v>53.645594011730751</v>
      </c>
      <c r="L76">
        <f t="shared" si="10"/>
        <v>5.364559401173075E-9</v>
      </c>
      <c r="M76">
        <f t="shared" si="8"/>
        <v>43.312026737355005</v>
      </c>
      <c r="N76">
        <f t="shared" si="13"/>
        <v>95.600888453484515</v>
      </c>
      <c r="O76" s="2">
        <f t="shared" si="11"/>
        <v>3.5861537833319436E-6</v>
      </c>
      <c r="P76" s="2">
        <f t="shared" si="12"/>
        <v>0.12513641305333589</v>
      </c>
    </row>
    <row r="77" spans="1:16" x14ac:dyDescent="0.25">
      <c r="A77" s="1">
        <v>44397.333368055559</v>
      </c>
      <c r="B77">
        <v>83837282.105438232</v>
      </c>
      <c r="C77">
        <v>83795887.837219238</v>
      </c>
      <c r="D77">
        <v>47077.122567887418</v>
      </c>
      <c r="E77">
        <v>251511.84631631523</v>
      </c>
      <c r="F77">
        <v>9.0371592787256453E+18</v>
      </c>
      <c r="G77">
        <v>3791</v>
      </c>
      <c r="H77">
        <v>5.7002567247022484E-4</v>
      </c>
      <c r="I77">
        <v>1754.3069519421247</v>
      </c>
      <c r="J77">
        <v>77</v>
      </c>
      <c r="K77">
        <f t="shared" si="9"/>
        <v>57.002567247022483</v>
      </c>
      <c r="L77">
        <f t="shared" si="10"/>
        <v>5.7002567247022482E-9</v>
      </c>
      <c r="M77">
        <f t="shared" si="8"/>
        <v>42.017318040324916</v>
      </c>
      <c r="N77">
        <f t="shared" si="13"/>
        <v>141.23136770366224</v>
      </c>
      <c r="O77" s="2">
        <f t="shared" si="11"/>
        <v>4.6493944329649899E-6</v>
      </c>
      <c r="P77" s="2">
        <f t="shared" si="12"/>
        <v>0.23967372218792513</v>
      </c>
    </row>
    <row r="78" spans="1:16" x14ac:dyDescent="0.25">
      <c r="A78" s="1">
        <v>44398.333379629628</v>
      </c>
      <c r="B78">
        <v>70654176.447494507</v>
      </c>
      <c r="C78">
        <v>70696585.380237579</v>
      </c>
      <c r="D78">
        <v>39093.790809638798</v>
      </c>
      <c r="E78">
        <v>211962.52934248</v>
      </c>
      <c r="F78">
        <v>1.3150476327673954E+19</v>
      </c>
      <c r="G78">
        <v>3790</v>
      </c>
      <c r="H78">
        <v>5.2478336217787376E-4</v>
      </c>
      <c r="I78">
        <v>1905.5482167916996</v>
      </c>
      <c r="J78">
        <v>78</v>
      </c>
      <c r="K78">
        <f t="shared" si="9"/>
        <v>52.478336217787373</v>
      </c>
      <c r="L78">
        <f t="shared" si="10"/>
        <v>5.2478336217787374E-9</v>
      </c>
      <c r="M78">
        <f t="shared" ref="M78:M141" si="14">1/(SQRT(H78)-SQRT(L78))</f>
        <v>43.791064960128303</v>
      </c>
      <c r="N78">
        <f t="shared" si="13"/>
        <v>117.2813724289164</v>
      </c>
      <c r="O78" s="2">
        <f t="shared" si="11"/>
        <v>3.3299983870526482E-6</v>
      </c>
      <c r="P78" s="2">
        <f t="shared" si="12"/>
        <v>0.1425495750721586</v>
      </c>
    </row>
    <row r="79" spans="1:16" x14ac:dyDescent="0.25">
      <c r="A79" s="1">
        <v>44399.333344907405</v>
      </c>
      <c r="B79">
        <v>188223910.61049271</v>
      </c>
      <c r="C79">
        <v>188310882.24880219</v>
      </c>
      <c r="D79">
        <v>94936.351945308037</v>
      </c>
      <c r="E79">
        <v>564671.73183148354</v>
      </c>
      <c r="F79">
        <v>1.5894209034146335E+19</v>
      </c>
      <c r="G79">
        <v>3793</v>
      </c>
      <c r="H79">
        <v>5.0521669377985145E-4</v>
      </c>
      <c r="I79">
        <v>1979.3486880220762</v>
      </c>
      <c r="J79">
        <v>79</v>
      </c>
      <c r="K79">
        <f t="shared" si="9"/>
        <v>50.521669377985148</v>
      </c>
      <c r="L79">
        <f t="shared" si="10"/>
        <v>5.0521669377985142E-9</v>
      </c>
      <c r="M79">
        <f t="shared" si="14"/>
        <v>44.63100738412475</v>
      </c>
      <c r="N79">
        <f t="shared" si="13"/>
        <v>284.80905583592414</v>
      </c>
      <c r="O79" s="2">
        <f t="shared" si="11"/>
        <v>2.8080043044760325E-6</v>
      </c>
      <c r="P79" s="2">
        <f t="shared" si="12"/>
        <v>0.29190694498047581</v>
      </c>
    </row>
    <row r="80" spans="1:16" x14ac:dyDescent="0.25">
      <c r="A80" s="1">
        <v>44400.33353009259</v>
      </c>
      <c r="B80">
        <v>103804179.59815979</v>
      </c>
      <c r="C80">
        <v>103805071.12717819</v>
      </c>
      <c r="D80">
        <v>51503.199668880552</v>
      </c>
      <c r="E80">
        <v>311412.53879448026</v>
      </c>
      <c r="F80">
        <v>1.7893922615610284E+19</v>
      </c>
      <c r="G80">
        <v>3819</v>
      </c>
      <c r="H80">
        <v>4.85407834617119E-4</v>
      </c>
      <c r="I80">
        <v>2060.1233204008381</v>
      </c>
      <c r="J80">
        <v>80</v>
      </c>
      <c r="K80">
        <f t="shared" si="9"/>
        <v>48.540783461711897</v>
      </c>
      <c r="L80">
        <f t="shared" si="10"/>
        <v>4.8540783461711904E-9</v>
      </c>
      <c r="M80">
        <f t="shared" si="14"/>
        <v>45.532568010472509</v>
      </c>
      <c r="N80">
        <f t="shared" si="13"/>
        <v>154.50959900664165</v>
      </c>
      <c r="O80" s="2">
        <f t="shared" si="11"/>
        <v>2.5445828166682049E-6</v>
      </c>
      <c r="P80" s="2">
        <f t="shared" si="12"/>
        <v>0.14350430178454721</v>
      </c>
    </row>
    <row r="81" spans="1:16" x14ac:dyDescent="0.25">
      <c r="A81" s="1">
        <v>44401.333645833336</v>
      </c>
      <c r="B81">
        <v>80110368.451728821</v>
      </c>
      <c r="C81">
        <v>80158578.408782959</v>
      </c>
      <c r="D81">
        <v>38290.160723896697</v>
      </c>
      <c r="E81">
        <v>240331.1053551808</v>
      </c>
      <c r="F81">
        <v>1.4684450632280924E+19</v>
      </c>
      <c r="G81">
        <v>3822</v>
      </c>
      <c r="H81">
        <v>4.65583528361603E-4</v>
      </c>
      <c r="I81">
        <v>2147.8423077358825</v>
      </c>
      <c r="J81">
        <v>81</v>
      </c>
      <c r="K81">
        <f t="shared" si="9"/>
        <v>46.558352836160303</v>
      </c>
      <c r="L81">
        <f t="shared" si="10"/>
        <v>4.6558352836160295E-9</v>
      </c>
      <c r="M81">
        <f t="shared" si="14"/>
        <v>46.491839749150721</v>
      </c>
      <c r="N81">
        <f t="shared" si="13"/>
        <v>114.8704821716901</v>
      </c>
      <c r="O81" s="2">
        <f t="shared" si="11"/>
        <v>3.166059181468281E-6</v>
      </c>
      <c r="P81" s="2">
        <f t="shared" si="12"/>
        <v>0.13274566183716929</v>
      </c>
    </row>
    <row r="82" spans="1:16" x14ac:dyDescent="0.25">
      <c r="A82" s="1">
        <v>44402.333599537036</v>
      </c>
      <c r="B82">
        <v>72168934.614055634</v>
      </c>
      <c r="C82">
        <v>72179393.47990799</v>
      </c>
      <c r="D82">
        <v>33250.296468462795</v>
      </c>
      <c r="E82">
        <v>216506.80384217948</v>
      </c>
      <c r="F82">
        <v>1.4924717529855332E+19</v>
      </c>
      <c r="G82">
        <v>3842</v>
      </c>
      <c r="H82">
        <v>4.6242845751745011E-4</v>
      </c>
      <c r="I82">
        <v>2162.4966710926615</v>
      </c>
      <c r="J82">
        <v>82</v>
      </c>
      <c r="K82">
        <f t="shared" si="9"/>
        <v>46.242845751745008</v>
      </c>
      <c r="L82">
        <f t="shared" si="10"/>
        <v>4.6242845751745011E-9</v>
      </c>
      <c r="M82">
        <f t="shared" si="14"/>
        <v>46.650173101941725</v>
      </c>
      <c r="N82">
        <f t="shared" si="13"/>
        <v>99.750889405388392</v>
      </c>
      <c r="O82" s="2">
        <f t="shared" si="11"/>
        <v>3.1256988957159786E-6</v>
      </c>
      <c r="P82" s="2">
        <f t="shared" si="12"/>
        <v>0.11380380437430486</v>
      </c>
    </row>
    <row r="83" spans="1:16" x14ac:dyDescent="0.25">
      <c r="A83" s="1">
        <v>44403.333483796298</v>
      </c>
      <c r="B83">
        <v>125805652.83577347</v>
      </c>
      <c r="C83">
        <v>125857793.14255524</v>
      </c>
      <c r="D83">
        <v>55547.168572333641</v>
      </c>
      <c r="E83">
        <v>377416.95850731432</v>
      </c>
      <c r="F83">
        <v>1.7019900381956323E+19</v>
      </c>
      <c r="G83">
        <v>3778</v>
      </c>
      <c r="H83">
        <v>4.2623717205826818E-4</v>
      </c>
      <c r="I83">
        <v>2346.1116616626209</v>
      </c>
      <c r="J83">
        <v>83</v>
      </c>
      <c r="K83">
        <f t="shared" si="9"/>
        <v>42.623717205826814</v>
      </c>
      <c r="L83">
        <f t="shared" si="10"/>
        <v>4.262371720582682E-9</v>
      </c>
      <c r="M83">
        <f t="shared" si="14"/>
        <v>48.59033294745084</v>
      </c>
      <c r="N83">
        <f t="shared" si="13"/>
        <v>166.64150571700094</v>
      </c>
      <c r="O83" s="2">
        <f t="shared" si="11"/>
        <v>2.8549128876784711E-6</v>
      </c>
      <c r="P83" s="2">
        <f t="shared" si="12"/>
        <v>0.17364764853716824</v>
      </c>
    </row>
    <row r="84" spans="1:16" x14ac:dyDescent="0.25">
      <c r="A84" s="1">
        <v>44404.333391203705</v>
      </c>
      <c r="B84">
        <v>196314297.57120132</v>
      </c>
      <c r="C84">
        <v>196259813.47145462</v>
      </c>
      <c r="D84">
        <v>86400.887988517061</v>
      </c>
      <c r="E84">
        <v>588942.89271360636</v>
      </c>
      <c r="F84">
        <v>1.7567886411435915E+19</v>
      </c>
      <c r="G84">
        <v>3788</v>
      </c>
      <c r="H84">
        <v>4.3978869299754903E-4</v>
      </c>
      <c r="I84">
        <v>2273.8192589357295</v>
      </c>
      <c r="J84">
        <v>84</v>
      </c>
      <c r="K84">
        <f t="shared" si="9"/>
        <v>43.978869299754905</v>
      </c>
      <c r="L84">
        <f t="shared" si="10"/>
        <v>4.3978869299754904E-9</v>
      </c>
      <c r="M84">
        <f t="shared" si="14"/>
        <v>47.835851178423042</v>
      </c>
      <c r="N84">
        <f t="shared" si="13"/>
        <v>259.20266396555121</v>
      </c>
      <c r="O84" s="2">
        <f t="shared" si="11"/>
        <v>2.7229144165734142E-6</v>
      </c>
      <c r="P84" s="2">
        <f t="shared" si="12"/>
        <v>0.25761213474200229</v>
      </c>
    </row>
    <row r="85" spans="1:16" x14ac:dyDescent="0.25">
      <c r="A85" s="1">
        <v>44405.333645833336</v>
      </c>
      <c r="B85">
        <v>154436442.8177681</v>
      </c>
      <c r="C85">
        <v>154455067.24246979</v>
      </c>
      <c r="D85">
        <v>67682.926126471721</v>
      </c>
      <c r="E85">
        <v>463309.32845330238</v>
      </c>
      <c r="F85">
        <v>1.8519514770538136E+19</v>
      </c>
      <c r="G85">
        <v>3794</v>
      </c>
      <c r="H85">
        <v>4.2841642504675966E-4</v>
      </c>
      <c r="I85">
        <v>2334.1775467428793</v>
      </c>
      <c r="J85">
        <v>85</v>
      </c>
      <c r="K85">
        <f t="shared" si="9"/>
        <v>42.841642504675967</v>
      </c>
      <c r="L85">
        <f t="shared" si="10"/>
        <v>4.2841642504675969E-9</v>
      </c>
      <c r="M85">
        <f t="shared" si="14"/>
        <v>48.466591622636095</v>
      </c>
      <c r="N85">
        <f t="shared" si="13"/>
        <v>203.04877837941515</v>
      </c>
      <c r="O85" s="2">
        <f t="shared" si="11"/>
        <v>2.6170551563121633E-6</v>
      </c>
      <c r="P85" s="2">
        <f t="shared" si="12"/>
        <v>0.19395729614086796</v>
      </c>
    </row>
    <row r="86" spans="1:16" x14ac:dyDescent="0.25">
      <c r="A86" s="1">
        <v>44406.333414351851</v>
      </c>
      <c r="B86">
        <v>91603694.168540955</v>
      </c>
      <c r="C86">
        <v>91587610.01966095</v>
      </c>
      <c r="D86">
        <v>39884.801278133877</v>
      </c>
      <c r="E86">
        <v>274811.08250562102</v>
      </c>
      <c r="F86">
        <v>1.8449707156548743E+19</v>
      </c>
      <c r="G86">
        <v>3824</v>
      </c>
      <c r="H86">
        <v>4.3593572307533824E-4</v>
      </c>
      <c r="I86">
        <v>2293.9161602665454</v>
      </c>
      <c r="J86">
        <v>86</v>
      </c>
      <c r="K86">
        <f t="shared" si="9"/>
        <v>43.593572307533826</v>
      </c>
      <c r="L86">
        <f t="shared" si="10"/>
        <v>4.3593572307533824E-9</v>
      </c>
      <c r="M86">
        <f t="shared" si="14"/>
        <v>48.046782084948141</v>
      </c>
      <c r="N86">
        <f t="shared" si="13"/>
        <v>119.65440383440163</v>
      </c>
      <c r="O86" s="2">
        <f t="shared" si="11"/>
        <v>2.604202965242941E-6</v>
      </c>
      <c r="P86" s="2">
        <f t="shared" si="12"/>
        <v>0.11373558894352265</v>
      </c>
    </row>
    <row r="87" spans="1:16" x14ac:dyDescent="0.25">
      <c r="A87" s="1">
        <v>44407.333703703705</v>
      </c>
      <c r="B87">
        <v>90075499.413471222</v>
      </c>
      <c r="C87">
        <v>90091172.639961243</v>
      </c>
      <c r="D87">
        <v>38168.021588535048</v>
      </c>
      <c r="E87">
        <v>270226.49824041128</v>
      </c>
      <c r="F87">
        <v>1.9105787518485856E+19</v>
      </c>
      <c r="G87">
        <v>3862</v>
      </c>
      <c r="H87">
        <v>4.2679161296887242E-4</v>
      </c>
      <c r="I87">
        <v>2343.0638503970176</v>
      </c>
      <c r="J87">
        <v>87</v>
      </c>
      <c r="K87">
        <f t="shared" si="9"/>
        <v>42.679161296887244</v>
      </c>
      <c r="L87">
        <f t="shared" si="10"/>
        <v>4.2679161296887243E-9</v>
      </c>
      <c r="M87">
        <f t="shared" si="14"/>
        <v>48.558761071573677</v>
      </c>
      <c r="N87">
        <f t="shared" si="13"/>
        <v>114.50406476560515</v>
      </c>
      <c r="O87" s="2">
        <f t="shared" si="11"/>
        <v>2.541573385791636E-6</v>
      </c>
      <c r="P87" s="2">
        <f t="shared" si="12"/>
        <v>0.10622247650422671</v>
      </c>
    </row>
    <row r="88" spans="1:16" x14ac:dyDescent="0.25">
      <c r="A88" s="1">
        <v>44408.333495370367</v>
      </c>
      <c r="B88">
        <v>84127156.419658661</v>
      </c>
      <c r="C88">
        <v>84165074.704395294</v>
      </c>
      <c r="D88">
        <v>34684.523511127569</v>
      </c>
      <c r="E88">
        <v>252381.46925897896</v>
      </c>
      <c r="F88">
        <v>1.4959961926221732E+19</v>
      </c>
      <c r="G88">
        <v>3865</v>
      </c>
      <c r="H88">
        <v>4.0593716154542139E-4</v>
      </c>
      <c r="I88">
        <v>2463.4354642303606</v>
      </c>
      <c r="J88">
        <v>88</v>
      </c>
      <c r="K88">
        <f t="shared" si="9"/>
        <v>40.593716154542136</v>
      </c>
      <c r="L88">
        <f t="shared" si="10"/>
        <v>4.059371615454214E-9</v>
      </c>
      <c r="M88">
        <f t="shared" si="14"/>
        <v>49.79045906601965</v>
      </c>
      <c r="N88">
        <f t="shared" si="13"/>
        <v>104.05357053338271</v>
      </c>
      <c r="O88" s="2">
        <f t="shared" si="11"/>
        <v>3.3282477129000729E-6</v>
      </c>
      <c r="P88" s="2">
        <f t="shared" si="12"/>
        <v>0.12640536122358836</v>
      </c>
    </row>
    <row r="89" spans="1:16" x14ac:dyDescent="0.25">
      <c r="A89" s="1">
        <v>44409.33353009259</v>
      </c>
      <c r="B89">
        <v>84296162.723644257</v>
      </c>
      <c r="C89">
        <v>84334471.828651428</v>
      </c>
      <c r="D89">
        <v>33247.494855253957</v>
      </c>
      <c r="E89">
        <v>252888.48817092925</v>
      </c>
      <c r="F89">
        <v>1.3093704075195605E+19</v>
      </c>
      <c r="G89">
        <v>3805</v>
      </c>
      <c r="H89">
        <v>3.8741664188982977E-4</v>
      </c>
      <c r="I89">
        <v>2581.2004231980604</v>
      </c>
      <c r="J89">
        <v>89</v>
      </c>
      <c r="K89">
        <f t="shared" si="9"/>
        <v>38.74166418898298</v>
      </c>
      <c r="L89">
        <f t="shared" si="10"/>
        <v>3.8741664188982974E-9</v>
      </c>
      <c r="M89">
        <f t="shared" si="14"/>
        <v>50.966686491026294</v>
      </c>
      <c r="N89">
        <f t="shared" si="13"/>
        <v>99.74248456576187</v>
      </c>
      <c r="O89" s="2">
        <f t="shared" si="11"/>
        <v>3.8924574893651634E-6</v>
      </c>
      <c r="P89" s="2">
        <f t="shared" si="12"/>
        <v>0.1417088340853995</v>
      </c>
    </row>
    <row r="90" spans="1:16" x14ac:dyDescent="0.25">
      <c r="A90" s="1">
        <v>44410.333449074074</v>
      </c>
      <c r="B90">
        <v>162614230.4555397</v>
      </c>
      <c r="C90">
        <v>162596239.58283615</v>
      </c>
      <c r="D90">
        <v>62703.011519610882</v>
      </c>
      <c r="E90">
        <v>487842.69136662036</v>
      </c>
      <c r="F90">
        <v>1.291397779194744E+19</v>
      </c>
      <c r="G90">
        <v>3789</v>
      </c>
      <c r="H90">
        <v>3.8621756977456542E-4</v>
      </c>
      <c r="I90">
        <v>2589.2141587025635</v>
      </c>
      <c r="J90">
        <v>90</v>
      </c>
      <c r="K90">
        <f t="shared" si="9"/>
        <v>38.621756977456542</v>
      </c>
      <c r="L90">
        <f t="shared" si="10"/>
        <v>3.8621756977456539E-9</v>
      </c>
      <c r="M90">
        <f t="shared" si="14"/>
        <v>51.045742154682593</v>
      </c>
      <c r="N90">
        <f t="shared" si="13"/>
        <v>188.10903455883266</v>
      </c>
      <c r="O90" s="2">
        <f t="shared" si="11"/>
        <v>3.952751272850443E-6</v>
      </c>
      <c r="P90" s="2">
        <f t="shared" si="12"/>
        <v>0.27139510241228926</v>
      </c>
    </row>
    <row r="91" spans="1:16" x14ac:dyDescent="0.25">
      <c r="A91" s="1">
        <v>44411.333437499998</v>
      </c>
      <c r="B91">
        <v>155855586.25691223</v>
      </c>
      <c r="C91">
        <v>155813621.08747482</v>
      </c>
      <c r="D91">
        <v>60481.718747124076</v>
      </c>
      <c r="E91">
        <v>467566.75877074152</v>
      </c>
      <c r="F91">
        <v>1.488161905413504E+19</v>
      </c>
      <c r="G91">
        <v>3789</v>
      </c>
      <c r="H91">
        <v>4.008546942107925E-4</v>
      </c>
      <c r="I91">
        <v>2494.669550942423</v>
      </c>
      <c r="J91">
        <v>91</v>
      </c>
      <c r="K91">
        <f t="shared" si="9"/>
        <v>40.085469421079253</v>
      </c>
      <c r="L91">
        <f t="shared" si="10"/>
        <v>4.0085469421079252E-9</v>
      </c>
      <c r="M91">
        <f t="shared" si="14"/>
        <v>50.105113345999357</v>
      </c>
      <c r="N91">
        <f t="shared" si="13"/>
        <v>181.44515624137225</v>
      </c>
      <c r="O91" s="2">
        <f t="shared" si="11"/>
        <v>3.3669127776844306E-6</v>
      </c>
      <c r="P91" s="2">
        <f t="shared" si="12"/>
        <v>0.2229821554742788</v>
      </c>
    </row>
    <row r="92" spans="1:16" x14ac:dyDescent="0.25">
      <c r="A92" s="1">
        <v>44412.333460648151</v>
      </c>
      <c r="B92">
        <v>157160679.41207886</v>
      </c>
      <c r="C92">
        <v>157165514.57054138</v>
      </c>
      <c r="D92">
        <v>62892.306615428999</v>
      </c>
      <c r="E92">
        <v>471482.03823623806</v>
      </c>
      <c r="F92">
        <v>1.6073889896958636E+19</v>
      </c>
      <c r="G92">
        <v>3806</v>
      </c>
      <c r="H92">
        <v>3.9957407330548644E-4</v>
      </c>
      <c r="I92">
        <v>2502.664879448947</v>
      </c>
      <c r="J92">
        <v>92</v>
      </c>
      <c r="K92">
        <f t="shared" si="9"/>
        <v>39.957407330548648</v>
      </c>
      <c r="L92">
        <f t="shared" si="10"/>
        <v>3.9957407330548643E-9</v>
      </c>
      <c r="M92">
        <f t="shared" si="14"/>
        <v>50.185341681556942</v>
      </c>
      <c r="N92">
        <f t="shared" si="13"/>
        <v>188.67691984628701</v>
      </c>
      <c r="O92" s="2">
        <f t="shared" si="11"/>
        <v>3.1221653254606765E-6</v>
      </c>
      <c r="P92" s="2">
        <f t="shared" si="12"/>
        <v>0.21501439595346225</v>
      </c>
    </row>
    <row r="93" spans="1:16" x14ac:dyDescent="0.25">
      <c r="A93" s="1">
        <v>44413.333761574075</v>
      </c>
      <c r="B93">
        <v>213212858.73881531</v>
      </c>
      <c r="C93">
        <v>213252032.25128174</v>
      </c>
      <c r="D93">
        <v>80060.664542552084</v>
      </c>
      <c r="E93">
        <v>639638.57621644437</v>
      </c>
      <c r="F93">
        <v>2.1948580894728487E+19</v>
      </c>
      <c r="G93">
        <v>3789</v>
      </c>
      <c r="H93">
        <v>3.8229836842427133E-4</v>
      </c>
      <c r="I93">
        <v>2615.7579592131788</v>
      </c>
      <c r="J93">
        <v>93</v>
      </c>
      <c r="K93">
        <f t="shared" si="9"/>
        <v>38.229836842427133</v>
      </c>
      <c r="L93">
        <f t="shared" si="10"/>
        <v>3.8229836842427134E-9</v>
      </c>
      <c r="M93">
        <f t="shared" si="14"/>
        <v>51.306727337188342</v>
      </c>
      <c r="N93">
        <f t="shared" si="13"/>
        <v>240.18199362765625</v>
      </c>
      <c r="O93" s="2">
        <f t="shared" si="11"/>
        <v>2.3375874542080744E-6</v>
      </c>
      <c r="P93" s="2">
        <f t="shared" si="12"/>
        <v>0.20492794148620291</v>
      </c>
    </row>
    <row r="94" spans="1:16" x14ac:dyDescent="0.25">
      <c r="A94" s="1">
        <v>44414.333541666667</v>
      </c>
      <c r="B94">
        <v>241943976.70272446</v>
      </c>
      <c r="C94">
        <v>241892375.16854477</v>
      </c>
      <c r="D94">
        <v>88145.690580356866</v>
      </c>
      <c r="E94">
        <v>725831.93010817468</v>
      </c>
      <c r="F94">
        <v>2.3077610183835828E+19</v>
      </c>
      <c r="G94">
        <v>3810</v>
      </c>
      <c r="H94">
        <v>3.6423664963260253E-4</v>
      </c>
      <c r="I94">
        <v>2745.4678188169091</v>
      </c>
      <c r="J94">
        <v>94</v>
      </c>
      <c r="K94">
        <f t="shared" si="9"/>
        <v>36.423664963260251</v>
      </c>
      <c r="L94">
        <f t="shared" si="10"/>
        <v>3.6423664963260254E-9</v>
      </c>
      <c r="M94">
        <f t="shared" si="14"/>
        <v>52.563432104524999</v>
      </c>
      <c r="N94">
        <f t="shared" si="13"/>
        <v>264.43707174107061</v>
      </c>
      <c r="O94" s="2">
        <f t="shared" si="11"/>
        <v>2.2776809074165671E-6</v>
      </c>
      <c r="P94" s="2">
        <f t="shared" si="12"/>
        <v>0.21984069337399026</v>
      </c>
    </row>
    <row r="95" spans="1:16" x14ac:dyDescent="0.25">
      <c r="A95" s="1">
        <v>44415.333483796298</v>
      </c>
      <c r="B95">
        <v>206786683.36188889</v>
      </c>
      <c r="C95">
        <v>207019782.03006363</v>
      </c>
      <c r="D95">
        <v>70343.550157573074</v>
      </c>
      <c r="E95">
        <v>620360.0500856638</v>
      </c>
      <c r="F95">
        <v>4.8775442710945579E+19</v>
      </c>
      <c r="G95">
        <v>3786</v>
      </c>
      <c r="H95">
        <v>3.2240544270726673E-4</v>
      </c>
      <c r="I95">
        <v>3101.6846105416598</v>
      </c>
      <c r="J95">
        <v>95</v>
      </c>
      <c r="K95">
        <f t="shared" si="9"/>
        <v>32.240544270726673</v>
      </c>
      <c r="L95">
        <f t="shared" si="10"/>
        <v>3.2240544270726673E-9</v>
      </c>
      <c r="M95">
        <f t="shared" si="14"/>
        <v>55.869444519145262</v>
      </c>
      <c r="N95">
        <f t="shared" si="13"/>
        <v>211.03065047271923</v>
      </c>
      <c r="O95" s="2">
        <f t="shared" si="11"/>
        <v>1.1454420793316087E-6</v>
      </c>
      <c r="P95" s="2">
        <f t="shared" si="12"/>
        <v>8.8229036284263304E-2</v>
      </c>
    </row>
    <row r="96" spans="1:16" x14ac:dyDescent="0.25">
      <c r="A96" s="1">
        <v>44416.333333333336</v>
      </c>
      <c r="B96">
        <v>291693745.09218597</v>
      </c>
      <c r="C96">
        <v>291686801.68852997</v>
      </c>
      <c r="D96">
        <v>93931.899231569842</v>
      </c>
      <c r="E96">
        <v>875081.23527655751</v>
      </c>
      <c r="F96">
        <v>2.1664099818346701E+19</v>
      </c>
      <c r="G96">
        <v>3747</v>
      </c>
      <c r="H96">
        <v>3.2176130837706292E-4</v>
      </c>
      <c r="I96">
        <v>3107.8938765009261</v>
      </c>
      <c r="J96">
        <v>96</v>
      </c>
      <c r="K96">
        <f t="shared" si="9"/>
        <v>32.176130837706289</v>
      </c>
      <c r="L96">
        <f t="shared" si="10"/>
        <v>3.2176130837706293E-9</v>
      </c>
      <c r="M96">
        <f t="shared" si="14"/>
        <v>55.925339111619948</v>
      </c>
      <c r="N96">
        <f t="shared" si="13"/>
        <v>281.79569769470953</v>
      </c>
      <c r="O96" s="2">
        <f t="shared" si="11"/>
        <v>2.5814753246409245E-6</v>
      </c>
      <c r="P96" s="2">
        <f t="shared" si="12"/>
        <v>0.26551875366893612</v>
      </c>
    </row>
    <row r="97" spans="1:16" x14ac:dyDescent="0.25">
      <c r="A97" s="1">
        <v>44417.333391203705</v>
      </c>
      <c r="B97">
        <v>273312527.53959274</v>
      </c>
      <c r="C97">
        <v>273299654.05084991</v>
      </c>
      <c r="D97">
        <v>91027.778454655781</v>
      </c>
      <c r="E97">
        <v>819937.58261877298</v>
      </c>
      <c r="F97">
        <v>1.929588697470011E+19</v>
      </c>
      <c r="G97">
        <v>3751</v>
      </c>
      <c r="H97">
        <v>3.1974068481088953E-4</v>
      </c>
      <c r="I97">
        <v>3127.5344286932063</v>
      </c>
      <c r="J97">
        <v>97</v>
      </c>
      <c r="K97">
        <f t="shared" si="9"/>
        <v>31.974068481088953</v>
      </c>
      <c r="L97">
        <f t="shared" si="10"/>
        <v>3.1974068481088954E-9</v>
      </c>
      <c r="M97">
        <f t="shared" si="14"/>
        <v>56.10177284553145</v>
      </c>
      <c r="N97">
        <f t="shared" si="13"/>
        <v>273.08333536396736</v>
      </c>
      <c r="O97" s="2">
        <f t="shared" si="11"/>
        <v>2.9074472149992145E-6</v>
      </c>
      <c r="P97" s="2">
        <f t="shared" si="12"/>
        <v>0.28980101474633213</v>
      </c>
    </row>
    <row r="98" spans="1:16" x14ac:dyDescent="0.25">
      <c r="A98" s="1">
        <v>44418.333460648151</v>
      </c>
      <c r="B98">
        <v>343657219.99753189</v>
      </c>
      <c r="C98">
        <v>343537325.46098328</v>
      </c>
      <c r="D98">
        <v>109971.94391073845</v>
      </c>
      <c r="E98">
        <v>1030971.659992598</v>
      </c>
      <c r="F98">
        <v>2.3568203621732602E+19</v>
      </c>
      <c r="G98">
        <v>3742</v>
      </c>
      <c r="H98">
        <v>3.194530620251265E-4</v>
      </c>
      <c r="I98">
        <v>3130.350335854177</v>
      </c>
      <c r="J98">
        <v>98</v>
      </c>
      <c r="K98">
        <f t="shared" si="9"/>
        <v>31.945306202512651</v>
      </c>
      <c r="L98">
        <f t="shared" si="10"/>
        <v>3.1945306202512648E-9</v>
      </c>
      <c r="M98">
        <f t="shared" si="14"/>
        <v>56.127023061694729</v>
      </c>
      <c r="N98">
        <f t="shared" si="13"/>
        <v>329.91583173221539</v>
      </c>
      <c r="O98" s="2">
        <f t="shared" si="11"/>
        <v>2.3814722565422486E-6</v>
      </c>
      <c r="P98" s="2">
        <f t="shared" si="12"/>
        <v>0.2867751710964811</v>
      </c>
    </row>
    <row r="99" spans="1:16" x14ac:dyDescent="0.25">
      <c r="A99" s="1">
        <v>44419.333703703705</v>
      </c>
      <c r="B99">
        <v>182531937.50097275</v>
      </c>
      <c r="C99">
        <v>182561879.7937088</v>
      </c>
      <c r="D99">
        <v>57742.26957850717</v>
      </c>
      <c r="E99">
        <v>547595.81250292063</v>
      </c>
      <c r="F99">
        <v>1.9909564762577678E+19</v>
      </c>
      <c r="G99">
        <v>3735</v>
      </c>
      <c r="H99">
        <v>3.1041552004684551E-4</v>
      </c>
      <c r="I99">
        <v>3221.4884096294145</v>
      </c>
      <c r="J99">
        <v>99</v>
      </c>
      <c r="K99">
        <f t="shared" si="9"/>
        <v>31.041552004684551</v>
      </c>
      <c r="L99">
        <f t="shared" si="10"/>
        <v>3.104155200468455E-9</v>
      </c>
      <c r="M99">
        <f t="shared" si="14"/>
        <v>56.93821164252298</v>
      </c>
      <c r="N99">
        <f t="shared" si="13"/>
        <v>173.2268087355215</v>
      </c>
      <c r="O99" s="2">
        <f t="shared" si="11"/>
        <v>2.8598421071235526E-6</v>
      </c>
      <c r="P99" s="2">
        <f t="shared" si="12"/>
        <v>0.18082148242213608</v>
      </c>
    </row>
    <row r="100" spans="1:16" x14ac:dyDescent="0.25">
      <c r="A100" s="1">
        <v>44420.333622685182</v>
      </c>
      <c r="B100">
        <v>152855844.26236725</v>
      </c>
      <c r="C100">
        <v>152791659.43721008</v>
      </c>
      <c r="D100">
        <v>47989.045054620132</v>
      </c>
      <c r="E100">
        <v>458567.53278709948</v>
      </c>
      <c r="F100">
        <v>2.2204993540544143E+19</v>
      </c>
      <c r="G100">
        <v>3744</v>
      </c>
      <c r="H100">
        <v>3.2227651276428115E-4</v>
      </c>
      <c r="I100">
        <v>3102.9254704993596</v>
      </c>
      <c r="J100">
        <v>100</v>
      </c>
      <c r="K100">
        <f t="shared" si="9"/>
        <v>32.227651276428112</v>
      </c>
      <c r="L100">
        <f t="shared" si="10"/>
        <v>3.2227651276428116E-9</v>
      </c>
      <c r="M100">
        <f t="shared" si="14"/>
        <v>55.88061896674354</v>
      </c>
      <c r="N100">
        <f t="shared" si="13"/>
        <v>143.96713516386041</v>
      </c>
      <c r="O100" s="2">
        <f t="shared" si="11"/>
        <v>2.5165789336849391E-6</v>
      </c>
      <c r="P100" s="2">
        <f t="shared" si="12"/>
        <v>0.1322412007161653</v>
      </c>
    </row>
    <row r="101" spans="1:16" x14ac:dyDescent="0.25">
      <c r="A101" s="1">
        <v>44421.333344907405</v>
      </c>
      <c r="B101">
        <v>203069034.58288956</v>
      </c>
      <c r="C101">
        <v>203095788.71022797</v>
      </c>
      <c r="D101">
        <v>66138.484496425837</v>
      </c>
      <c r="E101">
        <v>609207.10374867171</v>
      </c>
      <c r="F101">
        <v>2.0756421931321012E+19</v>
      </c>
      <c r="G101">
        <v>3755</v>
      </c>
      <c r="H101">
        <v>3.0995026905441175E-4</v>
      </c>
      <c r="I101">
        <v>3226.3240262729055</v>
      </c>
      <c r="J101">
        <v>101</v>
      </c>
      <c r="K101">
        <f t="shared" si="9"/>
        <v>30.995026905441176</v>
      </c>
      <c r="L101">
        <f t="shared" si="10"/>
        <v>3.0995026905441174E-9</v>
      </c>
      <c r="M101">
        <f t="shared" si="14"/>
        <v>56.98092918248868</v>
      </c>
      <c r="N101">
        <f t="shared" si="13"/>
        <v>198.41545348927752</v>
      </c>
      <c r="O101" s="2">
        <f t="shared" si="11"/>
        <v>2.7452192565282953E-6</v>
      </c>
      <c r="P101" s="2">
        <f t="shared" si="12"/>
        <v>0.19881328215471905</v>
      </c>
    </row>
    <row r="102" spans="1:16" x14ac:dyDescent="0.25">
      <c r="A102" s="1">
        <v>44422.333356481482</v>
      </c>
      <c r="B102">
        <v>120962764.68085098</v>
      </c>
      <c r="C102">
        <v>120977048.77158356</v>
      </c>
      <c r="D102">
        <v>37085.100406296551</v>
      </c>
      <c r="E102">
        <v>362888.29404254258</v>
      </c>
      <c r="F102">
        <v>2.1298984107876614E+19</v>
      </c>
      <c r="G102">
        <v>3746</v>
      </c>
      <c r="H102">
        <v>3.0896006287773763E-4</v>
      </c>
      <c r="I102">
        <v>3236.6642817383236</v>
      </c>
      <c r="J102">
        <v>102</v>
      </c>
      <c r="K102">
        <f t="shared" si="9"/>
        <v>30.896006287773762</v>
      </c>
      <c r="L102">
        <f t="shared" si="10"/>
        <v>3.0896006287773765E-9</v>
      </c>
      <c r="M102">
        <f t="shared" si="14"/>
        <v>57.072167078215365</v>
      </c>
      <c r="N102">
        <f t="shared" si="13"/>
        <v>111.25530121888966</v>
      </c>
      <c r="O102" s="2">
        <f t="shared" si="11"/>
        <v>2.6795722645339411E-6</v>
      </c>
      <c r="P102" s="2">
        <f t="shared" si="12"/>
        <v>0.10881256609140465</v>
      </c>
    </row>
    <row r="103" spans="1:16" x14ac:dyDescent="0.25">
      <c r="A103" s="1">
        <v>44423.333344907405</v>
      </c>
      <c r="B103">
        <v>126737606.38712311</v>
      </c>
      <c r="C103">
        <v>126699422.1687851</v>
      </c>
      <c r="D103">
        <v>39470.803097175434</v>
      </c>
      <c r="E103">
        <v>380212.8191613704</v>
      </c>
      <c r="F103">
        <v>2.1374878163116618E+19</v>
      </c>
      <c r="G103">
        <v>3744</v>
      </c>
      <c r="H103">
        <v>3.1678102815658565E-4</v>
      </c>
      <c r="I103">
        <v>3156.7547015653272</v>
      </c>
      <c r="J103">
        <v>103</v>
      </c>
      <c r="K103">
        <f t="shared" si="9"/>
        <v>31.678102815658566</v>
      </c>
      <c r="L103">
        <f t="shared" si="10"/>
        <v>3.1678102815658567E-9</v>
      </c>
      <c r="M103">
        <f t="shared" si="14"/>
        <v>56.363240457189306</v>
      </c>
      <c r="N103">
        <f t="shared" si="13"/>
        <v>118.4124092915263</v>
      </c>
      <c r="O103" s="2">
        <f t="shared" si="11"/>
        <v>2.6368917767422316E-6</v>
      </c>
      <c r="P103" s="2">
        <f t="shared" si="12"/>
        <v>0.11396785853864731</v>
      </c>
    </row>
    <row r="104" spans="1:16" x14ac:dyDescent="0.25">
      <c r="A104" s="1">
        <v>44424.333356481482</v>
      </c>
      <c r="B104">
        <v>105287848.40917587</v>
      </c>
      <c r="C104">
        <v>105343645.12316132</v>
      </c>
      <c r="D104">
        <v>32607.901418315247</v>
      </c>
      <c r="E104">
        <v>315863.54522752762</v>
      </c>
      <c r="F104">
        <v>2.150087128595071E+19</v>
      </c>
      <c r="G104">
        <v>3751</v>
      </c>
      <c r="H104">
        <v>3.0314552542179114E-4</v>
      </c>
      <c r="I104">
        <v>3298.7457050821326</v>
      </c>
      <c r="J104">
        <v>104</v>
      </c>
      <c r="K104">
        <f t="shared" si="9"/>
        <v>30.314552542179115</v>
      </c>
      <c r="L104">
        <f t="shared" si="10"/>
        <v>3.0314552542179113E-9</v>
      </c>
      <c r="M104">
        <f t="shared" si="14"/>
        <v>57.616908855564695</v>
      </c>
      <c r="N104">
        <f t="shared" si="13"/>
        <v>97.823704254945739</v>
      </c>
      <c r="O104" s="2">
        <f t="shared" si="11"/>
        <v>2.6797476292606454E-6</v>
      </c>
      <c r="P104" s="2">
        <f t="shared" si="12"/>
        <v>9.5682136440380164E-2</v>
      </c>
    </row>
    <row r="105" spans="1:16" x14ac:dyDescent="0.25">
      <c r="A105" s="1">
        <v>44425.333333333336</v>
      </c>
      <c r="B105">
        <v>168228941.8735733</v>
      </c>
      <c r="C105">
        <v>168187570.84833908</v>
      </c>
      <c r="D105">
        <v>52544.95293219015</v>
      </c>
      <c r="E105">
        <v>504686.82562072575</v>
      </c>
      <c r="F105">
        <v>2.1561591778347975E+19</v>
      </c>
      <c r="G105">
        <v>3749</v>
      </c>
      <c r="H105">
        <v>3.0652901521246756E-4</v>
      </c>
      <c r="I105">
        <v>3262.333907629788</v>
      </c>
      <c r="J105">
        <v>105</v>
      </c>
      <c r="K105">
        <f t="shared" si="9"/>
        <v>30.652901521246758</v>
      </c>
      <c r="L105">
        <f t="shared" si="10"/>
        <v>3.0652901521246758E-9</v>
      </c>
      <c r="M105">
        <f t="shared" si="14"/>
        <v>57.298036643613166</v>
      </c>
      <c r="N105">
        <f t="shared" si="13"/>
        <v>157.63485879657046</v>
      </c>
      <c r="O105" s="2">
        <f t="shared" si="11"/>
        <v>2.6574121814675815E-6</v>
      </c>
      <c r="P105" s="2">
        <f t="shared" si="12"/>
        <v>0.1528987898063239</v>
      </c>
    </row>
    <row r="106" spans="1:16" x14ac:dyDescent="0.25">
      <c r="A106" s="1">
        <v>44426.333391203705</v>
      </c>
      <c r="B106">
        <v>245016092.74258423</v>
      </c>
      <c r="C106">
        <v>244886815.16116714</v>
      </c>
      <c r="D106">
        <v>79785.351245364174</v>
      </c>
      <c r="E106">
        <v>735048.27822776139</v>
      </c>
      <c r="F106">
        <v>2.0858240324218941E+19</v>
      </c>
      <c r="G106">
        <v>3754</v>
      </c>
      <c r="H106">
        <v>3.3325509156164322E-4</v>
      </c>
      <c r="I106">
        <v>3000.7043412719381</v>
      </c>
      <c r="J106">
        <v>106</v>
      </c>
      <c r="K106">
        <f t="shared" si="9"/>
        <v>33.325509156164323</v>
      </c>
      <c r="L106">
        <f t="shared" si="10"/>
        <v>3.332550915616432E-9</v>
      </c>
      <c r="M106">
        <f t="shared" si="14"/>
        <v>54.952460036626235</v>
      </c>
      <c r="N106">
        <f t="shared" si="13"/>
        <v>239.35605373609252</v>
      </c>
      <c r="O106" s="2">
        <f t="shared" si="11"/>
        <v>2.634568361589917E-6</v>
      </c>
      <c r="P106" s="2">
        <f t="shared" si="12"/>
        <v>0.23016895850976576</v>
      </c>
    </row>
    <row r="107" spans="1:16" x14ac:dyDescent="0.25">
      <c r="A107" s="1">
        <v>44427.333472222221</v>
      </c>
      <c r="B107">
        <v>156369823.13247299</v>
      </c>
      <c r="C107">
        <v>156344462.06686401</v>
      </c>
      <c r="D107">
        <v>51644.777318753302</v>
      </c>
      <c r="E107">
        <v>469109.46939741075</v>
      </c>
      <c r="F107">
        <v>2.094741289181123E+19</v>
      </c>
      <c r="G107">
        <v>3768</v>
      </c>
      <c r="H107">
        <v>3.3526053214639161E-4</v>
      </c>
      <c r="I107">
        <v>2982.7549148056287</v>
      </c>
      <c r="J107">
        <v>107</v>
      </c>
      <c r="K107">
        <f t="shared" si="9"/>
        <v>33.526053214639163</v>
      </c>
      <c r="L107">
        <f t="shared" si="10"/>
        <v>3.352605321463916E-9</v>
      </c>
      <c r="M107">
        <f t="shared" si="14"/>
        <v>54.787857913116071</v>
      </c>
      <c r="N107">
        <f t="shared" si="13"/>
        <v>154.93433195625991</v>
      </c>
      <c r="O107" s="2">
        <f t="shared" si="11"/>
        <v>2.6154952020129303E-6</v>
      </c>
      <c r="P107" s="2">
        <f t="shared" si="12"/>
        <v>0.14790895067841689</v>
      </c>
    </row>
    <row r="108" spans="1:16" x14ac:dyDescent="0.25">
      <c r="A108" s="1">
        <v>44428.333541666667</v>
      </c>
      <c r="B108">
        <v>117479943.09649658</v>
      </c>
      <c r="C108">
        <v>117566873.31160736</v>
      </c>
      <c r="D108">
        <v>37372.825311936438</v>
      </c>
      <c r="E108">
        <v>352439.82928948104</v>
      </c>
      <c r="F108">
        <v>2.2122926755037069E+19</v>
      </c>
      <c r="G108">
        <v>3779</v>
      </c>
      <c r="H108">
        <v>3.1147267610503906E-4</v>
      </c>
      <c r="I108">
        <v>3210.5544939125457</v>
      </c>
      <c r="J108">
        <v>108</v>
      </c>
      <c r="K108">
        <f t="shared" si="9"/>
        <v>31.147267610503906</v>
      </c>
      <c r="L108">
        <f t="shared" si="10"/>
        <v>3.1147267610503904E-9</v>
      </c>
      <c r="M108">
        <f t="shared" si="14"/>
        <v>56.841503743048968</v>
      </c>
      <c r="N108">
        <f t="shared" si="13"/>
        <v>112.11847593580931</v>
      </c>
      <c r="O108" s="2">
        <f t="shared" si="11"/>
        <v>2.5693482771264423E-6</v>
      </c>
      <c r="P108" s="2">
        <f t="shared" si="12"/>
        <v>0.10514606573759566</v>
      </c>
    </row>
    <row r="109" spans="1:16" x14ac:dyDescent="0.25">
      <c r="A109" s="1">
        <v>44429.333761574075</v>
      </c>
      <c r="B109">
        <v>81860774.254051208</v>
      </c>
      <c r="C109">
        <v>81872953.456142426</v>
      </c>
      <c r="D109">
        <v>25059.337366709486</v>
      </c>
      <c r="E109">
        <v>245582.32276216149</v>
      </c>
      <c r="F109">
        <v>2.3899669668342493E+19</v>
      </c>
      <c r="G109">
        <v>3774</v>
      </c>
      <c r="H109">
        <v>3.0723480800899904E-4</v>
      </c>
      <c r="I109">
        <v>3254.8395361853322</v>
      </c>
      <c r="J109">
        <v>109</v>
      </c>
      <c r="K109">
        <f t="shared" si="9"/>
        <v>30.723480800899903</v>
      </c>
      <c r="L109">
        <f t="shared" si="10"/>
        <v>3.0723480800899904E-9</v>
      </c>
      <c r="M109">
        <f t="shared" si="14"/>
        <v>57.232185065911239</v>
      </c>
      <c r="N109">
        <f t="shared" si="13"/>
        <v>75.178012100128456</v>
      </c>
      <c r="O109" s="2">
        <f t="shared" si="11"/>
        <v>2.3946851927297136E-6</v>
      </c>
      <c r="P109" s="2">
        <f t="shared" si="12"/>
        <v>6.5710100424186998E-2</v>
      </c>
    </row>
    <row r="110" spans="1:16" x14ac:dyDescent="0.25">
      <c r="A110" s="1">
        <v>44430.333715277775</v>
      </c>
      <c r="B110">
        <v>64026817.031616211</v>
      </c>
      <c r="C110">
        <v>64032047.361679077</v>
      </c>
      <c r="D110">
        <v>19669.239367172122</v>
      </c>
      <c r="E110">
        <v>192080.4510948509</v>
      </c>
      <c r="F110">
        <v>2.127086774064366E+19</v>
      </c>
      <c r="G110">
        <v>3770</v>
      </c>
      <c r="H110">
        <v>3.0659032408080026E-4</v>
      </c>
      <c r="I110">
        <v>3261.6815387052311</v>
      </c>
      <c r="J110">
        <v>110</v>
      </c>
      <c r="K110">
        <f t="shared" si="9"/>
        <v>30.659032408080026</v>
      </c>
      <c r="L110">
        <f t="shared" si="10"/>
        <v>3.0659032408080027E-9</v>
      </c>
      <c r="M110">
        <f t="shared" si="14"/>
        <v>57.292307412871871</v>
      </c>
      <c r="N110">
        <f t="shared" si="13"/>
        <v>59.007718101516367</v>
      </c>
      <c r="O110" s="2">
        <f t="shared" si="11"/>
        <v>2.6934635724051656E-6</v>
      </c>
      <c r="P110" s="2">
        <f t="shared" si="12"/>
        <v>5.8011325806973345E-2</v>
      </c>
    </row>
    <row r="111" spans="1:16" x14ac:dyDescent="0.25">
      <c r="A111" s="1">
        <v>44431.333344907405</v>
      </c>
      <c r="B111">
        <v>111428780.64816666</v>
      </c>
      <c r="C111">
        <v>111449119.48628998</v>
      </c>
      <c r="D111">
        <v>34409.293045828119</v>
      </c>
      <c r="E111">
        <v>334286.3419445008</v>
      </c>
      <c r="F111">
        <v>1.8566520169267315E+19</v>
      </c>
      <c r="G111">
        <v>3766</v>
      </c>
      <c r="H111">
        <v>2.9920041319160832E-4</v>
      </c>
      <c r="I111">
        <v>3342.2413737095967</v>
      </c>
      <c r="J111">
        <v>111</v>
      </c>
      <c r="K111">
        <f t="shared" si="9"/>
        <v>29.920041319160834</v>
      </c>
      <c r="L111">
        <f t="shared" si="10"/>
        <v>2.9920041319160832E-9</v>
      </c>
      <c r="M111">
        <f t="shared" si="14"/>
        <v>57.995519273940879</v>
      </c>
      <c r="N111">
        <f t="shared" si="13"/>
        <v>103.22787913748436</v>
      </c>
      <c r="O111" s="2">
        <f t="shared" si="11"/>
        <v>3.1236612324338179E-6</v>
      </c>
      <c r="P111" s="2">
        <f t="shared" si="12"/>
        <v>0.11769385732136513</v>
      </c>
    </row>
    <row r="112" spans="1:16" x14ac:dyDescent="0.25">
      <c r="A112" s="1">
        <v>44432.333344907405</v>
      </c>
      <c r="B112">
        <v>74484501.374656677</v>
      </c>
      <c r="C112">
        <v>74466041.837875366</v>
      </c>
      <c r="D112">
        <v>22390.366685478017</v>
      </c>
      <c r="E112">
        <v>223453.50412397087</v>
      </c>
      <c r="F112">
        <v>1.9704635048976941E+19</v>
      </c>
      <c r="G112">
        <v>3745</v>
      </c>
      <c r="H112">
        <v>3.0178450320396947E-4</v>
      </c>
      <c r="I112">
        <v>3313.6227651958725</v>
      </c>
      <c r="J112">
        <v>112</v>
      </c>
      <c r="K112">
        <f t="shared" si="9"/>
        <v>30.178450320396948</v>
      </c>
      <c r="L112">
        <f t="shared" si="10"/>
        <v>3.0178450320396945E-9</v>
      </c>
      <c r="M112">
        <f t="shared" si="14"/>
        <v>57.746686356664384</v>
      </c>
      <c r="N112">
        <f t="shared" si="13"/>
        <v>67.171100056434057</v>
      </c>
      <c r="O112" s="2">
        <f t="shared" si="11"/>
        <v>2.9306143561213823E-6</v>
      </c>
      <c r="P112" s="2">
        <f t="shared" si="12"/>
        <v>7.1851195401775772E-2</v>
      </c>
    </row>
    <row r="113" spans="1:16" x14ac:dyDescent="0.25">
      <c r="A113" s="1">
        <v>44433.333356481482</v>
      </c>
      <c r="B113">
        <v>149482448.62274933</v>
      </c>
      <c r="C113">
        <v>149411117.42103958</v>
      </c>
      <c r="D113">
        <v>46835.955645354465</v>
      </c>
      <c r="E113">
        <v>448447.34586824477</v>
      </c>
      <c r="F113">
        <v>2.1471018685875896E+19</v>
      </c>
      <c r="G113">
        <v>3727</v>
      </c>
      <c r="H113">
        <v>3.192933834008947E-4</v>
      </c>
      <c r="I113">
        <v>3131.9158240884422</v>
      </c>
      <c r="J113">
        <v>113</v>
      </c>
      <c r="K113">
        <f t="shared" si="9"/>
        <v>31.929338340089469</v>
      </c>
      <c r="L113">
        <f t="shared" si="10"/>
        <v>3.1929338340089469E-9</v>
      </c>
      <c r="M113">
        <f t="shared" si="14"/>
        <v>56.14105586985935</v>
      </c>
      <c r="N113">
        <f t="shared" si="13"/>
        <v>140.50786693606341</v>
      </c>
      <c r="O113" s="2">
        <f t="shared" si="11"/>
        <v>2.6147364822885724E-6</v>
      </c>
      <c r="P113" s="2">
        <f t="shared" si="12"/>
        <v>0.13409773169008973</v>
      </c>
    </row>
    <row r="114" spans="1:16" x14ac:dyDescent="0.25">
      <c r="A114" s="1">
        <v>44434.333553240744</v>
      </c>
      <c r="B114">
        <v>114203882.98991013</v>
      </c>
      <c r="C114">
        <v>114188967.78128815</v>
      </c>
      <c r="D114">
        <v>36112.021462867036</v>
      </c>
      <c r="E114">
        <v>342611.64896973968</v>
      </c>
      <c r="F114">
        <v>2.0305965140205867E+19</v>
      </c>
      <c r="G114">
        <v>3732</v>
      </c>
      <c r="H114">
        <v>3.2276026607044574E-4</v>
      </c>
      <c r="I114">
        <v>3098.2748036951357</v>
      </c>
      <c r="J114">
        <v>114</v>
      </c>
      <c r="K114">
        <f t="shared" si="9"/>
        <v>32.276026607044571</v>
      </c>
      <c r="L114">
        <f t="shared" si="10"/>
        <v>3.2276026607044574E-9</v>
      </c>
      <c r="M114">
        <f t="shared" si="14"/>
        <v>55.838726308826814</v>
      </c>
      <c r="N114">
        <f t="shared" si="13"/>
        <v>108.33606438860112</v>
      </c>
      <c r="O114" s="2">
        <f t="shared" si="11"/>
        <v>2.7498681261037911E-6</v>
      </c>
      <c r="P114" s="2">
        <f t="shared" si="12"/>
        <v>0.10873710998495589</v>
      </c>
    </row>
    <row r="115" spans="1:16" x14ac:dyDescent="0.25">
      <c r="A115" s="1">
        <v>44435.333634259259</v>
      </c>
      <c r="B115">
        <v>117382148.71622086</v>
      </c>
      <c r="C115">
        <v>117410759.28020096</v>
      </c>
      <c r="D115">
        <v>37718.344215540215</v>
      </c>
      <c r="E115">
        <v>352146.44614866376</v>
      </c>
      <c r="F115">
        <v>2.2214430635672744E+19</v>
      </c>
      <c r="G115">
        <v>3736</v>
      </c>
      <c r="H115">
        <v>3.1681270625940125E-4</v>
      </c>
      <c r="I115">
        <v>3156.4390576595615</v>
      </c>
      <c r="J115">
        <v>115</v>
      </c>
      <c r="K115">
        <f t="shared" si="9"/>
        <v>31.681270625940126</v>
      </c>
      <c r="L115">
        <f t="shared" si="10"/>
        <v>3.1681270625940124E-9</v>
      </c>
      <c r="M115">
        <f t="shared" si="14"/>
        <v>56.360422506510986</v>
      </c>
      <c r="N115">
        <f t="shared" si="13"/>
        <v>113.15503264662065</v>
      </c>
      <c r="O115" s="2">
        <f t="shared" si="11"/>
        <v>2.5371085773409544E-6</v>
      </c>
      <c r="P115" s="2">
        <f t="shared" si="12"/>
        <v>0.10478661042241849</v>
      </c>
    </row>
    <row r="116" spans="1:16" x14ac:dyDescent="0.25">
      <c r="A116" s="1">
        <v>44436.333356481482</v>
      </c>
      <c r="B116">
        <v>60665828.565013885</v>
      </c>
      <c r="C116">
        <v>60698251.735126495</v>
      </c>
      <c r="D116">
        <v>18781.748544162139</v>
      </c>
      <c r="E116">
        <v>181997.48569503427</v>
      </c>
      <c r="F116">
        <v>2.4694079368718172E+19</v>
      </c>
      <c r="G116">
        <v>3747</v>
      </c>
      <c r="H116">
        <v>3.1013628571458423E-4</v>
      </c>
      <c r="I116">
        <v>3224.3889092045533</v>
      </c>
      <c r="J116">
        <v>116</v>
      </c>
      <c r="K116">
        <f t="shared" si="9"/>
        <v>31.013628571458423</v>
      </c>
      <c r="L116">
        <f t="shared" si="10"/>
        <v>3.1013628571458423E-9</v>
      </c>
      <c r="M116">
        <f t="shared" si="14"/>
        <v>56.963838322019953</v>
      </c>
      <c r="N116">
        <f t="shared" si="13"/>
        <v>56.345245632486417</v>
      </c>
      <c r="O116" s="2">
        <f t="shared" si="11"/>
        <v>2.3067812114583336E-6</v>
      </c>
      <c r="P116" s="2">
        <f t="shared" si="12"/>
        <v>4.7441296202708899E-2</v>
      </c>
    </row>
    <row r="117" spans="1:16" x14ac:dyDescent="0.25">
      <c r="A117" s="1">
        <v>44437.333333333336</v>
      </c>
      <c r="B117">
        <v>81489976.662502289</v>
      </c>
      <c r="C117">
        <v>81460163.511978149</v>
      </c>
      <c r="D117">
        <v>25269.091586796567</v>
      </c>
      <c r="E117">
        <v>244469.92998750508</v>
      </c>
      <c r="F117">
        <v>2.559901635323752E+19</v>
      </c>
      <c r="G117">
        <v>3738</v>
      </c>
      <c r="H117">
        <v>3.1303386113789065E-4</v>
      </c>
      <c r="I117">
        <v>3194.5425851534396</v>
      </c>
      <c r="J117">
        <v>117</v>
      </c>
      <c r="K117">
        <f t="shared" si="9"/>
        <v>31.303386113789063</v>
      </c>
      <c r="L117">
        <f t="shared" si="10"/>
        <v>3.1303386113789063E-9</v>
      </c>
      <c r="M117">
        <f t="shared" si="14"/>
        <v>56.69958455243345</v>
      </c>
      <c r="N117">
        <f t="shared" si="13"/>
        <v>75.807274760389703</v>
      </c>
      <c r="O117" s="2">
        <f t="shared" si="11"/>
        <v>2.2149126267214023E-6</v>
      </c>
      <c r="P117" s="2">
        <f t="shared" si="12"/>
        <v>6.1285868873405917E-2</v>
      </c>
    </row>
    <row r="118" spans="1:16" x14ac:dyDescent="0.25">
      <c r="A118" s="1">
        <v>44438.333518518521</v>
      </c>
      <c r="B118">
        <v>69154485.111717224</v>
      </c>
      <c r="C118">
        <v>69153659.123966217</v>
      </c>
      <c r="D118">
        <v>21593.239037724212</v>
      </c>
      <c r="E118">
        <v>207463.45533515513</v>
      </c>
      <c r="F118">
        <v>2.7735912510972092E+19</v>
      </c>
      <c r="G118">
        <v>3741</v>
      </c>
      <c r="H118">
        <v>3.144141755772969E-4</v>
      </c>
      <c r="I118">
        <v>3180.5181753141273</v>
      </c>
      <c r="J118">
        <v>118</v>
      </c>
      <c r="K118">
        <f t="shared" si="9"/>
        <v>31.441417557729689</v>
      </c>
      <c r="L118">
        <f t="shared" si="10"/>
        <v>3.1441417557729692E-9</v>
      </c>
      <c r="M118">
        <f t="shared" si="14"/>
        <v>56.574988801678749</v>
      </c>
      <c r="N118">
        <f t="shared" si="13"/>
        <v>64.779717113172637</v>
      </c>
      <c r="O118" s="2">
        <f t="shared" si="11"/>
        <v>2.0397738411994977E-6</v>
      </c>
      <c r="P118" s="2">
        <f t="shared" si="12"/>
        <v>4.8229629928829836E-2</v>
      </c>
    </row>
    <row r="119" spans="1:16" x14ac:dyDescent="0.25">
      <c r="A119" s="1">
        <v>44439.333391203705</v>
      </c>
      <c r="B119">
        <v>208106401.82429504</v>
      </c>
      <c r="C119">
        <v>208209221.49843979</v>
      </c>
      <c r="D119">
        <v>63420.941430615261</v>
      </c>
      <c r="E119">
        <v>624319.20547288656</v>
      </c>
      <c r="F119">
        <v>1.8956942403805139E+19</v>
      </c>
      <c r="G119">
        <v>3732</v>
      </c>
      <c r="H119">
        <v>2.9216386226428424E-4</v>
      </c>
      <c r="I119">
        <v>3422.7367897246122</v>
      </c>
      <c r="J119">
        <v>119</v>
      </c>
      <c r="K119">
        <f t="shared" si="9"/>
        <v>29.216386226428423</v>
      </c>
      <c r="L119">
        <f t="shared" si="10"/>
        <v>2.9216386226428424E-9</v>
      </c>
      <c r="M119">
        <f t="shared" si="14"/>
        <v>58.689753745142937</v>
      </c>
      <c r="N119">
        <f t="shared" si="13"/>
        <v>190.26282429184579</v>
      </c>
      <c r="O119" s="2">
        <f t="shared" si="11"/>
        <v>3.09595041726573E-6</v>
      </c>
      <c r="P119" s="2">
        <f t="shared" si="12"/>
        <v>0.21500115864362113</v>
      </c>
    </row>
    <row r="120" spans="1:16" x14ac:dyDescent="0.25">
      <c r="A120" s="1">
        <v>44440.333460648151</v>
      </c>
      <c r="B120">
        <v>183567959.78251648</v>
      </c>
      <c r="C120">
        <v>183598990.4887352</v>
      </c>
      <c r="D120">
        <v>53606.072017498314</v>
      </c>
      <c r="E120">
        <v>550703.87934754789</v>
      </c>
      <c r="F120">
        <v>1.7679974131970222E+19</v>
      </c>
      <c r="G120">
        <v>3685</v>
      </c>
      <c r="H120">
        <v>2.8265200364975632E-4</v>
      </c>
      <c r="I120">
        <v>3537.9193746637434</v>
      </c>
      <c r="J120">
        <v>120</v>
      </c>
      <c r="K120">
        <f t="shared" si="9"/>
        <v>28.265200364975634</v>
      </c>
      <c r="L120">
        <f t="shared" si="10"/>
        <v>2.8265200364975631E-9</v>
      </c>
      <c r="M120">
        <f t="shared" si="14"/>
        <v>59.66910195687521</v>
      </c>
      <c r="N120">
        <f t="shared" si="13"/>
        <v>160.81821605249493</v>
      </c>
      <c r="O120" s="2">
        <f t="shared" si="11"/>
        <v>3.3749541436815325E-6</v>
      </c>
      <c r="P120" s="2">
        <f t="shared" si="12"/>
        <v>0.1981052481957315</v>
      </c>
    </row>
    <row r="121" spans="1:16" x14ac:dyDescent="0.25">
      <c r="A121" s="1">
        <v>44441.333495370367</v>
      </c>
      <c r="B121">
        <v>120748476.79183578</v>
      </c>
      <c r="C121">
        <v>120817784.26163864</v>
      </c>
      <c r="D121">
        <v>32490.217110868543</v>
      </c>
      <c r="E121">
        <v>362245.43037550151</v>
      </c>
      <c r="F121">
        <v>1.8077835281009142E+19</v>
      </c>
      <c r="G121">
        <v>3624</v>
      </c>
      <c r="H121">
        <v>2.6632555374408692E-4</v>
      </c>
      <c r="I121">
        <v>3754.8030444007009</v>
      </c>
      <c r="J121">
        <v>121</v>
      </c>
      <c r="K121">
        <f t="shared" si="9"/>
        <v>26.632555374408692</v>
      </c>
      <c r="L121">
        <f t="shared" si="10"/>
        <v>2.6632555374408692E-9</v>
      </c>
      <c r="M121">
        <f t="shared" si="14"/>
        <v>61.470835563680581</v>
      </c>
      <c r="N121">
        <f t="shared" si="13"/>
        <v>97.470651332605627</v>
      </c>
      <c r="O121" s="2">
        <f t="shared" si="11"/>
        <v>3.4003427184811232E-6</v>
      </c>
      <c r="P121" s="2">
        <f t="shared" si="12"/>
        <v>0.12097327112641985</v>
      </c>
    </row>
    <row r="122" spans="1:16" x14ac:dyDescent="0.25">
      <c r="A122" s="1">
        <v>44442.333495370367</v>
      </c>
      <c r="B122">
        <v>196559584.68764114</v>
      </c>
      <c r="C122">
        <v>196618672.37041855</v>
      </c>
      <c r="D122">
        <v>51532.847511861473</v>
      </c>
      <c r="E122">
        <v>589678.75406292081</v>
      </c>
      <c r="F122">
        <v>8.0093343289701396E+18</v>
      </c>
      <c r="G122">
        <v>3604</v>
      </c>
      <c r="H122">
        <v>2.5283119346360833E-4</v>
      </c>
      <c r="I122">
        <v>3955.2081620179379</v>
      </c>
      <c r="J122">
        <v>122</v>
      </c>
      <c r="K122">
        <f t="shared" si="9"/>
        <v>25.283119346360831</v>
      </c>
      <c r="L122">
        <f t="shared" si="10"/>
        <v>2.5283119346360831E-9</v>
      </c>
      <c r="M122">
        <f t="shared" si="14"/>
        <v>63.089953664357054</v>
      </c>
      <c r="N122">
        <f t="shared" si="13"/>
        <v>154.59854253558441</v>
      </c>
      <c r="O122" s="2">
        <f t="shared" si="11"/>
        <v>7.8770533321549232E-6</v>
      </c>
      <c r="P122" s="2">
        <f t="shared" si="12"/>
        <v>0.44449005208857029</v>
      </c>
    </row>
    <row r="123" spans="1:16" x14ac:dyDescent="0.25">
      <c r="A123" s="1">
        <v>44443.333414351851</v>
      </c>
      <c r="B123">
        <v>89530851.841362</v>
      </c>
      <c r="C123">
        <v>89494996.390174866</v>
      </c>
      <c r="D123">
        <v>22717.05816135183</v>
      </c>
      <c r="E123">
        <v>268592.55552409589</v>
      </c>
      <c r="F123">
        <v>2.1430562096481534E+19</v>
      </c>
      <c r="G123">
        <v>3569</v>
      </c>
      <c r="H123">
        <v>2.5624176070023565E-4</v>
      </c>
      <c r="I123">
        <v>3902.564504970951</v>
      </c>
      <c r="J123">
        <v>123</v>
      </c>
      <c r="K123">
        <f t="shared" si="9"/>
        <v>25.624176070023566</v>
      </c>
      <c r="L123">
        <f t="shared" si="10"/>
        <v>2.5624176070023564E-9</v>
      </c>
      <c r="M123">
        <f t="shared" si="14"/>
        <v>62.668684864191853</v>
      </c>
      <c r="N123">
        <f t="shared" si="13"/>
        <v>68.151174484055488</v>
      </c>
      <c r="O123" s="2">
        <f t="shared" si="11"/>
        <v>2.9242669689228908E-6</v>
      </c>
      <c r="P123" s="2">
        <f t="shared" si="12"/>
        <v>7.2741663379513752E-2</v>
      </c>
    </row>
    <row r="124" spans="1:16" x14ac:dyDescent="0.25">
      <c r="A124" s="1">
        <v>44444.333541666667</v>
      </c>
      <c r="B124">
        <v>87907250.337867737</v>
      </c>
      <c r="C124">
        <v>87911282.517360687</v>
      </c>
      <c r="D124">
        <v>22611.46458700113</v>
      </c>
      <c r="E124">
        <v>263721.75101360679</v>
      </c>
      <c r="F124">
        <v>1.9365630352972726E+19</v>
      </c>
      <c r="G124">
        <v>3561</v>
      </c>
      <c r="H124">
        <v>2.548363696527241E-4</v>
      </c>
      <c r="I124">
        <v>3924.0866653482026</v>
      </c>
      <c r="J124">
        <v>124</v>
      </c>
      <c r="K124">
        <f t="shared" si="9"/>
        <v>25.48363696527241</v>
      </c>
      <c r="L124">
        <f t="shared" si="10"/>
        <v>2.548363696527241E-9</v>
      </c>
      <c r="M124">
        <f t="shared" si="14"/>
        <v>62.841252290804434</v>
      </c>
      <c r="N124">
        <f t="shared" si="13"/>
        <v>67.834393761003398</v>
      </c>
      <c r="O124" s="2">
        <f t="shared" si="11"/>
        <v>3.2449887323785446E-6</v>
      </c>
      <c r="P124" s="2">
        <f t="shared" si="12"/>
        <v>8.0344472849097695E-2</v>
      </c>
    </row>
    <row r="125" spans="1:16" x14ac:dyDescent="0.25">
      <c r="A125" s="1">
        <v>44445.333449074074</v>
      </c>
      <c r="B125">
        <v>51962835.638568878</v>
      </c>
      <c r="C125">
        <v>51959951.668292999</v>
      </c>
      <c r="D125">
        <v>13199.781172916293</v>
      </c>
      <c r="E125">
        <v>155888.50691568851</v>
      </c>
      <c r="F125">
        <v>1.9452896521622835E+19</v>
      </c>
      <c r="G125">
        <v>3497</v>
      </c>
      <c r="H125">
        <v>2.5590887947478424E-4</v>
      </c>
      <c r="I125">
        <v>3907.6408839441392</v>
      </c>
      <c r="J125">
        <v>125</v>
      </c>
      <c r="K125">
        <f t="shared" si="9"/>
        <v>25.590887947478425</v>
      </c>
      <c r="L125">
        <f t="shared" si="10"/>
        <v>2.5590887947478425E-9</v>
      </c>
      <c r="M125">
        <f t="shared" si="14"/>
        <v>62.709430713061423</v>
      </c>
      <c r="N125">
        <f t="shared" si="13"/>
        <v>39.599343518748881</v>
      </c>
      <c r="O125" s="2">
        <f t="shared" si="11"/>
        <v>3.2236551838620461E-6</v>
      </c>
      <c r="P125" s="2">
        <f t="shared" si="12"/>
        <v>4.6593939589288293E-2</v>
      </c>
    </row>
    <row r="126" spans="1:16" x14ac:dyDescent="0.25">
      <c r="A126" s="1">
        <v>44446.333553240744</v>
      </c>
      <c r="B126">
        <v>123533478.02762985</v>
      </c>
      <c r="C126">
        <v>123467147.01563644</v>
      </c>
      <c r="D126">
        <v>32363.118763487786</v>
      </c>
      <c r="E126">
        <v>370600.43408289552</v>
      </c>
      <c r="F126">
        <v>9.6797227649982259E+18</v>
      </c>
      <c r="G126">
        <v>3470</v>
      </c>
      <c r="H126">
        <v>2.6645874315617773E-4</v>
      </c>
      <c r="I126">
        <v>3752.9262059675652</v>
      </c>
      <c r="J126">
        <v>126</v>
      </c>
      <c r="K126">
        <f t="shared" si="9"/>
        <v>26.645874315617771</v>
      </c>
      <c r="L126">
        <f t="shared" si="10"/>
        <v>2.6645874315617771E-9</v>
      </c>
      <c r="M126">
        <f t="shared" si="14"/>
        <v>61.455470543735373</v>
      </c>
      <c r="N126">
        <f t="shared" si="13"/>
        <v>97.089356290463357</v>
      </c>
      <c r="O126" s="2">
        <f t="shared" si="11"/>
        <v>6.3488874666904407E-6</v>
      </c>
      <c r="P126" s="2">
        <f t="shared" si="12"/>
        <v>0.22498943001507141</v>
      </c>
    </row>
    <row r="127" spans="1:16" x14ac:dyDescent="0.25">
      <c r="A127" s="1">
        <v>44447.33384259259</v>
      </c>
      <c r="B127">
        <v>479218811.69507599</v>
      </c>
      <c r="C127">
        <v>479105955.58351898</v>
      </c>
      <c r="D127">
        <v>139357.85386740416</v>
      </c>
      <c r="E127">
        <v>1437656.4350852221</v>
      </c>
      <c r="F127">
        <v>7.7967648059354747E+18</v>
      </c>
      <c r="G127">
        <v>3479</v>
      </c>
      <c r="H127">
        <v>2.9283657883974457E-4</v>
      </c>
      <c r="I127">
        <v>3414.8739339946055</v>
      </c>
      <c r="J127">
        <v>127</v>
      </c>
      <c r="K127">
        <f t="shared" si="9"/>
        <v>29.283657883974456</v>
      </c>
      <c r="L127">
        <f t="shared" si="10"/>
        <v>2.9283657883974459E-9</v>
      </c>
      <c r="M127">
        <f t="shared" si="14"/>
        <v>58.622302692620949</v>
      </c>
      <c r="N127">
        <f t="shared" si="13"/>
        <v>418.07356160221252</v>
      </c>
      <c r="O127" s="2">
        <f t="shared" si="11"/>
        <v>7.5187983928915369E-6</v>
      </c>
      <c r="P127" s="2">
        <f t="shared" si="12"/>
        <v>1.1473449504260822</v>
      </c>
    </row>
    <row r="128" spans="1:16" x14ac:dyDescent="0.25">
      <c r="A128" s="1">
        <v>44448.333634259259</v>
      </c>
      <c r="B128">
        <v>118719815.68626022</v>
      </c>
      <c r="C128">
        <v>118724028.39518356</v>
      </c>
      <c r="D128">
        <v>34248.747939350083</v>
      </c>
      <c r="E128">
        <v>356159.44705878198</v>
      </c>
      <c r="F128">
        <v>9.2786856563831992E+18</v>
      </c>
      <c r="G128">
        <v>3486</v>
      </c>
      <c r="H128">
        <v>2.8712443319880689E-4</v>
      </c>
      <c r="I128">
        <v>3482.8105322112842</v>
      </c>
      <c r="J128">
        <v>128</v>
      </c>
      <c r="K128">
        <f t="shared" si="9"/>
        <v>28.712443319880688</v>
      </c>
      <c r="L128">
        <f t="shared" si="10"/>
        <v>2.8712443319880688E-9</v>
      </c>
      <c r="M128">
        <f t="shared" si="14"/>
        <v>59.202556420319112</v>
      </c>
      <c r="N128">
        <f t="shared" si="13"/>
        <v>102.74624381805025</v>
      </c>
      <c r="O128" s="2">
        <f t="shared" si="11"/>
        <v>6.3804895017206642E-6</v>
      </c>
      <c r="P128" s="2">
        <f t="shared" si="12"/>
        <v>0.23928353545813996</v>
      </c>
    </row>
    <row r="129" spans="1:16" x14ac:dyDescent="0.25">
      <c r="A129" s="1">
        <v>44449.333356481482</v>
      </c>
      <c r="B129">
        <v>119466414.5749588</v>
      </c>
      <c r="C129">
        <v>119439446.75099564</v>
      </c>
      <c r="D129">
        <v>34604.464635597542</v>
      </c>
      <c r="E129">
        <v>358399.2437248826</v>
      </c>
      <c r="F129">
        <v>9.8854465220751217E+18</v>
      </c>
      <c r="G129">
        <v>3493</v>
      </c>
      <c r="H129">
        <v>2.9459879155539174E-4</v>
      </c>
      <c r="I129">
        <v>3394.4470536362523</v>
      </c>
      <c r="J129">
        <v>129</v>
      </c>
      <c r="K129">
        <f t="shared" si="9"/>
        <v>29.459879155539173</v>
      </c>
      <c r="L129">
        <f t="shared" si="10"/>
        <v>2.9459879155539174E-9</v>
      </c>
      <c r="M129">
        <f t="shared" si="14"/>
        <v>58.446708087723721</v>
      </c>
      <c r="N129">
        <f t="shared" si="13"/>
        <v>103.81339390679263</v>
      </c>
      <c r="O129" s="2">
        <f t="shared" si="11"/>
        <v>5.9123994001896404E-6</v>
      </c>
      <c r="P129" s="2">
        <f t="shared" si="12"/>
        <v>0.22403198047115261</v>
      </c>
    </row>
    <row r="130" spans="1:16" x14ac:dyDescent="0.25">
      <c r="A130" s="1">
        <v>44450.333460648151</v>
      </c>
      <c r="B130">
        <v>172427583.05700302</v>
      </c>
      <c r="C130">
        <v>172406511.9524765</v>
      </c>
      <c r="D130">
        <v>52966.128431702033</v>
      </c>
      <c r="E130">
        <v>517282.7491710186</v>
      </c>
      <c r="F130">
        <v>1.1155446061532781E+19</v>
      </c>
      <c r="G130">
        <v>3499</v>
      </c>
      <c r="H130">
        <v>3.03509500195051E-4</v>
      </c>
      <c r="I130">
        <v>3294.7897820573917</v>
      </c>
      <c r="J130">
        <v>130</v>
      </c>
      <c r="K130">
        <f t="shared" ref="K130:K193" si="15">(1+$U$16)*H130</f>
        <v>30.350950019505099</v>
      </c>
      <c r="L130">
        <f t="shared" ref="L130:L193" si="16">H130/(1+$U$16)</f>
        <v>3.0350950019505101E-9</v>
      </c>
      <c r="M130">
        <f t="shared" si="14"/>
        <v>57.5823508065764</v>
      </c>
      <c r="N130">
        <f t="shared" si="13"/>
        <v>158.8983852951061</v>
      </c>
      <c r="O130" s="2">
        <f t="shared" si="11"/>
        <v>5.161815178788509E-6</v>
      </c>
      <c r="P130" s="2">
        <f t="shared" si="12"/>
        <v>0.29937449544196115</v>
      </c>
    </row>
    <row r="131" spans="1:16" x14ac:dyDescent="0.25">
      <c r="A131" s="1">
        <v>44451.333449074074</v>
      </c>
      <c r="B131">
        <v>70338825.891448975</v>
      </c>
      <c r="C131">
        <v>70362839.434398651</v>
      </c>
      <c r="D131">
        <v>21209.87385221757</v>
      </c>
      <c r="E131">
        <v>211016.47767435014</v>
      </c>
      <c r="F131">
        <v>9.705476787077931E+18</v>
      </c>
      <c r="G131">
        <v>3503</v>
      </c>
      <c r="H131">
        <v>2.9114312711073334E-4</v>
      </c>
      <c r="I131">
        <v>3434.7367561922906</v>
      </c>
      <c r="J131">
        <v>131</v>
      </c>
      <c r="K131">
        <f t="shared" si="15"/>
        <v>29.114312711073335</v>
      </c>
      <c r="L131">
        <f t="shared" si="16"/>
        <v>2.9114312711073333E-9</v>
      </c>
      <c r="M131">
        <f t="shared" si="14"/>
        <v>58.792545591323652</v>
      </c>
      <c r="N131">
        <f t="shared" si="13"/>
        <v>63.629621556652708</v>
      </c>
      <c r="O131" s="2">
        <f t="shared" ref="O131:O194" si="17">M131/(F131/POWER(10,$U$21))</f>
        <v>6.0576669112846924E-6</v>
      </c>
      <c r="P131" s="2">
        <f t="shared" ref="P131:P194" si="18">O131*N131*365</f>
        <v>0.14068817437467535</v>
      </c>
    </row>
    <row r="132" spans="1:16" x14ac:dyDescent="0.25">
      <c r="A132" s="1">
        <v>44452.333680555559</v>
      </c>
      <c r="B132">
        <v>105429581.18824005</v>
      </c>
      <c r="C132">
        <v>105385682.06964493</v>
      </c>
      <c r="D132">
        <v>31869.84222863242</v>
      </c>
      <c r="E132">
        <v>316288.74356471002</v>
      </c>
      <c r="F132">
        <v>9.3016934146851738E+18</v>
      </c>
      <c r="G132">
        <v>3501</v>
      </c>
      <c r="H132">
        <v>3.0809622782612906E-4</v>
      </c>
      <c r="I132">
        <v>3245.7391869281169</v>
      </c>
      <c r="J132">
        <v>132</v>
      </c>
      <c r="K132">
        <f t="shared" si="15"/>
        <v>30.809622782612905</v>
      </c>
      <c r="L132">
        <f t="shared" si="16"/>
        <v>3.0809622782612907E-9</v>
      </c>
      <c r="M132">
        <f t="shared" si="14"/>
        <v>57.152120068576878</v>
      </c>
      <c r="N132">
        <f t="shared" si="13"/>
        <v>95.609526685897265</v>
      </c>
      <c r="O132" s="2">
        <f t="shared" si="17"/>
        <v>6.1442704592205982E-6</v>
      </c>
      <c r="P132" s="2">
        <f t="shared" si="18"/>
        <v>0.21441953850922102</v>
      </c>
    </row>
    <row r="133" spans="1:16" x14ac:dyDescent="0.25">
      <c r="A133" s="1">
        <v>44453.333379629628</v>
      </c>
      <c r="B133">
        <v>141272326.54024124</v>
      </c>
      <c r="C133">
        <v>141285894.25268173</v>
      </c>
      <c r="D133">
        <v>43509.054158292711</v>
      </c>
      <c r="E133">
        <v>423816.97962072492</v>
      </c>
      <c r="F133">
        <v>9.804210579189631E+18</v>
      </c>
      <c r="G133">
        <v>3501</v>
      </c>
      <c r="H133">
        <v>3.0042959152159061E-4</v>
      </c>
      <c r="I133">
        <v>3328.5669195743462</v>
      </c>
      <c r="J133">
        <v>133</v>
      </c>
      <c r="K133">
        <f t="shared" si="15"/>
        <v>30.04295915215906</v>
      </c>
      <c r="L133">
        <f t="shared" si="16"/>
        <v>3.0042959152159063E-9</v>
      </c>
      <c r="M133">
        <f t="shared" si="14"/>
        <v>57.876756171255472</v>
      </c>
      <c r="N133">
        <f t="shared" ref="N133:N196" si="19">D133*0.003</f>
        <v>130.52716247487814</v>
      </c>
      <c r="O133" s="2">
        <f t="shared" si="17"/>
        <v>5.9032551069541888E-6</v>
      </c>
      <c r="P133" s="2">
        <f t="shared" si="18"/>
        <v>0.28124532554376319</v>
      </c>
    </row>
    <row r="134" spans="1:16" x14ac:dyDescent="0.25">
      <c r="A134" s="1">
        <v>44454.333333333336</v>
      </c>
      <c r="B134">
        <v>63179720.921226501</v>
      </c>
      <c r="C134">
        <v>63200301.534759521</v>
      </c>
      <c r="D134">
        <v>18720.680151216686</v>
      </c>
      <c r="E134">
        <v>189539.16276367009</v>
      </c>
      <c r="F134">
        <v>9.3877510208329892E+18</v>
      </c>
      <c r="G134">
        <v>3511</v>
      </c>
      <c r="H134">
        <v>2.9327614131969247E-4</v>
      </c>
      <c r="I134">
        <v>3409.7557186212662</v>
      </c>
      <c r="J134">
        <v>134</v>
      </c>
      <c r="K134">
        <f t="shared" si="15"/>
        <v>29.327614131969248</v>
      </c>
      <c r="L134">
        <f t="shared" si="16"/>
        <v>2.9327614131969248E-9</v>
      </c>
      <c r="M134">
        <f t="shared" si="14"/>
        <v>58.578354645544827</v>
      </c>
      <c r="N134">
        <f t="shared" si="19"/>
        <v>56.162040453650057</v>
      </c>
      <c r="O134" s="2">
        <f t="shared" si="17"/>
        <v>6.2398709249478029E-6</v>
      </c>
      <c r="P134" s="2">
        <f t="shared" si="18"/>
        <v>0.12791201740905275</v>
      </c>
    </row>
    <row r="135" spans="1:16" x14ac:dyDescent="0.25">
      <c r="A135" s="1">
        <v>44455.333344907405</v>
      </c>
      <c r="B135">
        <v>93746748.664241791</v>
      </c>
      <c r="C135">
        <v>93781667.104541779</v>
      </c>
      <c r="D135">
        <v>26239.738153180107</v>
      </c>
      <c r="E135">
        <v>281240.24599273503</v>
      </c>
      <c r="F135">
        <v>1.2658300912337525E+19</v>
      </c>
      <c r="G135">
        <v>3507</v>
      </c>
      <c r="H135">
        <v>2.7652951680630648E-4</v>
      </c>
      <c r="I135">
        <v>3616.2504876484641</v>
      </c>
      <c r="J135">
        <v>135</v>
      </c>
      <c r="K135">
        <f t="shared" si="15"/>
        <v>27.652951680630647</v>
      </c>
      <c r="L135">
        <f t="shared" si="16"/>
        <v>2.7652951680630649E-9</v>
      </c>
      <c r="M135">
        <f t="shared" si="14"/>
        <v>60.326035926977319</v>
      </c>
      <c r="N135">
        <f t="shared" si="19"/>
        <v>78.719214459540325</v>
      </c>
      <c r="O135" s="2">
        <f t="shared" si="17"/>
        <v>4.7657293300856844E-6</v>
      </c>
      <c r="P135" s="2">
        <f t="shared" si="18"/>
        <v>0.13693138125476481</v>
      </c>
    </row>
    <row r="136" spans="1:16" x14ac:dyDescent="0.25">
      <c r="A136" s="1">
        <v>44456.333391203705</v>
      </c>
      <c r="B136">
        <v>100961803.9330368</v>
      </c>
      <c r="C136">
        <v>100916014.70041275</v>
      </c>
      <c r="D136">
        <v>28411.60998749733</v>
      </c>
      <c r="E136">
        <v>302885.41179910302</v>
      </c>
      <c r="F136">
        <v>9.6381912604058358E+18</v>
      </c>
      <c r="G136">
        <v>3513</v>
      </c>
      <c r="H136">
        <v>2.9070676159393153E-4</v>
      </c>
      <c r="I136">
        <v>3439.8924693634472</v>
      </c>
      <c r="J136">
        <v>136</v>
      </c>
      <c r="K136">
        <f t="shared" si="15"/>
        <v>29.070676159393152</v>
      </c>
      <c r="L136">
        <f t="shared" si="16"/>
        <v>2.9070676159393155E-9</v>
      </c>
      <c r="M136">
        <f t="shared" si="14"/>
        <v>58.836654333827724</v>
      </c>
      <c r="N136">
        <f t="shared" si="19"/>
        <v>85.234829962491986</v>
      </c>
      <c r="O136" s="2">
        <f t="shared" si="17"/>
        <v>6.1045327638943619E-6</v>
      </c>
      <c r="P136" s="2">
        <f t="shared" si="18"/>
        <v>0.18991636642781398</v>
      </c>
    </row>
    <row r="137" spans="1:16" x14ac:dyDescent="0.25">
      <c r="A137" s="1">
        <v>44457.333333333336</v>
      </c>
      <c r="B137">
        <v>75742104.233470917</v>
      </c>
      <c r="C137">
        <v>75749820.693546295</v>
      </c>
      <c r="D137">
        <v>22064.418671632186</v>
      </c>
      <c r="E137">
        <v>227226.31270042062</v>
      </c>
      <c r="F137">
        <v>1.5478330887093144E+19</v>
      </c>
      <c r="G137">
        <v>3514</v>
      </c>
      <c r="H137">
        <v>2.8543547082779034E-4</v>
      </c>
      <c r="I137">
        <v>3503.4188186209085</v>
      </c>
      <c r="J137">
        <v>137</v>
      </c>
      <c r="K137">
        <f t="shared" si="15"/>
        <v>28.543547082779035</v>
      </c>
      <c r="L137">
        <f t="shared" si="16"/>
        <v>2.8543547082779033E-9</v>
      </c>
      <c r="M137">
        <f t="shared" si="14"/>
        <v>59.377453062790153</v>
      </c>
      <c r="N137">
        <f t="shared" si="19"/>
        <v>66.193256014896562</v>
      </c>
      <c r="O137" s="2">
        <f t="shared" si="17"/>
        <v>3.8361664119936213E-6</v>
      </c>
      <c r="P137" s="2">
        <f t="shared" si="18"/>
        <v>9.2683846080066953E-2</v>
      </c>
    </row>
    <row r="138" spans="1:16" x14ac:dyDescent="0.25">
      <c r="A138" s="1">
        <v>44458.333414351851</v>
      </c>
      <c r="B138">
        <v>50876282.710926056</v>
      </c>
      <c r="C138">
        <v>50840386.943187714</v>
      </c>
      <c r="D138">
        <v>14866.205833453685</v>
      </c>
      <c r="E138">
        <v>152628.84813277423</v>
      </c>
      <c r="F138">
        <v>9.5777565183114547E+18</v>
      </c>
      <c r="G138">
        <v>3507</v>
      </c>
      <c r="H138">
        <v>3.0073015634248613E-4</v>
      </c>
      <c r="I138">
        <v>3325.2401826345322</v>
      </c>
      <c r="J138">
        <v>138</v>
      </c>
      <c r="K138">
        <f t="shared" si="15"/>
        <v>30.073015634248613</v>
      </c>
      <c r="L138">
        <f t="shared" si="16"/>
        <v>3.0073015634248612E-9</v>
      </c>
      <c r="M138">
        <f t="shared" si="14"/>
        <v>57.847826472657999</v>
      </c>
      <c r="N138">
        <f t="shared" si="19"/>
        <v>44.598617500361058</v>
      </c>
      <c r="O138" s="2">
        <f t="shared" si="17"/>
        <v>6.0398096738062094E-6</v>
      </c>
      <c r="P138" s="2">
        <f t="shared" si="18"/>
        <v>9.8319013917228235E-2</v>
      </c>
    </row>
    <row r="139" spans="1:16" x14ac:dyDescent="0.25">
      <c r="A139" s="1">
        <v>44459.333368055559</v>
      </c>
      <c r="B139">
        <v>147469825.23610687</v>
      </c>
      <c r="C139">
        <v>147438011.02172852</v>
      </c>
      <c r="D139">
        <v>46199.334985906258</v>
      </c>
      <c r="E139">
        <v>442409.47570832074</v>
      </c>
      <c r="F139">
        <v>2.340004509693644E+19</v>
      </c>
      <c r="G139">
        <v>3505</v>
      </c>
      <c r="H139">
        <v>3.2921428054586734E-4</v>
      </c>
      <c r="I139">
        <v>3037.5353047926983</v>
      </c>
      <c r="J139">
        <v>139</v>
      </c>
      <c r="K139">
        <f t="shared" si="15"/>
        <v>32.921428054586734</v>
      </c>
      <c r="L139">
        <f t="shared" si="16"/>
        <v>3.2921428054586735E-9</v>
      </c>
      <c r="M139">
        <f t="shared" si="14"/>
        <v>55.288677653478324</v>
      </c>
      <c r="N139">
        <f t="shared" si="19"/>
        <v>138.59800495771879</v>
      </c>
      <c r="O139" s="2">
        <f t="shared" si="17"/>
        <v>2.3627594487293012E-6</v>
      </c>
      <c r="P139" s="2">
        <f t="shared" si="18"/>
        <v>0.11952791721294141</v>
      </c>
    </row>
    <row r="140" spans="1:16" x14ac:dyDescent="0.25">
      <c r="A140" s="1">
        <v>44460.334004629629</v>
      </c>
      <c r="B140">
        <v>254547898.15497589</v>
      </c>
      <c r="C140">
        <v>254487173.18301773</v>
      </c>
      <c r="D140">
        <v>85044.609928516671</v>
      </c>
      <c r="E140">
        <v>763643.69446493685</v>
      </c>
      <c r="F140">
        <v>7.1541736302650173E+18</v>
      </c>
      <c r="G140">
        <v>3495</v>
      </c>
      <c r="H140">
        <v>3.2721228582404489E-4</v>
      </c>
      <c r="I140">
        <v>3056.1199665276013</v>
      </c>
      <c r="J140">
        <v>140</v>
      </c>
      <c r="K140">
        <f t="shared" si="15"/>
        <v>32.721228582404486</v>
      </c>
      <c r="L140">
        <f t="shared" si="16"/>
        <v>3.2721228582404491E-9</v>
      </c>
      <c r="M140">
        <f t="shared" si="14"/>
        <v>55.457557086715987</v>
      </c>
      <c r="N140">
        <f t="shared" si="19"/>
        <v>255.13382978555001</v>
      </c>
      <c r="O140" s="2">
        <f t="shared" si="17"/>
        <v>7.7517767883223207E-6</v>
      </c>
      <c r="P140" s="2">
        <f t="shared" si="18"/>
        <v>0.72187528237130272</v>
      </c>
    </row>
    <row r="141" spans="1:16" x14ac:dyDescent="0.25">
      <c r="A141" s="1">
        <v>44461.333425925928</v>
      </c>
      <c r="B141">
        <v>233924014.41114426</v>
      </c>
      <c r="C141">
        <v>233890058.78229141</v>
      </c>
      <c r="D141">
        <v>82231.149569969624</v>
      </c>
      <c r="E141">
        <v>701772.04323342443</v>
      </c>
      <c r="F141">
        <v>5.8717859773669325E+18</v>
      </c>
      <c r="G141">
        <v>3497</v>
      </c>
      <c r="H141">
        <v>3.455047642564704E-4</v>
      </c>
      <c r="I141">
        <v>2894.3160947491119</v>
      </c>
      <c r="J141">
        <v>141</v>
      </c>
      <c r="K141">
        <f t="shared" si="15"/>
        <v>34.550476425647041</v>
      </c>
      <c r="L141">
        <f t="shared" si="16"/>
        <v>3.4550476425647039E-9</v>
      </c>
      <c r="M141">
        <f t="shared" si="14"/>
        <v>53.969515043639703</v>
      </c>
      <c r="N141">
        <f t="shared" si="19"/>
        <v>246.69344870990886</v>
      </c>
      <c r="O141" s="2">
        <f t="shared" si="17"/>
        <v>9.1913287118549045E-6</v>
      </c>
      <c r="P141" s="2">
        <f t="shared" si="18"/>
        <v>0.8276158110261701</v>
      </c>
    </row>
    <row r="142" spans="1:16" x14ac:dyDescent="0.25">
      <c r="A142" s="1">
        <v>44462.333402777775</v>
      </c>
      <c r="B142">
        <v>106117020.50433731</v>
      </c>
      <c r="C142">
        <v>106182708.95265579</v>
      </c>
      <c r="D142">
        <v>34728.006338244304</v>
      </c>
      <c r="E142">
        <v>318351.06151302159</v>
      </c>
      <c r="F142">
        <v>7.4220395882398075E+18</v>
      </c>
      <c r="G142">
        <v>3513</v>
      </c>
      <c r="H142">
        <v>3.2747414729047031E-4</v>
      </c>
      <c r="I142">
        <v>3053.6761703909337</v>
      </c>
      <c r="J142">
        <v>142</v>
      </c>
      <c r="K142">
        <f t="shared" si="15"/>
        <v>32.74741472904703</v>
      </c>
      <c r="L142">
        <f t="shared" si="16"/>
        <v>3.274741472904703E-9</v>
      </c>
      <c r="M142">
        <f t="shared" ref="M142:M205" si="20">1/(SQRT(H142)-SQRT(L142))</f>
        <v>55.435379608528059</v>
      </c>
      <c r="N142">
        <f t="shared" si="19"/>
        <v>104.18401901473291</v>
      </c>
      <c r="O142" s="2">
        <f t="shared" si="17"/>
        <v>7.4690223555753055E-6</v>
      </c>
      <c r="P142" s="2">
        <f t="shared" si="18"/>
        <v>0.28402575999687385</v>
      </c>
    </row>
    <row r="143" spans="1:16" x14ac:dyDescent="0.25">
      <c r="A143" s="1">
        <v>44463.333391203705</v>
      </c>
      <c r="B143">
        <v>149483283.24341583</v>
      </c>
      <c r="C143">
        <v>149437625.234272</v>
      </c>
      <c r="D143">
        <v>50102.29696970433</v>
      </c>
      <c r="E143">
        <v>448449.84973023832</v>
      </c>
      <c r="F143">
        <v>6.6451210367805747E+18</v>
      </c>
      <c r="G143">
        <v>3516</v>
      </c>
      <c r="H143">
        <v>3.5326035075685844E-4</v>
      </c>
      <c r="I143">
        <v>2830.773388118721</v>
      </c>
      <c r="J143">
        <v>143</v>
      </c>
      <c r="K143">
        <f t="shared" si="15"/>
        <v>35.326035075685844</v>
      </c>
      <c r="L143">
        <f t="shared" si="16"/>
        <v>3.5326035075685846E-9</v>
      </c>
      <c r="M143">
        <f t="shared" si="20"/>
        <v>53.37379557143462</v>
      </c>
      <c r="N143">
        <f t="shared" si="19"/>
        <v>150.30689090911298</v>
      </c>
      <c r="O143" s="2">
        <f t="shared" si="17"/>
        <v>8.0320275998002193E-6</v>
      </c>
      <c r="P143" s="2">
        <f t="shared" si="18"/>
        <v>0.44065322012108699</v>
      </c>
    </row>
    <row r="144" spans="1:16" x14ac:dyDescent="0.25">
      <c r="A144" s="1">
        <v>44464.333356481482</v>
      </c>
      <c r="B144">
        <v>126577835.64057159</v>
      </c>
      <c r="C144">
        <v>126588057.24531555</v>
      </c>
      <c r="D144">
        <v>43817.10806677863</v>
      </c>
      <c r="E144">
        <v>379733.50692170858</v>
      </c>
      <c r="F144">
        <v>9.1187701461093181E+18</v>
      </c>
      <c r="G144">
        <v>3522</v>
      </c>
      <c r="H144">
        <v>3.4340370499118256E-4</v>
      </c>
      <c r="I144">
        <v>2912.024493229264</v>
      </c>
      <c r="J144">
        <v>144</v>
      </c>
      <c r="K144">
        <f t="shared" si="15"/>
        <v>34.340370499118258</v>
      </c>
      <c r="L144">
        <f t="shared" si="16"/>
        <v>3.4340370499118256E-9</v>
      </c>
      <c r="M144">
        <f t="shared" si="20"/>
        <v>54.134365090692832</v>
      </c>
      <c r="N144">
        <f t="shared" si="19"/>
        <v>131.4513242003359</v>
      </c>
      <c r="O144" s="2">
        <f t="shared" si="17"/>
        <v>5.9365862088091121E-6</v>
      </c>
      <c r="P144" s="2">
        <f t="shared" si="18"/>
        <v>0.28483582320775452</v>
      </c>
    </row>
    <row r="145" spans="1:16" x14ac:dyDescent="0.25">
      <c r="A145" s="1">
        <v>44465.333437499998</v>
      </c>
      <c r="B145">
        <v>129190133.63851929</v>
      </c>
      <c r="C145">
        <v>129205584.71192551</v>
      </c>
      <c r="D145">
        <v>44796.360436502844</v>
      </c>
      <c r="E145">
        <v>387570.40091556311</v>
      </c>
      <c r="F145">
        <v>9.3156894299091169E+18</v>
      </c>
      <c r="G145">
        <v>3532</v>
      </c>
      <c r="H145">
        <v>3.3643594100510684E-4</v>
      </c>
      <c r="I145">
        <v>2972.3340408057675</v>
      </c>
      <c r="J145">
        <v>145</v>
      </c>
      <c r="K145">
        <f t="shared" si="15"/>
        <v>33.643594100510683</v>
      </c>
      <c r="L145">
        <f t="shared" si="16"/>
        <v>3.3643594100510683E-9</v>
      </c>
      <c r="M145">
        <f t="shared" si="20"/>
        <v>54.692067791995548</v>
      </c>
      <c r="N145">
        <f t="shared" si="19"/>
        <v>134.38908130950853</v>
      </c>
      <c r="O145" s="2">
        <f t="shared" si="17"/>
        <v>5.8709629816984054E-6</v>
      </c>
      <c r="P145" s="2">
        <f t="shared" si="18"/>
        <v>0.2879825623520923</v>
      </c>
    </row>
    <row r="146" spans="1:16" x14ac:dyDescent="0.25">
      <c r="A146" s="1">
        <v>44466.333518518521</v>
      </c>
      <c r="B146">
        <v>96668623.356182098</v>
      </c>
      <c r="C146">
        <v>96689173.406822205</v>
      </c>
      <c r="D146">
        <v>31411.137825300917</v>
      </c>
      <c r="E146">
        <v>290005.87006853521</v>
      </c>
      <c r="F146">
        <v>1.1672366656210629E+19</v>
      </c>
      <c r="G146">
        <v>3540</v>
      </c>
      <c r="H146">
        <v>3.2360049257275294E-4</v>
      </c>
      <c r="I146">
        <v>3090.2301540074964</v>
      </c>
      <c r="J146">
        <v>146</v>
      </c>
      <c r="K146">
        <f t="shared" si="15"/>
        <v>32.360049257275293</v>
      </c>
      <c r="L146">
        <f t="shared" si="16"/>
        <v>3.2360049257275292E-9</v>
      </c>
      <c r="M146">
        <f t="shared" si="20"/>
        <v>55.766186752469828</v>
      </c>
      <c r="N146">
        <f t="shared" si="19"/>
        <v>94.233413475902751</v>
      </c>
      <c r="O146" s="2">
        <f t="shared" si="17"/>
        <v>4.7776246578749967E-6</v>
      </c>
      <c r="P146" s="2">
        <f t="shared" si="18"/>
        <v>0.16432733613364409</v>
      </c>
    </row>
    <row r="147" spans="1:16" x14ac:dyDescent="0.25">
      <c r="A147" s="1">
        <v>44467.333784722221</v>
      </c>
      <c r="B147">
        <v>104188961.50660706</v>
      </c>
      <c r="C147">
        <v>104142145.87689209</v>
      </c>
      <c r="D147">
        <v>35019.690164048225</v>
      </c>
      <c r="E147">
        <v>312566.88451983035</v>
      </c>
      <c r="F147">
        <v>9.2221934812697375E+18</v>
      </c>
      <c r="G147">
        <v>3544</v>
      </c>
      <c r="H147">
        <v>3.4254631078699276E-4</v>
      </c>
      <c r="I147">
        <v>2919.3132972371577</v>
      </c>
      <c r="J147">
        <v>147</v>
      </c>
      <c r="K147">
        <f t="shared" si="15"/>
        <v>34.254631078699276</v>
      </c>
      <c r="L147">
        <f t="shared" si="16"/>
        <v>3.4254631078699275E-9</v>
      </c>
      <c r="M147">
        <f t="shared" si="20"/>
        <v>54.20207196975251</v>
      </c>
      <c r="N147">
        <f t="shared" si="19"/>
        <v>105.05907049214467</v>
      </c>
      <c r="O147" s="2">
        <f t="shared" si="17"/>
        <v>5.8773514218539055E-6</v>
      </c>
      <c r="P147" s="2">
        <f t="shared" si="18"/>
        <v>0.2253762132275145</v>
      </c>
    </row>
    <row r="148" spans="1:16" x14ac:dyDescent="0.25">
      <c r="A148" s="1">
        <v>44468.333564814813</v>
      </c>
      <c r="B148">
        <v>92818286.578922272</v>
      </c>
      <c r="C148">
        <v>92811193.199489594</v>
      </c>
      <c r="D148">
        <v>32306.108591040596</v>
      </c>
      <c r="E148">
        <v>278454.85973677039</v>
      </c>
      <c r="F148">
        <v>9.2779967134784225E+18</v>
      </c>
      <c r="G148">
        <v>3548</v>
      </c>
      <c r="H148">
        <v>3.4134955408193811E-4</v>
      </c>
      <c r="I148">
        <v>2929.5482828138056</v>
      </c>
      <c r="J148">
        <v>148</v>
      </c>
      <c r="K148">
        <f t="shared" si="15"/>
        <v>34.134955408193811</v>
      </c>
      <c r="L148">
        <f t="shared" si="16"/>
        <v>3.413495540819381E-9</v>
      </c>
      <c r="M148">
        <f t="shared" si="20"/>
        <v>54.297003890386989</v>
      </c>
      <c r="N148">
        <f t="shared" si="19"/>
        <v>96.918325773121794</v>
      </c>
      <c r="O148" s="2">
        <f t="shared" si="17"/>
        <v>5.8522335766198446E-6</v>
      </c>
      <c r="P148" s="2">
        <f t="shared" si="18"/>
        <v>0.20702386830192399</v>
      </c>
    </row>
    <row r="149" spans="1:16" x14ac:dyDescent="0.25">
      <c r="A149" s="1">
        <v>44469.333402777775</v>
      </c>
      <c r="B149">
        <v>68104717.677150726</v>
      </c>
      <c r="C149">
        <v>68110102.81042099</v>
      </c>
      <c r="D149">
        <v>23322.670685624704</v>
      </c>
      <c r="E149">
        <v>204314.15303145349</v>
      </c>
      <c r="F149">
        <v>9.4002056647217541E+18</v>
      </c>
      <c r="G149">
        <v>3551</v>
      </c>
      <c r="H149">
        <v>3.3829134359224158E-4</v>
      </c>
      <c r="I149">
        <v>2956.0318906810307</v>
      </c>
      <c r="J149">
        <v>149</v>
      </c>
      <c r="K149">
        <f t="shared" si="15"/>
        <v>33.829134359224156</v>
      </c>
      <c r="L149">
        <f t="shared" si="16"/>
        <v>3.3829134359224159E-9</v>
      </c>
      <c r="M149">
        <f t="shared" si="20"/>
        <v>54.541878719516376</v>
      </c>
      <c r="N149">
        <f t="shared" si="19"/>
        <v>69.968012056874116</v>
      </c>
      <c r="O149" s="2">
        <f t="shared" si="17"/>
        <v>5.8022005756967466E-6</v>
      </c>
      <c r="P149" s="2">
        <f t="shared" si="18"/>
        <v>0.14817848054041444</v>
      </c>
    </row>
    <row r="150" spans="1:16" x14ac:dyDescent="0.25">
      <c r="A150" s="1">
        <v>44470.33357638889</v>
      </c>
      <c r="B150">
        <v>109495933.87214661</v>
      </c>
      <c r="C150">
        <v>109563343.04268265</v>
      </c>
      <c r="D150">
        <v>35961.729529134929</v>
      </c>
      <c r="E150">
        <v>328487.80161643028</v>
      </c>
      <c r="F150">
        <v>1.1036854208853492E+19</v>
      </c>
      <c r="G150">
        <v>3549</v>
      </c>
      <c r="H150">
        <v>3.086512726749454E-4</v>
      </c>
      <c r="I150">
        <v>3239.9024029074558</v>
      </c>
      <c r="J150">
        <v>150</v>
      </c>
      <c r="K150">
        <f t="shared" si="15"/>
        <v>30.86512726749454</v>
      </c>
      <c r="L150">
        <f t="shared" si="16"/>
        <v>3.0865127267494539E-9</v>
      </c>
      <c r="M150">
        <f t="shared" si="20"/>
        <v>57.100708869541926</v>
      </c>
      <c r="N150">
        <f t="shared" si="19"/>
        <v>107.88518858740478</v>
      </c>
      <c r="O150" s="2">
        <f t="shared" si="17"/>
        <v>5.1736398605081817E-6</v>
      </c>
      <c r="P150" s="2">
        <f t="shared" si="18"/>
        <v>0.2037280758924975</v>
      </c>
    </row>
    <row r="151" spans="1:16" x14ac:dyDescent="0.25">
      <c r="A151" s="1">
        <v>44471.333564814813</v>
      </c>
      <c r="B151">
        <v>80852351.01115036</v>
      </c>
      <c r="C151">
        <v>80864699.901844025</v>
      </c>
      <c r="D151">
        <v>24674.211491752416</v>
      </c>
      <c r="E151">
        <v>242557.05303345621</v>
      </c>
      <c r="F151">
        <v>1.3668847079325344E+19</v>
      </c>
      <c r="G151">
        <v>3552</v>
      </c>
      <c r="H151">
        <v>3.0384352762557977E-4</v>
      </c>
      <c r="I151">
        <v>3291.1676869164044</v>
      </c>
      <c r="J151">
        <v>151</v>
      </c>
      <c r="K151">
        <f t="shared" si="15"/>
        <v>30.384352762557977</v>
      </c>
      <c r="L151">
        <f t="shared" si="16"/>
        <v>3.0384352762557977E-9</v>
      </c>
      <c r="M151">
        <f t="shared" si="20"/>
        <v>57.550690803905326</v>
      </c>
      <c r="N151">
        <f t="shared" si="19"/>
        <v>74.022634475257249</v>
      </c>
      <c r="O151" s="2">
        <f t="shared" si="17"/>
        <v>4.2103544263768196E-6</v>
      </c>
      <c r="P151" s="2">
        <f t="shared" si="18"/>
        <v>0.11375645725096505</v>
      </c>
    </row>
    <row r="152" spans="1:16" x14ac:dyDescent="0.25">
      <c r="A152" s="1">
        <v>44472.333645833336</v>
      </c>
      <c r="B152">
        <v>94174456.461368561</v>
      </c>
      <c r="C152">
        <v>94196942.521003723</v>
      </c>
      <c r="D152">
        <v>27742.245591549203</v>
      </c>
      <c r="E152">
        <v>282523.36938410997</v>
      </c>
      <c r="F152">
        <v>1.6189496090522954E+19</v>
      </c>
      <c r="G152">
        <v>3529</v>
      </c>
      <c r="H152">
        <v>2.9318817607093279E-4</v>
      </c>
      <c r="I152">
        <v>3410.7787476329331</v>
      </c>
      <c r="J152">
        <v>152</v>
      </c>
      <c r="K152">
        <f t="shared" si="15"/>
        <v>29.31881760709328</v>
      </c>
      <c r="L152">
        <f t="shared" si="16"/>
        <v>2.931881760709328E-9</v>
      </c>
      <c r="M152">
        <f t="shared" si="20"/>
        <v>58.587141618406818</v>
      </c>
      <c r="N152">
        <f t="shared" si="19"/>
        <v>83.226736774647605</v>
      </c>
      <c r="O152" s="2">
        <f t="shared" si="17"/>
        <v>3.6188366389428698E-6</v>
      </c>
      <c r="P152" s="2">
        <f t="shared" si="18"/>
        <v>0.10993214699860827</v>
      </c>
    </row>
    <row r="153" spans="1:16" x14ac:dyDescent="0.25">
      <c r="A153" s="1">
        <v>44473.333402777775</v>
      </c>
      <c r="B153">
        <v>105003133.05238724</v>
      </c>
      <c r="C153">
        <v>104989302.46493912</v>
      </c>
      <c r="D153">
        <v>30880.718520415947</v>
      </c>
      <c r="E153">
        <v>315009.39915715158</v>
      </c>
      <c r="F153">
        <v>1.5548109876340924E+19</v>
      </c>
      <c r="G153">
        <v>3528</v>
      </c>
      <c r="H153">
        <v>3.0205621792462782E-4</v>
      </c>
      <c r="I153">
        <v>3310.6419952908577</v>
      </c>
      <c r="J153">
        <v>153</v>
      </c>
      <c r="K153">
        <f t="shared" si="15"/>
        <v>30.205621792462782</v>
      </c>
      <c r="L153">
        <f t="shared" si="16"/>
        <v>3.0205621792462784E-9</v>
      </c>
      <c r="M153">
        <f t="shared" si="20"/>
        <v>57.72070749240828</v>
      </c>
      <c r="N153">
        <f t="shared" si="19"/>
        <v>92.642155561247847</v>
      </c>
      <c r="O153" s="2">
        <f t="shared" si="17"/>
        <v>3.7123938505374269E-6</v>
      </c>
      <c r="P153" s="2">
        <f t="shared" si="18"/>
        <v>0.12553232154122948</v>
      </c>
    </row>
    <row r="154" spans="1:16" x14ac:dyDescent="0.25">
      <c r="A154" s="1">
        <v>44474.333553240744</v>
      </c>
      <c r="B154">
        <v>123653737.0226326</v>
      </c>
      <c r="C154">
        <v>123688236.22707748</v>
      </c>
      <c r="D154">
        <v>36633.398777805269</v>
      </c>
      <c r="E154">
        <v>370961.21106790006</v>
      </c>
      <c r="F154">
        <v>1.7863976286188489E+19</v>
      </c>
      <c r="G154">
        <v>3531</v>
      </c>
      <c r="H154">
        <v>2.9006794161850889E-4</v>
      </c>
      <c r="I154">
        <v>3447.4681842476011</v>
      </c>
      <c r="J154">
        <v>154</v>
      </c>
      <c r="K154">
        <f t="shared" si="15"/>
        <v>29.006794161850888</v>
      </c>
      <c r="L154">
        <f t="shared" si="16"/>
        <v>2.9006794161850888E-9</v>
      </c>
      <c r="M154">
        <f t="shared" si="20"/>
        <v>58.901407023464799</v>
      </c>
      <c r="N154">
        <f t="shared" si="19"/>
        <v>109.90019633341581</v>
      </c>
      <c r="O154" s="2">
        <f t="shared" si="17"/>
        <v>3.2972170405871149E-6</v>
      </c>
      <c r="P154" s="2">
        <f t="shared" si="18"/>
        <v>0.13226315204175898</v>
      </c>
    </row>
    <row r="155" spans="1:16" x14ac:dyDescent="0.25">
      <c r="A155" s="1">
        <v>44475.333356481482</v>
      </c>
      <c r="B155">
        <v>98592657.503856659</v>
      </c>
      <c r="C155">
        <v>98583830.33613205</v>
      </c>
      <c r="D155">
        <v>28582.967220418155</v>
      </c>
      <c r="E155">
        <v>295777.97251157463</v>
      </c>
      <c r="F155">
        <v>1.6031487763239655E+19</v>
      </c>
      <c r="G155">
        <v>3540</v>
      </c>
      <c r="H155">
        <v>2.9495250460528694E-4</v>
      </c>
      <c r="I155">
        <v>3390.3763636054755</v>
      </c>
      <c r="J155">
        <v>155</v>
      </c>
      <c r="K155">
        <f t="shared" si="15"/>
        <v>29.495250460528695</v>
      </c>
      <c r="L155">
        <f t="shared" si="16"/>
        <v>2.9495250460528694E-9</v>
      </c>
      <c r="M155">
        <f t="shared" si="20"/>
        <v>58.411652333407503</v>
      </c>
      <c r="N155">
        <f t="shared" si="19"/>
        <v>85.748901661254465</v>
      </c>
      <c r="O155" s="2">
        <f t="shared" si="17"/>
        <v>3.6435578029972951E-6</v>
      </c>
      <c r="P155" s="2">
        <f t="shared" si="18"/>
        <v>0.11403734410740368</v>
      </c>
    </row>
    <row r="156" spans="1:16" x14ac:dyDescent="0.25">
      <c r="A156" s="1">
        <v>44476.333599537036</v>
      </c>
      <c r="B156">
        <v>171016123.7936058</v>
      </c>
      <c r="C156">
        <v>171048059.57441711</v>
      </c>
      <c r="D156">
        <v>48193.499141870067</v>
      </c>
      <c r="E156">
        <v>513048.37138082087</v>
      </c>
      <c r="F156">
        <v>1.5195976199768226E+19</v>
      </c>
      <c r="G156">
        <v>3532</v>
      </c>
      <c r="H156">
        <v>2.8014768677087196E-4</v>
      </c>
      <c r="I156">
        <v>3569.5458046665331</v>
      </c>
      <c r="J156">
        <v>156</v>
      </c>
      <c r="K156">
        <f t="shared" si="15"/>
        <v>28.014768677087197</v>
      </c>
      <c r="L156">
        <f t="shared" si="16"/>
        <v>2.8014768677087197E-9</v>
      </c>
      <c r="M156">
        <f t="shared" si="20"/>
        <v>59.935207801909982</v>
      </c>
      <c r="N156">
        <f t="shared" si="19"/>
        <v>144.58049742561019</v>
      </c>
      <c r="O156" s="2">
        <f t="shared" si="17"/>
        <v>3.9441498863905914E-6</v>
      </c>
      <c r="P156" s="2">
        <f t="shared" si="18"/>
        <v>0.20814021066086322</v>
      </c>
    </row>
    <row r="157" spans="1:16" x14ac:dyDescent="0.25">
      <c r="A157" s="1">
        <v>44477.333379629628</v>
      </c>
      <c r="B157">
        <v>109352280.67358398</v>
      </c>
      <c r="C157">
        <v>109362085.50831604</v>
      </c>
      <c r="D157">
        <v>30373.990301163867</v>
      </c>
      <c r="E157">
        <v>328056.84202075005</v>
      </c>
      <c r="F157">
        <v>1.587949941293901E+19</v>
      </c>
      <c r="G157">
        <v>3524</v>
      </c>
      <c r="H157">
        <v>2.7622551676824089E-4</v>
      </c>
      <c r="I157">
        <v>3620.2303527194463</v>
      </c>
      <c r="J157">
        <v>157</v>
      </c>
      <c r="K157">
        <f t="shared" si="15"/>
        <v>27.622551676824088</v>
      </c>
      <c r="L157">
        <f t="shared" si="16"/>
        <v>2.7622551676824088E-9</v>
      </c>
      <c r="M157">
        <f t="shared" si="20"/>
        <v>60.359222712955109</v>
      </c>
      <c r="N157">
        <f t="shared" si="19"/>
        <v>91.121970903491601</v>
      </c>
      <c r="O157" s="2">
        <f t="shared" si="17"/>
        <v>3.8010784309594116E-6</v>
      </c>
      <c r="P157" s="2">
        <f t="shared" si="18"/>
        <v>0.12642204173853716</v>
      </c>
    </row>
    <row r="158" spans="1:16" x14ac:dyDescent="0.25">
      <c r="A158" s="1">
        <v>44478.333449074074</v>
      </c>
      <c r="B158">
        <v>77864886.740390778</v>
      </c>
      <c r="C158">
        <v>77858928.60982132</v>
      </c>
      <c r="D158">
        <v>21652.874961450696</v>
      </c>
      <c r="E158">
        <v>233594.66022117436</v>
      </c>
      <c r="F158">
        <v>1.749203517789279E+19</v>
      </c>
      <c r="G158">
        <v>3531</v>
      </c>
      <c r="H158">
        <v>2.7738804541452982E-4</v>
      </c>
      <c r="I158">
        <v>3605.0580280256704</v>
      </c>
      <c r="J158">
        <v>158</v>
      </c>
      <c r="K158">
        <f t="shared" si="15"/>
        <v>27.738804541452982</v>
      </c>
      <c r="L158">
        <f t="shared" si="16"/>
        <v>2.7738804541452983E-9</v>
      </c>
      <c r="M158">
        <f t="shared" si="20"/>
        <v>60.232607668230315</v>
      </c>
      <c r="N158">
        <f t="shared" si="19"/>
        <v>64.958624884352091</v>
      </c>
      <c r="O158" s="2">
        <f t="shared" si="17"/>
        <v>3.4434305131260516E-6</v>
      </c>
      <c r="P158" s="2">
        <f t="shared" si="18"/>
        <v>8.1643386521382838E-2</v>
      </c>
    </row>
    <row r="159" spans="1:16" x14ac:dyDescent="0.25">
      <c r="A159" s="1">
        <v>44479.333414351851</v>
      </c>
      <c r="B159">
        <v>51358425.068519592</v>
      </c>
      <c r="C159">
        <v>51342277.23506546</v>
      </c>
      <c r="D159">
        <v>14433.093911839649</v>
      </c>
      <c r="E159">
        <v>154075.27520555258</v>
      </c>
      <c r="F159">
        <v>1.8408354774474623E+19</v>
      </c>
      <c r="G159">
        <v>3535</v>
      </c>
      <c r="H159">
        <v>2.8065238146170646E-4</v>
      </c>
      <c r="I159">
        <v>3563.1267220743139</v>
      </c>
      <c r="J159">
        <v>159</v>
      </c>
      <c r="K159">
        <f t="shared" si="15"/>
        <v>28.065238146170646</v>
      </c>
      <c r="L159">
        <f t="shared" si="16"/>
        <v>2.8065238146170647E-9</v>
      </c>
      <c r="M159">
        <f t="shared" si="20"/>
        <v>59.881293075845448</v>
      </c>
      <c r="N159">
        <f t="shared" si="19"/>
        <v>43.299281735518946</v>
      </c>
      <c r="O159" s="2">
        <f t="shared" si="17"/>
        <v>3.2529410590716118E-6</v>
      </c>
      <c r="P159" s="2">
        <f t="shared" si="18"/>
        <v>5.1410254155809375E-2</v>
      </c>
    </row>
    <row r="160" spans="1:16" x14ac:dyDescent="0.25">
      <c r="A160" s="1">
        <v>44480.333344907405</v>
      </c>
      <c r="B160">
        <v>110248406.90932846</v>
      </c>
      <c r="C160">
        <v>110240274.94088745</v>
      </c>
      <c r="D160">
        <v>31468.907329307869</v>
      </c>
      <c r="E160">
        <v>330745.22072798014</v>
      </c>
      <c r="F160">
        <v>1.4798859530344956E+19</v>
      </c>
      <c r="G160">
        <v>3525</v>
      </c>
      <c r="H160">
        <v>2.8068044669985262E-4</v>
      </c>
      <c r="I160">
        <v>3562.7704450298106</v>
      </c>
      <c r="J160">
        <v>160</v>
      </c>
      <c r="K160">
        <f t="shared" si="15"/>
        <v>28.068044669985262</v>
      </c>
      <c r="L160">
        <f t="shared" si="16"/>
        <v>2.8068044669985261E-9</v>
      </c>
      <c r="M160">
        <f t="shared" si="20"/>
        <v>59.878299235727795</v>
      </c>
      <c r="N160">
        <f t="shared" si="19"/>
        <v>94.406721987923603</v>
      </c>
      <c r="O160" s="2">
        <f t="shared" si="17"/>
        <v>4.0461428201914998E-6</v>
      </c>
      <c r="P160" s="2">
        <f t="shared" si="18"/>
        <v>0.13942382432747699</v>
      </c>
    </row>
    <row r="161" spans="1:16" x14ac:dyDescent="0.25">
      <c r="A161" s="1">
        <v>44481.333402777775</v>
      </c>
      <c r="B161">
        <v>97605239.991641998</v>
      </c>
      <c r="C161">
        <v>97580604.225376129</v>
      </c>
      <c r="D161">
        <v>27844.415877386928</v>
      </c>
      <c r="E161">
        <v>292815.71997493505</v>
      </c>
      <c r="F161">
        <v>1.5840937969897624E+19</v>
      </c>
      <c r="G161">
        <v>3527</v>
      </c>
      <c r="H161">
        <v>2.8925692788105638E-4</v>
      </c>
      <c r="I161">
        <v>3457.1341378941979</v>
      </c>
      <c r="J161">
        <v>161</v>
      </c>
      <c r="K161">
        <f t="shared" si="15"/>
        <v>28.925692788105639</v>
      </c>
      <c r="L161">
        <f t="shared" si="16"/>
        <v>2.8925692788105637E-9</v>
      </c>
      <c r="M161">
        <f t="shared" si="20"/>
        <v>58.983922615024042</v>
      </c>
      <c r="N161">
        <f t="shared" si="19"/>
        <v>83.53324763216078</v>
      </c>
      <c r="O161" s="2">
        <f t="shared" si="17"/>
        <v>3.7235119995489282E-6</v>
      </c>
      <c r="P161" s="2">
        <f t="shared" si="18"/>
        <v>0.1135285232206696</v>
      </c>
    </row>
    <row r="162" spans="1:16" x14ac:dyDescent="0.25">
      <c r="A162" s="1">
        <v>44482.333356481482</v>
      </c>
      <c r="B162">
        <v>107631171.1984787</v>
      </c>
      <c r="C162">
        <v>107626744.54782104</v>
      </c>
      <c r="D162">
        <v>30955.13330549933</v>
      </c>
      <c r="E162">
        <v>322893.51359543204</v>
      </c>
      <c r="F162">
        <v>1.5913972411773114E+19</v>
      </c>
      <c r="G162">
        <v>3537</v>
      </c>
      <c r="H162">
        <v>2.8919908517203112E-4</v>
      </c>
      <c r="I162">
        <v>3457.8255992931181</v>
      </c>
      <c r="J162">
        <v>162</v>
      </c>
      <c r="K162">
        <f t="shared" si="15"/>
        <v>28.919908517203112</v>
      </c>
      <c r="L162">
        <f t="shared" si="16"/>
        <v>2.8919908517203114E-9</v>
      </c>
      <c r="M162">
        <f t="shared" si="20"/>
        <v>58.989821007285535</v>
      </c>
      <c r="N162">
        <f t="shared" si="19"/>
        <v>92.865399916497992</v>
      </c>
      <c r="O162" s="2">
        <f t="shared" si="17"/>
        <v>3.7067942233986172E-6</v>
      </c>
      <c r="P162" s="2">
        <f t="shared" si="18"/>
        <v>0.12564501870688818</v>
      </c>
    </row>
    <row r="163" spans="1:16" x14ac:dyDescent="0.25">
      <c r="A163" s="1">
        <v>44483.333368055559</v>
      </c>
      <c r="B163">
        <v>90024529.70772934</v>
      </c>
      <c r="C163">
        <v>90106972.224155426</v>
      </c>
      <c r="D163">
        <v>25153.163699707016</v>
      </c>
      <c r="E163">
        <v>270073.58912318945</v>
      </c>
      <c r="F163">
        <v>1.33679806125766E+19</v>
      </c>
      <c r="G163">
        <v>3522</v>
      </c>
      <c r="H163">
        <v>2.6782108565091768E-4</v>
      </c>
      <c r="I163">
        <v>3733.8359583211313</v>
      </c>
      <c r="J163">
        <v>163</v>
      </c>
      <c r="K163">
        <f t="shared" si="15"/>
        <v>26.782108565091768</v>
      </c>
      <c r="L163">
        <f t="shared" si="16"/>
        <v>2.6782108565091767E-9</v>
      </c>
      <c r="M163">
        <f t="shared" si="20"/>
        <v>61.298966546316386</v>
      </c>
      <c r="N163">
        <f t="shared" si="19"/>
        <v>75.459491099121053</v>
      </c>
      <c r="O163" s="2">
        <f t="shared" si="17"/>
        <v>4.5855068407749113E-6</v>
      </c>
      <c r="P163" s="2">
        <f t="shared" si="18"/>
        <v>0.1262973046122908</v>
      </c>
    </row>
    <row r="164" spans="1:16" x14ac:dyDescent="0.25">
      <c r="A164" s="1">
        <v>44484.333472222221</v>
      </c>
      <c r="B164">
        <v>90708172.74848175</v>
      </c>
      <c r="C164">
        <v>90714013.0573349</v>
      </c>
      <c r="D164">
        <v>23967.437855405733</v>
      </c>
      <c r="E164">
        <v>272124.5182454437</v>
      </c>
      <c r="F164">
        <v>1.3521202130972312E+19</v>
      </c>
      <c r="G164">
        <v>3507</v>
      </c>
      <c r="H164">
        <v>2.6454722550063955E-4</v>
      </c>
      <c r="I164">
        <v>3780.0434236554956</v>
      </c>
      <c r="J164">
        <v>164</v>
      </c>
      <c r="K164">
        <f t="shared" si="15"/>
        <v>26.454722550063956</v>
      </c>
      <c r="L164">
        <f t="shared" si="16"/>
        <v>2.6454722550063955E-9</v>
      </c>
      <c r="M164">
        <f t="shared" si="20"/>
        <v>61.677097846311518</v>
      </c>
      <c r="N164">
        <f t="shared" si="19"/>
        <v>71.902313566217202</v>
      </c>
      <c r="O164" s="2">
        <f t="shared" si="17"/>
        <v>4.561509934462929E-6</v>
      </c>
      <c r="P164" s="2">
        <f t="shared" si="18"/>
        <v>0.11971383793975646</v>
      </c>
    </row>
    <row r="165" spans="1:16" x14ac:dyDescent="0.25">
      <c r="A165" s="1">
        <v>44485.333356481482</v>
      </c>
      <c r="B165">
        <v>97975861.322776794</v>
      </c>
      <c r="C165">
        <v>98048117.212970734</v>
      </c>
      <c r="D165">
        <v>25259.268463714048</v>
      </c>
      <c r="E165">
        <v>293927.58396832645</v>
      </c>
      <c r="F165">
        <v>1.3805615409624515E+19</v>
      </c>
      <c r="G165">
        <v>3490</v>
      </c>
      <c r="H165">
        <v>2.530082284024334E-4</v>
      </c>
      <c r="I165">
        <v>3952.4406234306571</v>
      </c>
      <c r="J165">
        <v>165</v>
      </c>
      <c r="K165">
        <f t="shared" si="15"/>
        <v>25.300822840243342</v>
      </c>
      <c r="L165">
        <f t="shared" si="16"/>
        <v>2.530082284024334E-9</v>
      </c>
      <c r="M165">
        <f t="shared" si="20"/>
        <v>63.067877147997677</v>
      </c>
      <c r="N165">
        <f t="shared" si="19"/>
        <v>75.777805391142152</v>
      </c>
      <c r="O165" s="2">
        <f t="shared" si="17"/>
        <v>4.5682771304805597E-6</v>
      </c>
      <c r="P165" s="2">
        <f t="shared" si="18"/>
        <v>0.12635351560872182</v>
      </c>
    </row>
    <row r="166" spans="1:16" x14ac:dyDescent="0.25">
      <c r="A166" s="1">
        <v>44486.333356481482</v>
      </c>
      <c r="B166">
        <v>68981844.807361603</v>
      </c>
      <c r="C166">
        <v>68952335.470787048</v>
      </c>
      <c r="D166">
        <v>17823.731441097334</v>
      </c>
      <c r="E166">
        <v>206945.53442208469</v>
      </c>
      <c r="F166">
        <v>1.5524400702509162E+19</v>
      </c>
      <c r="G166">
        <v>3495</v>
      </c>
      <c r="H166">
        <v>2.5850652530779621E-4</v>
      </c>
      <c r="I166">
        <v>3868.3743043210575</v>
      </c>
      <c r="J166">
        <v>166</v>
      </c>
      <c r="K166">
        <f t="shared" si="15"/>
        <v>25.85065253077962</v>
      </c>
      <c r="L166">
        <f t="shared" si="16"/>
        <v>2.585065253077962E-9</v>
      </c>
      <c r="M166">
        <f t="shared" si="20"/>
        <v>62.393562120575666</v>
      </c>
      <c r="N166">
        <f t="shared" si="19"/>
        <v>53.471194323292004</v>
      </c>
      <c r="O166" s="2">
        <f t="shared" si="17"/>
        <v>4.0190641375606325E-6</v>
      </c>
      <c r="P166" s="2">
        <f t="shared" si="18"/>
        <v>7.8440018216506674E-2</v>
      </c>
    </row>
    <row r="167" spans="1:16" x14ac:dyDescent="0.25">
      <c r="A167" s="1">
        <v>44487.333425925928</v>
      </c>
      <c r="B167">
        <v>122064887.12200546</v>
      </c>
      <c r="C167">
        <v>122005723.88376999</v>
      </c>
      <c r="D167">
        <v>32200.043314252049</v>
      </c>
      <c r="E167">
        <v>366194.66136603057</v>
      </c>
      <c r="F167">
        <v>1.5470021413916342E+19</v>
      </c>
      <c r="G167">
        <v>3492</v>
      </c>
      <c r="H167">
        <v>2.6779430622029567E-4</v>
      </c>
      <c r="I167">
        <v>3734.2093419169632</v>
      </c>
      <c r="J167">
        <v>167</v>
      </c>
      <c r="K167">
        <f t="shared" si="15"/>
        <v>26.779430622029565</v>
      </c>
      <c r="L167">
        <f t="shared" si="16"/>
        <v>2.6779430622029569E-9</v>
      </c>
      <c r="M167">
        <f t="shared" si="20"/>
        <v>61.302031418023823</v>
      </c>
      <c r="N167">
        <f t="shared" si="19"/>
        <v>96.600129942756155</v>
      </c>
      <c r="O167" s="2">
        <f t="shared" si="17"/>
        <v>3.9626339083718692E-6</v>
      </c>
      <c r="P167" s="2">
        <f t="shared" si="18"/>
        <v>0.13971869691946742</v>
      </c>
    </row>
    <row r="168" spans="1:16" x14ac:dyDescent="0.25">
      <c r="A168" s="1">
        <v>44488.333541666667</v>
      </c>
      <c r="B168">
        <v>92541859.696754456</v>
      </c>
      <c r="C168">
        <v>92563027.618667603</v>
      </c>
      <c r="D168">
        <v>24601.092409132048</v>
      </c>
      <c r="E168">
        <v>277625.57909025252</v>
      </c>
      <c r="F168">
        <v>1.339402220101812E+19</v>
      </c>
      <c r="G168">
        <v>3488</v>
      </c>
      <c r="H168">
        <v>2.6267568560328365E-4</v>
      </c>
      <c r="I168">
        <v>3806.9758824586816</v>
      </c>
      <c r="J168">
        <v>168</v>
      </c>
      <c r="K168">
        <f t="shared" si="15"/>
        <v>26.267568560328364</v>
      </c>
      <c r="L168">
        <f t="shared" si="16"/>
        <v>2.6267568560328366E-9</v>
      </c>
      <c r="M168">
        <f t="shared" si="20"/>
        <v>61.896429660896295</v>
      </c>
      <c r="N168">
        <f t="shared" si="19"/>
        <v>73.803277227396151</v>
      </c>
      <c r="O168" s="2">
        <f t="shared" si="17"/>
        <v>4.6211980786616402E-6</v>
      </c>
      <c r="P168" s="2">
        <f t="shared" si="18"/>
        <v>0.12448674046659404</v>
      </c>
    </row>
    <row r="169" spans="1:16" x14ac:dyDescent="0.25">
      <c r="A169" s="1">
        <v>44489.333344907405</v>
      </c>
      <c r="B169">
        <v>62894863.570121765</v>
      </c>
      <c r="C169">
        <v>62910458.186786652</v>
      </c>
      <c r="D169">
        <v>16422.866353591904</v>
      </c>
      <c r="E169">
        <v>188684.59071037173</v>
      </c>
      <c r="F169">
        <v>1.902167023780803E+19</v>
      </c>
      <c r="G169">
        <v>3493</v>
      </c>
      <c r="H169">
        <v>2.5897223277935439E-4</v>
      </c>
      <c r="I169">
        <v>3861.417841085708</v>
      </c>
      <c r="J169">
        <v>169</v>
      </c>
      <c r="K169">
        <f t="shared" si="15"/>
        <v>25.897223277935439</v>
      </c>
      <c r="L169">
        <f t="shared" si="16"/>
        <v>2.589722327793544E-9</v>
      </c>
      <c r="M169">
        <f t="shared" si="20"/>
        <v>62.337435981478258</v>
      </c>
      <c r="N169">
        <f t="shared" si="19"/>
        <v>49.268599060775713</v>
      </c>
      <c r="O169" s="2">
        <f t="shared" si="17"/>
        <v>3.2771799322634948E-6</v>
      </c>
      <c r="P169" s="2">
        <f t="shared" si="18"/>
        <v>5.8933653408439236E-2</v>
      </c>
    </row>
    <row r="170" spans="1:16" x14ac:dyDescent="0.25">
      <c r="A170" s="1">
        <v>44490.333483796298</v>
      </c>
      <c r="B170">
        <v>207133638.34248352</v>
      </c>
      <c r="C170">
        <v>207245289.06427765</v>
      </c>
      <c r="D170">
        <v>49876.597233906388</v>
      </c>
      <c r="E170">
        <v>621400.9150274545</v>
      </c>
      <c r="F170">
        <v>1.4658586642054666E+19</v>
      </c>
      <c r="G170">
        <v>3430</v>
      </c>
      <c r="H170">
        <v>2.3744242815405448E-4</v>
      </c>
      <c r="I170">
        <v>4211.5472275712755</v>
      </c>
      <c r="J170">
        <v>170</v>
      </c>
      <c r="K170">
        <f t="shared" si="15"/>
        <v>23.74424281540545</v>
      </c>
      <c r="L170">
        <f t="shared" si="16"/>
        <v>2.3744242815405447E-9</v>
      </c>
      <c r="M170">
        <f t="shared" si="20"/>
        <v>65.102306197631364</v>
      </c>
      <c r="N170">
        <f t="shared" si="19"/>
        <v>149.62979170171917</v>
      </c>
      <c r="O170" s="2">
        <f t="shared" si="17"/>
        <v>4.4412403315103033E-6</v>
      </c>
      <c r="P170" s="2">
        <f t="shared" si="18"/>
        <v>0.2425577809809237</v>
      </c>
    </row>
    <row r="171" spans="1:16" x14ac:dyDescent="0.25">
      <c r="A171" s="1">
        <v>44491.333495370367</v>
      </c>
      <c r="B171">
        <v>155668975.37798691</v>
      </c>
      <c r="C171">
        <v>155645947.5447998</v>
      </c>
      <c r="D171">
        <v>37788.154960766435</v>
      </c>
      <c r="E171">
        <v>467006.92613394558</v>
      </c>
      <c r="F171">
        <v>1.5254732764041409E+19</v>
      </c>
      <c r="G171">
        <v>3427</v>
      </c>
      <c r="H171">
        <v>2.4255394066825898E-4</v>
      </c>
      <c r="I171">
        <v>4122.7942833866382</v>
      </c>
      <c r="J171">
        <v>171</v>
      </c>
      <c r="K171">
        <f t="shared" si="15"/>
        <v>24.255394066825897</v>
      </c>
      <c r="L171">
        <f t="shared" si="16"/>
        <v>2.4255394066825896E-9</v>
      </c>
      <c r="M171">
        <f t="shared" si="20"/>
        <v>64.412679895350152</v>
      </c>
      <c r="N171">
        <f t="shared" si="19"/>
        <v>113.3644648822993</v>
      </c>
      <c r="O171" s="2">
        <f t="shared" si="17"/>
        <v>4.2224718644160247E-6</v>
      </c>
      <c r="P171" s="2">
        <f t="shared" si="18"/>
        <v>0.17471756613738187</v>
      </c>
    </row>
    <row r="172" spans="1:16" x14ac:dyDescent="0.25">
      <c r="A172" s="1">
        <v>44492.333333333336</v>
      </c>
      <c r="B172">
        <v>128348789.60176468</v>
      </c>
      <c r="C172">
        <v>128317116.44454956</v>
      </c>
      <c r="D172">
        <v>32164.216199863702</v>
      </c>
      <c r="E172">
        <v>385046.36880530417</v>
      </c>
      <c r="F172">
        <v>1.5344441353486074E+19</v>
      </c>
      <c r="G172">
        <v>3427</v>
      </c>
      <c r="H172">
        <v>2.4797378041963817E-4</v>
      </c>
      <c r="I172">
        <v>4032.6844165045663</v>
      </c>
      <c r="J172">
        <v>172</v>
      </c>
      <c r="K172">
        <f t="shared" si="15"/>
        <v>24.797378041963817</v>
      </c>
      <c r="L172">
        <f t="shared" si="16"/>
        <v>2.4797378041963816E-9</v>
      </c>
      <c r="M172">
        <f t="shared" si="20"/>
        <v>63.704873007027011</v>
      </c>
      <c r="N172">
        <f t="shared" si="19"/>
        <v>96.492648599591107</v>
      </c>
      <c r="O172" s="2">
        <f t="shared" si="17"/>
        <v>4.1516580199613475E-6</v>
      </c>
      <c r="P172" s="2">
        <f t="shared" si="18"/>
        <v>0.14622063462541865</v>
      </c>
    </row>
    <row r="173" spans="1:16" x14ac:dyDescent="0.25">
      <c r="A173" s="1">
        <v>44493.333379629628</v>
      </c>
      <c r="B173">
        <v>79902013.790218353</v>
      </c>
      <c r="C173">
        <v>79904910.381793976</v>
      </c>
      <c r="D173">
        <v>19531.241937184706</v>
      </c>
      <c r="E173">
        <v>239706.04137066007</v>
      </c>
      <c r="F173">
        <v>1.5559376293965619E+19</v>
      </c>
      <c r="G173">
        <v>3436</v>
      </c>
      <c r="H173">
        <v>2.4784983071681811E-4</v>
      </c>
      <c r="I173">
        <v>4034.7011620215885</v>
      </c>
      <c r="J173">
        <v>173</v>
      </c>
      <c r="K173">
        <f t="shared" si="15"/>
        <v>24.784983071681811</v>
      </c>
      <c r="L173">
        <f t="shared" si="16"/>
        <v>2.4784983071681809E-9</v>
      </c>
      <c r="M173">
        <f t="shared" si="20"/>
        <v>63.720800419765055</v>
      </c>
      <c r="N173">
        <f t="shared" si="19"/>
        <v>58.593725811554123</v>
      </c>
      <c r="O173" s="2">
        <f t="shared" si="17"/>
        <v>4.095331279087186E-6</v>
      </c>
      <c r="P173" s="2">
        <f t="shared" si="18"/>
        <v>8.7585662097125261E-2</v>
      </c>
    </row>
    <row r="174" spans="1:16" x14ac:dyDescent="0.25">
      <c r="A174" s="1">
        <v>44494.333437499998</v>
      </c>
      <c r="B174">
        <v>89893006.762496948</v>
      </c>
      <c r="C174">
        <v>89919994.414684296</v>
      </c>
      <c r="D174">
        <v>22168.14437812008</v>
      </c>
      <c r="E174">
        <v>269679.02028748393</v>
      </c>
      <c r="F174">
        <v>1.584317131525101E+19</v>
      </c>
      <c r="G174">
        <v>3433</v>
      </c>
      <c r="H174">
        <v>2.4160986963747764E-4</v>
      </c>
      <c r="I174">
        <v>4138.9037687096361</v>
      </c>
      <c r="J174">
        <v>174</v>
      </c>
      <c r="K174">
        <f t="shared" si="15"/>
        <v>24.160986963747764</v>
      </c>
      <c r="L174">
        <f t="shared" si="16"/>
        <v>2.4160986963747763E-9</v>
      </c>
      <c r="M174">
        <f t="shared" si="20"/>
        <v>64.538400873319617</v>
      </c>
      <c r="N174">
        <f t="shared" si="19"/>
        <v>66.504433134360241</v>
      </c>
      <c r="O174" s="2">
        <f t="shared" si="17"/>
        <v>4.073578426258222E-6</v>
      </c>
      <c r="P174" s="2">
        <f t="shared" si="18"/>
        <v>9.8882523784331752E-2</v>
      </c>
    </row>
    <row r="175" spans="1:16" x14ac:dyDescent="0.25">
      <c r="A175" s="1">
        <v>44495.333402777775</v>
      </c>
      <c r="B175">
        <v>51496070.988708496</v>
      </c>
      <c r="C175">
        <v>51518495.938007355</v>
      </c>
      <c r="D175">
        <v>12272.27465810068</v>
      </c>
      <c r="E175">
        <v>154488.21296612918</v>
      </c>
      <c r="F175">
        <v>1.6256425547482546E+19</v>
      </c>
      <c r="G175">
        <v>3423</v>
      </c>
      <c r="H175">
        <v>2.3708654928134904E-4</v>
      </c>
      <c r="I175">
        <v>4217.8689724540491</v>
      </c>
      <c r="J175">
        <v>175</v>
      </c>
      <c r="K175">
        <f t="shared" si="15"/>
        <v>23.708654928134905</v>
      </c>
      <c r="L175">
        <f t="shared" si="16"/>
        <v>2.3708654928134903E-9</v>
      </c>
      <c r="M175">
        <f t="shared" si="20"/>
        <v>65.151148798876307</v>
      </c>
      <c r="N175">
        <f t="shared" si="19"/>
        <v>36.816823974302039</v>
      </c>
      <c r="O175" s="2">
        <f t="shared" si="17"/>
        <v>4.007716739979506E-6</v>
      </c>
      <c r="P175" s="2">
        <f t="shared" si="18"/>
        <v>5.3856261640461513E-2</v>
      </c>
    </row>
    <row r="176" spans="1:16" x14ac:dyDescent="0.25">
      <c r="A176" s="1">
        <v>44496.333587962959</v>
      </c>
      <c r="B176">
        <v>210180946.36787796</v>
      </c>
      <c r="C176">
        <v>210098855.1149559</v>
      </c>
      <c r="D176">
        <v>50831.608358692378</v>
      </c>
      <c r="E176">
        <v>630542.83910362422</v>
      </c>
      <c r="F176">
        <v>1.6624026596658008E+19</v>
      </c>
      <c r="G176">
        <v>3412</v>
      </c>
      <c r="H176">
        <v>2.5001542263232456E-4</v>
      </c>
      <c r="I176">
        <v>3999.7532531047536</v>
      </c>
      <c r="J176">
        <v>176</v>
      </c>
      <c r="K176">
        <f t="shared" si="15"/>
        <v>25.001542263232455</v>
      </c>
      <c r="L176">
        <f t="shared" si="16"/>
        <v>2.5001542263232458E-9</v>
      </c>
      <c r="M176">
        <f t="shared" si="20"/>
        <v>63.444230741337016</v>
      </c>
      <c r="N176">
        <f t="shared" si="19"/>
        <v>152.49482507607715</v>
      </c>
      <c r="O176" s="2">
        <f t="shared" si="17"/>
        <v>3.8164177837691536E-6</v>
      </c>
      <c r="P176" s="2">
        <f t="shared" si="18"/>
        <v>0.21242414625888412</v>
      </c>
    </row>
    <row r="177" spans="1:16" x14ac:dyDescent="0.25">
      <c r="A177" s="1">
        <v>44497.333368055559</v>
      </c>
      <c r="B177">
        <v>178382782.91397476</v>
      </c>
      <c r="C177">
        <v>178390873.77757263</v>
      </c>
      <c r="D177">
        <v>44573.411748947576</v>
      </c>
      <c r="E177">
        <v>535148.3487419337</v>
      </c>
      <c r="F177">
        <v>1.6505506313987521E+19</v>
      </c>
      <c r="G177">
        <v>3406</v>
      </c>
      <c r="H177">
        <v>2.4117538474971659E-4</v>
      </c>
      <c r="I177">
        <v>4146.3601313946911</v>
      </c>
      <c r="J177">
        <v>177</v>
      </c>
      <c r="K177">
        <f t="shared" si="15"/>
        <v>24.11753847497166</v>
      </c>
      <c r="L177">
        <f t="shared" si="16"/>
        <v>2.4117538474971658E-9</v>
      </c>
      <c r="M177">
        <f t="shared" si="20"/>
        <v>64.596508673351963</v>
      </c>
      <c r="N177">
        <f t="shared" si="19"/>
        <v>133.72023524684272</v>
      </c>
      <c r="O177" s="2">
        <f t="shared" si="17"/>
        <v>3.9136338773570329E-6</v>
      </c>
      <c r="P177" s="2">
        <f t="shared" si="18"/>
        <v>0.19101619560382144</v>
      </c>
    </row>
    <row r="178" spans="1:16" x14ac:dyDescent="0.25">
      <c r="A178" s="1">
        <v>44498.333344907405</v>
      </c>
      <c r="B178">
        <v>137191434.35473633</v>
      </c>
      <c r="C178">
        <v>137235600.62810898</v>
      </c>
      <c r="D178">
        <v>32175.029866792262</v>
      </c>
      <c r="E178">
        <v>411574.3030642122</v>
      </c>
      <c r="F178">
        <v>1.8737952349122736E+19</v>
      </c>
      <c r="G178">
        <v>3399</v>
      </c>
      <c r="H178">
        <v>2.3209025501269131E-4</v>
      </c>
      <c r="I178">
        <v>4308.6686252523496</v>
      </c>
      <c r="J178">
        <v>178</v>
      </c>
      <c r="K178">
        <f t="shared" si="15"/>
        <v>23.209025501269132</v>
      </c>
      <c r="L178">
        <f t="shared" si="16"/>
        <v>2.3209025501269132E-9</v>
      </c>
      <c r="M178">
        <f t="shared" si="20"/>
        <v>65.848681426125125</v>
      </c>
      <c r="N178">
        <f t="shared" si="19"/>
        <v>96.525089600376788</v>
      </c>
      <c r="O178" s="2">
        <f t="shared" si="17"/>
        <v>3.5141876870664574E-6</v>
      </c>
      <c r="P178" s="2">
        <f t="shared" si="18"/>
        <v>0.1238106576988202</v>
      </c>
    </row>
    <row r="179" spans="1:16" x14ac:dyDescent="0.25">
      <c r="A179" s="1">
        <v>44499.333506944444</v>
      </c>
      <c r="B179">
        <v>66393851.677761078</v>
      </c>
      <c r="C179">
        <v>66406448.175655365</v>
      </c>
      <c r="D179">
        <v>15189.117598989978</v>
      </c>
      <c r="E179">
        <v>199181.55503328145</v>
      </c>
      <c r="F179">
        <v>1.0428113811764404E+19</v>
      </c>
      <c r="G179">
        <v>3402</v>
      </c>
      <c r="H179">
        <v>2.3037921134558853E-4</v>
      </c>
      <c r="I179">
        <v>4340.6694300203781</v>
      </c>
      <c r="J179">
        <v>179</v>
      </c>
      <c r="K179">
        <f t="shared" si="15"/>
        <v>23.037921134558854</v>
      </c>
      <c r="L179">
        <f t="shared" si="16"/>
        <v>2.3037921134558854E-9</v>
      </c>
      <c r="M179">
        <f t="shared" si="20"/>
        <v>66.092760611699504</v>
      </c>
      <c r="N179">
        <f t="shared" si="19"/>
        <v>45.567352796969935</v>
      </c>
      <c r="O179" s="2">
        <f t="shared" si="17"/>
        <v>6.3379400920171601E-6</v>
      </c>
      <c r="P179" s="2">
        <f t="shared" si="18"/>
        <v>0.10541315054533719</v>
      </c>
    </row>
    <row r="180" spans="1:16" x14ac:dyDescent="0.25">
      <c r="A180" s="1">
        <v>44500.33357638889</v>
      </c>
      <c r="B180">
        <v>113184482.48322296</v>
      </c>
      <c r="C180">
        <v>113224409.83302307</v>
      </c>
      <c r="D180">
        <v>26166.141692226753</v>
      </c>
      <c r="E180">
        <v>339553.44744966924</v>
      </c>
      <c r="F180">
        <v>8.1728368544835973E+18</v>
      </c>
      <c r="G180">
        <v>3404</v>
      </c>
      <c r="H180">
        <v>2.373000125467782E-4</v>
      </c>
      <c r="I180">
        <v>4214.0747877241392</v>
      </c>
      <c r="J180">
        <v>180</v>
      </c>
      <c r="K180">
        <f t="shared" si="15"/>
        <v>23.73000125467782</v>
      </c>
      <c r="L180">
        <f t="shared" si="16"/>
        <v>2.3730001254677818E-9</v>
      </c>
      <c r="M180">
        <f t="shared" si="20"/>
        <v>65.121838842624939</v>
      </c>
      <c r="N180">
        <f t="shared" si="19"/>
        <v>78.498425076680263</v>
      </c>
      <c r="O180" s="2">
        <f t="shared" si="17"/>
        <v>7.9680825644891309E-6</v>
      </c>
      <c r="P180" s="2">
        <f t="shared" si="18"/>
        <v>0.22830090525057362</v>
      </c>
    </row>
    <row r="181" spans="1:16" x14ac:dyDescent="0.25">
      <c r="A181" s="1">
        <v>44501.333472222221</v>
      </c>
      <c r="B181">
        <v>71281639.449474335</v>
      </c>
      <c r="C181">
        <v>71290963.521923065</v>
      </c>
      <c r="D181">
        <v>16758.646704228595</v>
      </c>
      <c r="E181">
        <v>213844.91834841669</v>
      </c>
      <c r="F181">
        <v>1.724854657781656E+19</v>
      </c>
      <c r="G181">
        <v>3400</v>
      </c>
      <c r="H181">
        <v>2.312100295417295E-4</v>
      </c>
      <c r="I181">
        <v>4325.0718923484974</v>
      </c>
      <c r="J181">
        <v>181</v>
      </c>
      <c r="K181">
        <f t="shared" si="15"/>
        <v>23.121002954172951</v>
      </c>
      <c r="L181">
        <f t="shared" si="16"/>
        <v>2.3121002954172949E-9</v>
      </c>
      <c r="M181">
        <f t="shared" si="20"/>
        <v>65.9739065859129</v>
      </c>
      <c r="N181">
        <f t="shared" si="19"/>
        <v>50.275940112685788</v>
      </c>
      <c r="O181" s="2">
        <f t="shared" si="17"/>
        <v>3.824896566691727E-6</v>
      </c>
      <c r="P181" s="2">
        <f t="shared" si="18"/>
        <v>7.0189598814336923E-2</v>
      </c>
    </row>
    <row r="182" spans="1:16" x14ac:dyDescent="0.25">
      <c r="A182" s="1">
        <v>44502.33357638889</v>
      </c>
      <c r="B182">
        <v>87836469.829772949</v>
      </c>
      <c r="C182">
        <v>87871796.264099121</v>
      </c>
      <c r="D182">
        <v>20154.07904971391</v>
      </c>
      <c r="E182">
        <v>263509.40948933363</v>
      </c>
      <c r="F182">
        <v>1.7568710137384897E+19</v>
      </c>
      <c r="G182">
        <v>3401</v>
      </c>
      <c r="H182">
        <v>2.2545662185165423E-4</v>
      </c>
      <c r="I182">
        <v>4435.4430213097894</v>
      </c>
      <c r="J182">
        <v>182</v>
      </c>
      <c r="K182">
        <f t="shared" si="15"/>
        <v>22.545662185165423</v>
      </c>
      <c r="L182">
        <f t="shared" si="16"/>
        <v>2.2545662185165423E-9</v>
      </c>
      <c r="M182">
        <f t="shared" si="20"/>
        <v>66.810394794741086</v>
      </c>
      <c r="N182">
        <f t="shared" si="19"/>
        <v>60.462237149141728</v>
      </c>
      <c r="O182" s="2">
        <f t="shared" si="17"/>
        <v>3.8028059130290723E-6</v>
      </c>
      <c r="P182" s="2">
        <f t="shared" si="18"/>
        <v>8.39230458251886E-2</v>
      </c>
    </row>
    <row r="183" spans="1:16" x14ac:dyDescent="0.25">
      <c r="A183" s="1">
        <v>44503.333692129629</v>
      </c>
      <c r="B183">
        <v>73943567.447731018</v>
      </c>
      <c r="C183">
        <v>73995732.107219696</v>
      </c>
      <c r="D183">
        <v>16267.180028961971</v>
      </c>
      <c r="E183">
        <v>221830.70234318078</v>
      </c>
      <c r="F183">
        <v>1.5617022230055627E+19</v>
      </c>
      <c r="G183">
        <v>3366</v>
      </c>
      <c r="H183">
        <v>2.1861874363290079E-4</v>
      </c>
      <c r="I183">
        <v>4574.1732084929336</v>
      </c>
      <c r="J183">
        <v>183</v>
      </c>
      <c r="K183">
        <f t="shared" si="15"/>
        <v>21.861874363290081</v>
      </c>
      <c r="L183">
        <f t="shared" si="16"/>
        <v>2.1861874363290081E-9</v>
      </c>
      <c r="M183">
        <f t="shared" si="20"/>
        <v>67.847185837580113</v>
      </c>
      <c r="N183">
        <f t="shared" si="19"/>
        <v>48.801540086885915</v>
      </c>
      <c r="O183" s="2">
        <f t="shared" si="17"/>
        <v>4.3444380649599961E-6</v>
      </c>
      <c r="P183" s="2">
        <f t="shared" si="18"/>
        <v>7.7385572959480481E-2</v>
      </c>
    </row>
    <row r="184" spans="1:16" x14ac:dyDescent="0.25">
      <c r="A184" s="1">
        <v>44504.334328703706</v>
      </c>
      <c r="B184">
        <v>102223713.65621948</v>
      </c>
      <c r="C184">
        <v>102203162.42769623</v>
      </c>
      <c r="D184">
        <v>22471.008854437619</v>
      </c>
      <c r="E184">
        <v>306671.14096866548</v>
      </c>
      <c r="F184">
        <v>1.88928334686703E+19</v>
      </c>
      <c r="G184">
        <v>3349</v>
      </c>
      <c r="H184">
        <v>2.2143490774787836E-4</v>
      </c>
      <c r="I184">
        <v>4515.9998040533937</v>
      </c>
      <c r="J184">
        <v>184</v>
      </c>
      <c r="K184">
        <f t="shared" si="15"/>
        <v>22.143490774787836</v>
      </c>
      <c r="L184">
        <f t="shared" si="16"/>
        <v>2.2143490774787836E-9</v>
      </c>
      <c r="M184">
        <f t="shared" si="20"/>
        <v>67.414371970191141</v>
      </c>
      <c r="N184">
        <f t="shared" si="19"/>
        <v>67.413026563312854</v>
      </c>
      <c r="O184" s="2">
        <f t="shared" si="17"/>
        <v>3.5682510027933803E-6</v>
      </c>
      <c r="P184" s="2">
        <f t="shared" si="18"/>
        <v>8.7799508867095422E-2</v>
      </c>
    </row>
    <row r="185" spans="1:16" x14ac:dyDescent="0.25">
      <c r="A185" s="1">
        <v>44505.333344907405</v>
      </c>
      <c r="B185">
        <v>81841372.139385223</v>
      </c>
      <c r="C185">
        <v>81834636.234916687</v>
      </c>
      <c r="D185">
        <v>18169.392420208082</v>
      </c>
      <c r="E185">
        <v>245524.11641815305</v>
      </c>
      <c r="F185">
        <v>1.8722171290119295E+19</v>
      </c>
      <c r="G185">
        <v>3346</v>
      </c>
      <c r="H185">
        <v>2.2263383048272805E-4</v>
      </c>
      <c r="I185">
        <v>4491.6803427032628</v>
      </c>
      <c r="J185">
        <v>185</v>
      </c>
      <c r="K185">
        <f t="shared" si="15"/>
        <v>22.263383048272804</v>
      </c>
      <c r="L185">
        <f t="shared" si="16"/>
        <v>2.2263383048272803E-9</v>
      </c>
      <c r="M185">
        <f t="shared" si="20"/>
        <v>67.232607746050206</v>
      </c>
      <c r="N185">
        <f t="shared" si="19"/>
        <v>54.508177260624244</v>
      </c>
      <c r="O185" s="2">
        <f t="shared" si="17"/>
        <v>3.5910689366212828E-6</v>
      </c>
      <c r="P185" s="2">
        <f t="shared" si="18"/>
        <v>7.1446057085653117E-2</v>
      </c>
    </row>
    <row r="186" spans="1:16" x14ac:dyDescent="0.25">
      <c r="A186" s="1">
        <v>44506.333379629628</v>
      </c>
      <c r="B186">
        <v>67389113.969654083</v>
      </c>
      <c r="C186">
        <v>67367419.313415527</v>
      </c>
      <c r="D186">
        <v>15084.280104255304</v>
      </c>
      <c r="E186">
        <v>202167.34190896153</v>
      </c>
      <c r="F186">
        <v>1.7674245046652133E+19</v>
      </c>
      <c r="G186">
        <v>3332</v>
      </c>
      <c r="H186">
        <v>2.2792741686330066E-4</v>
      </c>
      <c r="I186">
        <v>4387.3616160874117</v>
      </c>
      <c r="J186">
        <v>186</v>
      </c>
      <c r="K186">
        <f t="shared" si="15"/>
        <v>22.792741686330068</v>
      </c>
      <c r="L186">
        <f t="shared" si="16"/>
        <v>2.2792741686330066E-9</v>
      </c>
      <c r="M186">
        <f t="shared" si="20"/>
        <v>66.447286666585725</v>
      </c>
      <c r="N186">
        <f t="shared" si="19"/>
        <v>45.252840312765912</v>
      </c>
      <c r="O186" s="2">
        <f t="shared" si="17"/>
        <v>3.7595544528886235E-6</v>
      </c>
      <c r="P186" s="2">
        <f t="shared" si="18"/>
        <v>6.2097638815856671E-2</v>
      </c>
    </row>
    <row r="187" spans="1:16" x14ac:dyDescent="0.25">
      <c r="A187" s="1">
        <v>44507.333796296298</v>
      </c>
      <c r="B187">
        <v>60501458.66652298</v>
      </c>
      <c r="C187">
        <v>60561405.993125916</v>
      </c>
      <c r="D187">
        <v>13489.359765574336</v>
      </c>
      <c r="E187">
        <v>181504.37599956989</v>
      </c>
      <c r="F187">
        <v>1.7198381696270619E+19</v>
      </c>
      <c r="G187">
        <v>3315</v>
      </c>
      <c r="H187">
        <v>2.1728929470948589E-4</v>
      </c>
      <c r="I187">
        <v>4602.1595372979245</v>
      </c>
      <c r="J187">
        <v>187</v>
      </c>
      <c r="K187">
        <f t="shared" si="15"/>
        <v>21.728929470948589</v>
      </c>
      <c r="L187">
        <f t="shared" si="16"/>
        <v>2.172892947094859E-9</v>
      </c>
      <c r="M187">
        <f t="shared" si="20"/>
        <v>68.054425272077609</v>
      </c>
      <c r="N187">
        <f t="shared" si="19"/>
        <v>40.468079296723012</v>
      </c>
      <c r="O187" s="2">
        <f t="shared" si="17"/>
        <v>3.9570249383891083E-6</v>
      </c>
      <c r="P187" s="2">
        <f t="shared" si="18"/>
        <v>5.8448617629831938E-2</v>
      </c>
    </row>
    <row r="188" spans="1:16" x14ac:dyDescent="0.25">
      <c r="A188" s="1">
        <v>44508.333599537036</v>
      </c>
      <c r="B188">
        <v>47796900.075645447</v>
      </c>
      <c r="C188">
        <v>47839686.517318726</v>
      </c>
      <c r="D188">
        <v>10253.852610055357</v>
      </c>
      <c r="E188">
        <v>143390.70022693276</v>
      </c>
      <c r="F188">
        <v>1.5329941735309259E+19</v>
      </c>
      <c r="G188">
        <v>3294</v>
      </c>
      <c r="H188">
        <v>2.111631486239857E-4</v>
      </c>
      <c r="I188">
        <v>4735.6747922938084</v>
      </c>
      <c r="J188">
        <v>188</v>
      </c>
      <c r="K188">
        <f t="shared" si="15"/>
        <v>21.116314862398571</v>
      </c>
      <c r="L188">
        <f t="shared" si="16"/>
        <v>2.1116314862398569E-9</v>
      </c>
      <c r="M188">
        <f t="shared" si="20"/>
        <v>69.034545708204405</v>
      </c>
      <c r="N188">
        <f t="shared" si="19"/>
        <v>30.761557830166073</v>
      </c>
      <c r="O188" s="2">
        <f t="shared" si="17"/>
        <v>4.5032490599229107E-6</v>
      </c>
      <c r="P188" s="2">
        <f t="shared" si="18"/>
        <v>5.0562339078867757E-2</v>
      </c>
    </row>
    <row r="189" spans="1:16" x14ac:dyDescent="0.25">
      <c r="A189" s="1">
        <v>44509.333553240744</v>
      </c>
      <c r="B189">
        <v>49297522.262138367</v>
      </c>
      <c r="C189">
        <v>49309686.90486908</v>
      </c>
      <c r="D189">
        <v>10315.541086090729</v>
      </c>
      <c r="E189">
        <v>147892.56678640842</v>
      </c>
      <c r="F189">
        <v>3.1668960814514676E+19</v>
      </c>
      <c r="G189">
        <v>3262</v>
      </c>
      <c r="H189">
        <v>2.092922280910724E-4</v>
      </c>
      <c r="I189">
        <v>4778.0082859304994</v>
      </c>
      <c r="J189">
        <v>189</v>
      </c>
      <c r="K189">
        <f t="shared" si="15"/>
        <v>20.929222809107241</v>
      </c>
      <c r="L189">
        <f t="shared" si="16"/>
        <v>2.0929222809107239E-9</v>
      </c>
      <c r="M189">
        <f t="shared" si="20"/>
        <v>69.342418552269507</v>
      </c>
      <c r="N189">
        <f t="shared" si="19"/>
        <v>30.946623258272187</v>
      </c>
      <c r="O189" s="2">
        <f t="shared" si="17"/>
        <v>2.1896019562627438E-6</v>
      </c>
      <c r="P189" s="2">
        <f t="shared" si="18"/>
        <v>2.4732687191504201E-2</v>
      </c>
    </row>
    <row r="190" spans="1:16" x14ac:dyDescent="0.25">
      <c r="A190" s="1">
        <v>44510.333425925928</v>
      </c>
      <c r="B190">
        <v>86638414.276348114</v>
      </c>
      <c r="C190">
        <v>86621336.114246368</v>
      </c>
      <c r="D190">
        <v>18219.464359555393</v>
      </c>
      <c r="E190">
        <v>259915.24282905459</v>
      </c>
      <c r="F190">
        <v>1.5545543234364551E+19</v>
      </c>
      <c r="G190">
        <v>3257</v>
      </c>
      <c r="H190">
        <v>2.1190347744807307E-4</v>
      </c>
      <c r="I190">
        <v>4719.1297285107084</v>
      </c>
      <c r="J190">
        <v>190</v>
      </c>
      <c r="K190">
        <f t="shared" si="15"/>
        <v>21.190347744807308</v>
      </c>
      <c r="L190">
        <f t="shared" si="16"/>
        <v>2.1190347744807305E-9</v>
      </c>
      <c r="M190">
        <f t="shared" si="20"/>
        <v>68.913846930285843</v>
      </c>
      <c r="N190">
        <f t="shared" si="19"/>
        <v>54.65839307866618</v>
      </c>
      <c r="O190" s="2">
        <f t="shared" si="17"/>
        <v>4.4330291898675359E-6</v>
      </c>
      <c r="P190" s="2">
        <f t="shared" si="18"/>
        <v>8.8440321975978009E-2</v>
      </c>
    </row>
    <row r="191" spans="1:16" x14ac:dyDescent="0.25">
      <c r="A191" s="1">
        <v>44511.333379629628</v>
      </c>
      <c r="B191">
        <v>163873774.6231842</v>
      </c>
      <c r="C191">
        <v>163867549.12466431</v>
      </c>
      <c r="D191">
        <v>35136.054623616859</v>
      </c>
      <c r="E191">
        <v>491621.32386954129</v>
      </c>
      <c r="F191">
        <v>1.6063486781554635E+19</v>
      </c>
      <c r="G191">
        <v>3257</v>
      </c>
      <c r="H191">
        <v>2.124338723397717E-4</v>
      </c>
      <c r="I191">
        <v>4707.347227567253</v>
      </c>
      <c r="J191">
        <v>191</v>
      </c>
      <c r="K191">
        <f t="shared" si="15"/>
        <v>21.24338723397717</v>
      </c>
      <c r="L191">
        <f t="shared" si="16"/>
        <v>2.124338723397717E-9</v>
      </c>
      <c r="M191">
        <f t="shared" si="20"/>
        <v>68.827762739588309</v>
      </c>
      <c r="N191">
        <f t="shared" si="19"/>
        <v>105.40816387085059</v>
      </c>
      <c r="O191" s="2">
        <f t="shared" si="17"/>
        <v>4.2847336742992675E-6</v>
      </c>
      <c r="P191" s="2">
        <f t="shared" si="18"/>
        <v>0.16485075688847345</v>
      </c>
    </row>
    <row r="192" spans="1:16" x14ac:dyDescent="0.25">
      <c r="A192" s="1">
        <v>44512.334085648145</v>
      </c>
      <c r="B192">
        <v>81755941.961547852</v>
      </c>
      <c r="C192">
        <v>81733132.162597656</v>
      </c>
      <c r="D192">
        <v>17427.329691952094</v>
      </c>
      <c r="E192">
        <v>245267.82588464022</v>
      </c>
      <c r="F192">
        <v>1.9378047878149157E+19</v>
      </c>
      <c r="G192">
        <v>3250</v>
      </c>
      <c r="H192">
        <v>2.1774605882501951E-4</v>
      </c>
      <c r="I192">
        <v>4592.5056251125943</v>
      </c>
      <c r="J192">
        <v>192</v>
      </c>
      <c r="K192">
        <f t="shared" si="15"/>
        <v>21.774605882501952</v>
      </c>
      <c r="L192">
        <f t="shared" si="16"/>
        <v>2.1774605882501949E-9</v>
      </c>
      <c r="M192">
        <f t="shared" si="20"/>
        <v>67.983009196287028</v>
      </c>
      <c r="N192">
        <f t="shared" si="19"/>
        <v>52.281989075856288</v>
      </c>
      <c r="O192" s="2">
        <f t="shared" si="17"/>
        <v>3.5082485926224398E-6</v>
      </c>
      <c r="P192" s="2">
        <f t="shared" si="18"/>
        <v>6.6947648327129225E-2</v>
      </c>
    </row>
    <row r="193" spans="1:16" x14ac:dyDescent="0.25">
      <c r="A193" s="1">
        <v>44513.333564814813</v>
      </c>
      <c r="B193">
        <v>82268465.675800323</v>
      </c>
      <c r="C193">
        <v>82273871.406776428</v>
      </c>
      <c r="D193">
        <v>17870.330823807046</v>
      </c>
      <c r="E193">
        <v>246805.39702741802</v>
      </c>
      <c r="F193">
        <v>1.9719960493701874E+19</v>
      </c>
      <c r="G193">
        <v>3239</v>
      </c>
      <c r="H193">
        <v>2.166600999873259E-4</v>
      </c>
      <c r="I193">
        <v>4615.5245015510363</v>
      </c>
      <c r="J193">
        <v>193</v>
      </c>
      <c r="K193">
        <f t="shared" si="15"/>
        <v>21.666009998732591</v>
      </c>
      <c r="L193">
        <f t="shared" si="16"/>
        <v>2.1666009998732592E-9</v>
      </c>
      <c r="M193">
        <f t="shared" si="20"/>
        <v>68.15317082475228</v>
      </c>
      <c r="N193">
        <f t="shared" si="19"/>
        <v>53.610992471421142</v>
      </c>
      <c r="O193" s="2">
        <f t="shared" si="17"/>
        <v>3.456050068990702E-6</v>
      </c>
      <c r="P193" s="2">
        <f t="shared" si="18"/>
        <v>6.7628030093772995E-2</v>
      </c>
    </row>
    <row r="194" spans="1:16" x14ac:dyDescent="0.25">
      <c r="A194" s="1">
        <v>44514.333645833336</v>
      </c>
      <c r="B194">
        <v>37440726.141613007</v>
      </c>
      <c r="C194">
        <v>37439433.439300537</v>
      </c>
      <c r="D194">
        <v>8072.9844081010669</v>
      </c>
      <c r="E194">
        <v>112322.17842483521</v>
      </c>
      <c r="F194">
        <v>1.9481664503613354E+19</v>
      </c>
      <c r="G194">
        <v>3222</v>
      </c>
      <c r="H194">
        <v>2.166167744662649E-4</v>
      </c>
      <c r="I194">
        <v>4616.447652606591</v>
      </c>
      <c r="J194">
        <v>194</v>
      </c>
      <c r="K194">
        <f t="shared" ref="K194:K257" si="21">(1+$U$16)*H194</f>
        <v>21.661677446626491</v>
      </c>
      <c r="L194">
        <f t="shared" ref="L194:L257" si="22">H194/(1+$U$16)</f>
        <v>2.1661677446626488E-9</v>
      </c>
      <c r="M194">
        <f t="shared" si="20"/>
        <v>68.15998614183475</v>
      </c>
      <c r="N194">
        <f t="shared" si="19"/>
        <v>24.218953224303203</v>
      </c>
      <c r="O194" s="2">
        <f t="shared" si="17"/>
        <v>3.4986736440920028E-6</v>
      </c>
      <c r="P194" s="2">
        <f t="shared" si="18"/>
        <v>3.0927987866678826E-2</v>
      </c>
    </row>
    <row r="195" spans="1:16" x14ac:dyDescent="0.25">
      <c r="A195" s="1">
        <v>44515.333506944444</v>
      </c>
      <c r="B195">
        <v>65464580.992782593</v>
      </c>
      <c r="C195">
        <v>65490101.050933838</v>
      </c>
      <c r="D195">
        <v>14169.525810685009</v>
      </c>
      <c r="E195">
        <v>196393.74297833443</v>
      </c>
      <c r="F195">
        <v>1.7306998858925033E+19</v>
      </c>
      <c r="G195">
        <v>3216</v>
      </c>
      <c r="H195">
        <v>2.112687513167243E-4</v>
      </c>
      <c r="I195">
        <v>4733.3076650831645</v>
      </c>
      <c r="J195">
        <v>195</v>
      </c>
      <c r="K195">
        <f t="shared" si="21"/>
        <v>21.126875131672431</v>
      </c>
      <c r="L195">
        <f t="shared" si="22"/>
        <v>2.1126875131672431E-9</v>
      </c>
      <c r="M195">
        <f t="shared" si="20"/>
        <v>69.01729009158575</v>
      </c>
      <c r="N195">
        <f t="shared" si="19"/>
        <v>42.508577432055027</v>
      </c>
      <c r="O195" s="2">
        <f t="shared" ref="O195:O258" si="23">M195/(F195/POWER(10,$U$21))</f>
        <v>3.9878254256655404E-6</v>
      </c>
      <c r="P195" s="2">
        <f t="shared" ref="P195:P258" si="24">O195*N195*365</f>
        <v>6.1873626850733825E-2</v>
      </c>
    </row>
    <row r="196" spans="1:16" x14ac:dyDescent="0.25">
      <c r="A196" s="1">
        <v>44516.333402777775</v>
      </c>
      <c r="B196">
        <v>189209318.20142365</v>
      </c>
      <c r="C196">
        <v>189092629.07744217</v>
      </c>
      <c r="D196">
        <v>43040.352418188006</v>
      </c>
      <c r="E196">
        <v>567627.95460428298</v>
      </c>
      <c r="F196">
        <v>6.9745960500550717E+18</v>
      </c>
      <c r="G196">
        <v>3225</v>
      </c>
      <c r="H196">
        <v>2.3592772456918358E-4</v>
      </c>
      <c r="I196">
        <v>4238.5862103576528</v>
      </c>
      <c r="J196">
        <v>196</v>
      </c>
      <c r="K196">
        <f t="shared" si="21"/>
        <v>23.592772456918357</v>
      </c>
      <c r="L196">
        <f t="shared" si="22"/>
        <v>2.3592772456918358E-9</v>
      </c>
      <c r="M196">
        <f t="shared" si="20"/>
        <v>65.310956808044168</v>
      </c>
      <c r="N196">
        <f t="shared" si="19"/>
        <v>129.12105725456402</v>
      </c>
      <c r="O196" s="2">
        <f t="shared" si="23"/>
        <v>9.3641203503862379E-6</v>
      </c>
      <c r="P196" s="2">
        <f t="shared" si="24"/>
        <v>0.44132336876381006</v>
      </c>
    </row>
    <row r="197" spans="1:16" x14ac:dyDescent="0.25">
      <c r="A197" s="1">
        <v>44517.333518518521</v>
      </c>
      <c r="B197">
        <v>116185276.29184341</v>
      </c>
      <c r="C197">
        <v>116175838.13154984</v>
      </c>
      <c r="D197">
        <v>27695.342304201797</v>
      </c>
      <c r="E197">
        <v>348555.82887552679</v>
      </c>
      <c r="F197">
        <v>1.0459411653440381E+19</v>
      </c>
      <c r="G197">
        <v>3229</v>
      </c>
      <c r="H197">
        <v>2.3562123311416885E-4</v>
      </c>
      <c r="I197">
        <v>4244.0996797408998</v>
      </c>
      <c r="J197">
        <v>197</v>
      </c>
      <c r="K197">
        <f t="shared" si="21"/>
        <v>23.562123311416887</v>
      </c>
      <c r="L197">
        <f t="shared" si="22"/>
        <v>2.3562123311416887E-9</v>
      </c>
      <c r="M197">
        <f t="shared" si="20"/>
        <v>65.353420606054229</v>
      </c>
      <c r="N197">
        <f t="shared" ref="N197:N260" si="25">D197*0.003</f>
        <v>83.086026912605391</v>
      </c>
      <c r="O197" s="2">
        <f t="shared" si="23"/>
        <v>6.2482884096599968E-6</v>
      </c>
      <c r="P197" s="2">
        <f t="shared" si="24"/>
        <v>0.18948809252139676</v>
      </c>
    </row>
    <row r="198" spans="1:16" x14ac:dyDescent="0.25">
      <c r="A198" s="1">
        <v>44518.33384259259</v>
      </c>
      <c r="B198">
        <v>69001533.093177795</v>
      </c>
      <c r="C198">
        <v>68997875.688648224</v>
      </c>
      <c r="D198">
        <v>16259.485201695934</v>
      </c>
      <c r="E198">
        <v>207004.5992795378</v>
      </c>
      <c r="F198">
        <v>8.315184507970604E+18</v>
      </c>
      <c r="G198">
        <v>3229</v>
      </c>
      <c r="H198">
        <v>2.3868028252096478E-4</v>
      </c>
      <c r="I198">
        <v>4189.7051127889617</v>
      </c>
      <c r="J198">
        <v>198</v>
      </c>
      <c r="K198">
        <f t="shared" si="21"/>
        <v>23.868028252096479</v>
      </c>
      <c r="L198">
        <f t="shared" si="22"/>
        <v>2.3868028252096478E-9</v>
      </c>
      <c r="M198">
        <f t="shared" si="20"/>
        <v>64.933268497491667</v>
      </c>
      <c r="N198">
        <f t="shared" si="25"/>
        <v>48.7784556050878</v>
      </c>
      <c r="O198" s="2">
        <f t="shared" si="23"/>
        <v>7.8089991190513243E-6</v>
      </c>
      <c r="P198" s="2">
        <f t="shared" si="24"/>
        <v>0.13903248464981738</v>
      </c>
    </row>
    <row r="199" spans="1:16" x14ac:dyDescent="0.25">
      <c r="A199" s="1">
        <v>44519.333449074074</v>
      </c>
      <c r="B199">
        <v>127369791.24282837</v>
      </c>
      <c r="C199">
        <v>127368360.74269485</v>
      </c>
      <c r="D199">
        <v>31452.234895892441</v>
      </c>
      <c r="E199">
        <v>382109.37372848392</v>
      </c>
      <c r="F199">
        <v>8.2464630698685491E+18</v>
      </c>
      <c r="G199">
        <v>3217</v>
      </c>
      <c r="H199">
        <v>2.4069354007732853E-4</v>
      </c>
      <c r="I199">
        <v>4154.660734470589</v>
      </c>
      <c r="J199">
        <v>199</v>
      </c>
      <c r="K199">
        <f t="shared" si="21"/>
        <v>24.069354007732851</v>
      </c>
      <c r="L199">
        <f t="shared" si="22"/>
        <v>2.4069354007732854E-9</v>
      </c>
      <c r="M199">
        <f t="shared" si="20"/>
        <v>64.661134258207142</v>
      </c>
      <c r="N199">
        <f t="shared" si="25"/>
        <v>94.356704687677322</v>
      </c>
      <c r="O199" s="2">
        <f t="shared" si="23"/>
        <v>7.8410748596534797E-6</v>
      </c>
      <c r="P199" s="2">
        <f t="shared" si="24"/>
        <v>0.27004816451269742</v>
      </c>
    </row>
    <row r="200" spans="1:16" x14ac:dyDescent="0.25">
      <c r="A200" s="1">
        <v>44520.333402777775</v>
      </c>
      <c r="B200">
        <v>39368102.993232727</v>
      </c>
      <c r="C200">
        <v>39394143.355045319</v>
      </c>
      <c r="D200">
        <v>9222.7436293996871</v>
      </c>
      <c r="E200">
        <v>118104.30897970498</v>
      </c>
      <c r="F200">
        <v>1.2447443713098861E+19</v>
      </c>
      <c r="G200">
        <v>3217</v>
      </c>
      <c r="H200">
        <v>2.314644877778989E-4</v>
      </c>
      <c r="I200">
        <v>4320.3171665778264</v>
      </c>
      <c r="J200">
        <v>200</v>
      </c>
      <c r="K200">
        <f t="shared" si="21"/>
        <v>23.146448777789889</v>
      </c>
      <c r="L200">
        <f t="shared" si="22"/>
        <v>2.314644877778989E-9</v>
      </c>
      <c r="M200">
        <f t="shared" si="20"/>
        <v>65.937632727178865</v>
      </c>
      <c r="N200">
        <f t="shared" si="25"/>
        <v>27.668230888199062</v>
      </c>
      <c r="O200" s="2">
        <f t="shared" si="23"/>
        <v>5.2972830604399913E-6</v>
      </c>
      <c r="P200" s="2">
        <f t="shared" si="24"/>
        <v>5.3496754540685788E-2</v>
      </c>
    </row>
    <row r="201" spans="1:16" x14ac:dyDescent="0.25">
      <c r="A201" s="1">
        <v>44521.333634259259</v>
      </c>
      <c r="B201">
        <v>75855155.411800385</v>
      </c>
      <c r="C201">
        <v>75857794.446331024</v>
      </c>
      <c r="D201">
        <v>17480.599315403029</v>
      </c>
      <c r="E201">
        <v>227565.46623538435</v>
      </c>
      <c r="F201">
        <v>2.0104262535619482E+19</v>
      </c>
      <c r="G201">
        <v>3219</v>
      </c>
      <c r="H201">
        <v>2.3056357923374699E-4</v>
      </c>
      <c r="I201">
        <v>4337.1984565966204</v>
      </c>
      <c r="J201">
        <v>201</v>
      </c>
      <c r="K201">
        <f t="shared" si="21"/>
        <v>23.056357923374698</v>
      </c>
      <c r="L201">
        <f t="shared" si="22"/>
        <v>2.3056357923374701E-9</v>
      </c>
      <c r="M201">
        <f t="shared" si="20"/>
        <v>66.066330115409272</v>
      </c>
      <c r="N201">
        <f t="shared" si="25"/>
        <v>52.441797946209086</v>
      </c>
      <c r="O201" s="2">
        <f t="shared" si="23"/>
        <v>3.2861852056675572E-6</v>
      </c>
      <c r="P201" s="2">
        <f t="shared" si="24"/>
        <v>6.2901713107845453E-2</v>
      </c>
    </row>
    <row r="202" spans="1:16" x14ac:dyDescent="0.25">
      <c r="A202" s="1">
        <v>44522.333506944444</v>
      </c>
      <c r="B202">
        <v>92908569.337104797</v>
      </c>
      <c r="C202">
        <v>92878436.323513031</v>
      </c>
      <c r="D202">
        <v>21729.967431832105</v>
      </c>
      <c r="E202">
        <v>278725.70801131427</v>
      </c>
      <c r="F202">
        <v>9.4709497108284785E+18</v>
      </c>
      <c r="G202">
        <v>3215</v>
      </c>
      <c r="H202">
        <v>2.3860869275463899E-4</v>
      </c>
      <c r="I202">
        <v>4190.962150018142</v>
      </c>
      <c r="J202">
        <v>202</v>
      </c>
      <c r="K202">
        <f t="shared" si="21"/>
        <v>23.860869275463898</v>
      </c>
      <c r="L202">
        <f t="shared" si="22"/>
        <v>2.3860869275463897E-9</v>
      </c>
      <c r="M202">
        <f t="shared" si="20"/>
        <v>64.943008731261997</v>
      </c>
      <c r="N202">
        <f t="shared" si="25"/>
        <v>65.18990229549631</v>
      </c>
      <c r="O202" s="2">
        <f t="shared" si="23"/>
        <v>6.8570746033009028E-6</v>
      </c>
      <c r="P202" s="2">
        <f t="shared" si="24"/>
        <v>0.16315938854907197</v>
      </c>
    </row>
    <row r="203" spans="1:16" x14ac:dyDescent="0.25">
      <c r="A203" s="1">
        <v>44523.333425925928</v>
      </c>
      <c r="B203">
        <v>103821775.74306107</v>
      </c>
      <c r="C203">
        <v>103822495.05384445</v>
      </c>
      <c r="D203">
        <v>25021.973972382024</v>
      </c>
      <c r="E203">
        <v>311465.32722918689</v>
      </c>
      <c r="F203">
        <v>9.1436470647810836E+18</v>
      </c>
      <c r="G203">
        <v>3208</v>
      </c>
      <c r="H203">
        <v>2.4156155491087991E-4</v>
      </c>
      <c r="I203">
        <v>4139.7315908524151</v>
      </c>
      <c r="J203">
        <v>203</v>
      </c>
      <c r="K203">
        <f t="shared" si="21"/>
        <v>24.15615549108799</v>
      </c>
      <c r="L203">
        <f t="shared" si="22"/>
        <v>2.4156155491087991E-9</v>
      </c>
      <c r="M203">
        <f t="shared" si="20"/>
        <v>64.544854713406949</v>
      </c>
      <c r="N203">
        <f t="shared" si="25"/>
        <v>75.065921917146071</v>
      </c>
      <c r="O203" s="2">
        <f t="shared" si="23"/>
        <v>7.0589836042575081E-6</v>
      </c>
      <c r="P203" s="2">
        <f t="shared" si="24"/>
        <v>0.19340952589883706</v>
      </c>
    </row>
    <row r="204" spans="1:16" x14ac:dyDescent="0.25">
      <c r="A204" s="1">
        <v>44524.333437499998</v>
      </c>
      <c r="B204">
        <v>86150939.2395401</v>
      </c>
      <c r="C204">
        <v>86177282.913677216</v>
      </c>
      <c r="D204">
        <v>20059.778953263536</v>
      </c>
      <c r="E204">
        <v>258452.81771862507</v>
      </c>
      <c r="F204">
        <v>8.9865850728733071E+18</v>
      </c>
      <c r="G204">
        <v>3206</v>
      </c>
      <c r="H204">
        <v>2.3318359187439426E-4</v>
      </c>
      <c r="I204">
        <v>4288.4664052119761</v>
      </c>
      <c r="J204">
        <v>204</v>
      </c>
      <c r="K204">
        <f t="shared" si="21"/>
        <v>23.318359187439427</v>
      </c>
      <c r="L204">
        <f t="shared" si="22"/>
        <v>2.3318359187439425E-9</v>
      </c>
      <c r="M204">
        <f t="shared" si="20"/>
        <v>65.694126425644484</v>
      </c>
      <c r="N204">
        <f t="shared" si="25"/>
        <v>60.17933685979061</v>
      </c>
      <c r="O204" s="2">
        <f t="shared" si="23"/>
        <v>7.3102436457144568E-6</v>
      </c>
      <c r="P204" s="2">
        <f t="shared" si="24"/>
        <v>0.16057284943214684</v>
      </c>
    </row>
    <row r="205" spans="1:16" x14ac:dyDescent="0.25">
      <c r="A205" s="1">
        <v>44525.333391203705</v>
      </c>
      <c r="B205">
        <v>78997773.447105408</v>
      </c>
      <c r="C205">
        <v>79036075.845985413</v>
      </c>
      <c r="D205">
        <v>18448.799729786813</v>
      </c>
      <c r="E205">
        <v>236993.32034131885</v>
      </c>
      <c r="F205">
        <v>1.7610123510844658E+19</v>
      </c>
      <c r="G205">
        <v>3202</v>
      </c>
      <c r="H205">
        <v>2.2552426560213382E-4</v>
      </c>
      <c r="I205">
        <v>4434.1126544856306</v>
      </c>
      <c r="J205">
        <v>205</v>
      </c>
      <c r="K205">
        <f t="shared" si="21"/>
        <v>22.552426560213384</v>
      </c>
      <c r="L205">
        <f t="shared" si="22"/>
        <v>2.2552426560213382E-9</v>
      </c>
      <c r="M205">
        <f t="shared" si="20"/>
        <v>66.800374488070659</v>
      </c>
      <c r="N205">
        <f t="shared" si="25"/>
        <v>55.34639918936044</v>
      </c>
      <c r="O205" s="2">
        <f t="shared" si="23"/>
        <v>3.7932939224948467E-6</v>
      </c>
      <c r="P205" s="2">
        <f t="shared" si="24"/>
        <v>7.6629983282095748E-2</v>
      </c>
    </row>
    <row r="206" spans="1:16" x14ac:dyDescent="0.25">
      <c r="A206" s="1">
        <v>44526.333414351851</v>
      </c>
      <c r="B206">
        <v>171049760.2804718</v>
      </c>
      <c r="C206">
        <v>170972133.45433426</v>
      </c>
      <c r="D206">
        <v>39902.717489199713</v>
      </c>
      <c r="E206">
        <v>513149.28084141016</v>
      </c>
      <c r="F206">
        <v>6.8466283170065162E+18</v>
      </c>
      <c r="G206">
        <v>3194</v>
      </c>
      <c r="H206">
        <v>2.4735465115855961E-4</v>
      </c>
      <c r="I206">
        <v>4042.7782348793539</v>
      </c>
      <c r="J206">
        <v>206</v>
      </c>
      <c r="K206">
        <f t="shared" si="21"/>
        <v>24.735465115855963</v>
      </c>
      <c r="L206">
        <f t="shared" si="22"/>
        <v>2.473546511585596E-9</v>
      </c>
      <c r="M206">
        <f t="shared" ref="M206:M269" si="26">1/(SQRT(H206)-SQRT(L206))</f>
        <v>63.784549902192829</v>
      </c>
      <c r="N206">
        <f t="shared" si="25"/>
        <v>119.70815246759913</v>
      </c>
      <c r="O206" s="2">
        <f t="shared" si="23"/>
        <v>9.3161987110877254E-6</v>
      </c>
      <c r="P206" s="2">
        <f t="shared" si="24"/>
        <v>0.40705710153974911</v>
      </c>
    </row>
    <row r="207" spans="1:16" x14ac:dyDescent="0.25">
      <c r="A207" s="1">
        <v>44527.333344907405</v>
      </c>
      <c r="B207">
        <v>61458551.631214142</v>
      </c>
      <c r="C207">
        <v>61469861.646755219</v>
      </c>
      <c r="D207">
        <v>15015.532628312707</v>
      </c>
      <c r="E207">
        <v>184375.6548936367</v>
      </c>
      <c r="F207">
        <v>8.298464984566912E+18</v>
      </c>
      <c r="G207">
        <v>3203</v>
      </c>
      <c r="H207">
        <v>2.4243270007252824E-4</v>
      </c>
      <c r="I207">
        <v>4124.8560928489906</v>
      </c>
      <c r="J207">
        <v>207</v>
      </c>
      <c r="K207">
        <f t="shared" si="21"/>
        <v>24.243270007252825</v>
      </c>
      <c r="L207">
        <f t="shared" si="22"/>
        <v>2.4243270007252822E-9</v>
      </c>
      <c r="M207">
        <f t="shared" si="26"/>
        <v>64.428784273081874</v>
      </c>
      <c r="N207">
        <f t="shared" si="25"/>
        <v>45.046597884938123</v>
      </c>
      <c r="O207" s="2">
        <f t="shared" si="23"/>
        <v>7.763940004916987E-6</v>
      </c>
      <c r="P207" s="2">
        <f t="shared" si="24"/>
        <v>0.12765476544256221</v>
      </c>
    </row>
    <row r="208" spans="1:16" x14ac:dyDescent="0.25">
      <c r="A208" s="1">
        <v>44528.333472222221</v>
      </c>
      <c r="B208">
        <v>55560649.470710754</v>
      </c>
      <c r="C208">
        <v>55560086.340507507</v>
      </c>
      <c r="D208">
        <v>13648.48357333988</v>
      </c>
      <c r="E208">
        <v>166681.94841215014</v>
      </c>
      <c r="F208">
        <v>9.0860938836425585E+18</v>
      </c>
      <c r="G208">
        <v>3203</v>
      </c>
      <c r="H208">
        <v>2.4445316378749279E-4</v>
      </c>
      <c r="I208">
        <v>4090.7631732241221</v>
      </c>
      <c r="J208">
        <v>208</v>
      </c>
      <c r="K208">
        <f t="shared" si="21"/>
        <v>24.445316378749279</v>
      </c>
      <c r="L208">
        <f t="shared" si="22"/>
        <v>2.4445316378749278E-9</v>
      </c>
      <c r="M208">
        <f t="shared" si="26"/>
        <v>64.161972176742694</v>
      </c>
      <c r="N208">
        <f t="shared" si="25"/>
        <v>40.945450720019636</v>
      </c>
      <c r="O208" s="2">
        <f t="shared" si="23"/>
        <v>7.0615572542400987E-6</v>
      </c>
      <c r="P208" s="2">
        <f t="shared" si="24"/>
        <v>0.10553560526443108</v>
      </c>
    </row>
    <row r="209" spans="1:16" x14ac:dyDescent="0.25">
      <c r="A209" s="1">
        <v>44529.333344907405</v>
      </c>
      <c r="B209">
        <v>87686410.563285828</v>
      </c>
      <c r="C209">
        <v>87727340.302513123</v>
      </c>
      <c r="D209">
        <v>20856.935911554843</v>
      </c>
      <c r="E209">
        <v>263059.23168985546</v>
      </c>
      <c r="F209">
        <v>8.5254281711981107E+18</v>
      </c>
      <c r="G209">
        <v>3208</v>
      </c>
      <c r="H209">
        <v>2.3185829235627565E-4</v>
      </c>
      <c r="I209">
        <v>4312.979233295614</v>
      </c>
      <c r="J209">
        <v>209</v>
      </c>
      <c r="K209">
        <f t="shared" si="21"/>
        <v>23.185829235627565</v>
      </c>
      <c r="L209">
        <f t="shared" si="22"/>
        <v>2.3185829235627565E-9</v>
      </c>
      <c r="M209">
        <f t="shared" si="26"/>
        <v>65.881612352364854</v>
      </c>
      <c r="N209">
        <f t="shared" si="25"/>
        <v>62.570807734664534</v>
      </c>
      <c r="O209" s="2">
        <f t="shared" si="23"/>
        <v>7.7276602452573661E-6</v>
      </c>
      <c r="P209" s="2">
        <f t="shared" si="24"/>
        <v>0.17648696935735539</v>
      </c>
    </row>
    <row r="210" spans="1:16" x14ac:dyDescent="0.25">
      <c r="A210" s="1">
        <v>44530.333402777775</v>
      </c>
      <c r="B210">
        <v>151103763.09550476</v>
      </c>
      <c r="C210">
        <v>151188926.1861496</v>
      </c>
      <c r="D210">
        <v>33967.655036471784</v>
      </c>
      <c r="E210">
        <v>453311.28928649426</v>
      </c>
      <c r="F210">
        <v>2.3271729628860191E+19</v>
      </c>
      <c r="G210">
        <v>3191</v>
      </c>
      <c r="H210">
        <v>2.175284324786383E-4</v>
      </c>
      <c r="I210">
        <v>4597.1001979164348</v>
      </c>
      <c r="J210">
        <v>210</v>
      </c>
      <c r="K210">
        <f t="shared" si="21"/>
        <v>21.752843247863829</v>
      </c>
      <c r="L210">
        <f t="shared" si="22"/>
        <v>2.1752843247863832E-9</v>
      </c>
      <c r="M210">
        <f t="shared" si="26"/>
        <v>68.017007499865954</v>
      </c>
      <c r="N210">
        <f t="shared" si="25"/>
        <v>101.90296510941535</v>
      </c>
      <c r="O210" s="2">
        <f t="shared" si="23"/>
        <v>2.9227310812134641E-6</v>
      </c>
      <c r="P210" s="2">
        <f t="shared" si="24"/>
        <v>0.10870976163848128</v>
      </c>
    </row>
    <row r="211" spans="1:16" x14ac:dyDescent="0.25">
      <c r="A211" s="1">
        <v>44531.333402777775</v>
      </c>
      <c r="B211">
        <v>257857268.17127228</v>
      </c>
      <c r="C211">
        <v>257877583.80965424</v>
      </c>
      <c r="D211">
        <v>55225.010115647689</v>
      </c>
      <c r="E211">
        <v>773571.80451382697</v>
      </c>
      <c r="F211">
        <v>1.7884666289485412E+19</v>
      </c>
      <c r="G211">
        <v>3188</v>
      </c>
      <c r="H211">
        <v>2.1369087384582374E-4</v>
      </c>
      <c r="I211">
        <v>4679.6570298153774</v>
      </c>
      <c r="J211">
        <v>211</v>
      </c>
      <c r="K211">
        <f t="shared" si="21"/>
        <v>21.369087384582375</v>
      </c>
      <c r="L211">
        <f t="shared" si="22"/>
        <v>2.1369087384582375E-9</v>
      </c>
      <c r="M211">
        <f t="shared" si="26"/>
        <v>68.625030153547314</v>
      </c>
      <c r="N211">
        <f t="shared" si="25"/>
        <v>165.67503034694306</v>
      </c>
      <c r="O211" s="2">
        <f t="shared" si="23"/>
        <v>3.837087538719842E-6</v>
      </c>
      <c r="P211" s="2">
        <f t="shared" si="24"/>
        <v>0.23203400196376969</v>
      </c>
    </row>
    <row r="212" spans="1:16" x14ac:dyDescent="0.25">
      <c r="A212" s="1">
        <v>44532.333402777775</v>
      </c>
      <c r="B212">
        <v>178568535.47711945</v>
      </c>
      <c r="C212">
        <v>178519584.36727905</v>
      </c>
      <c r="D212">
        <v>38918.133076615632</v>
      </c>
      <c r="E212">
        <v>535705.60643136501</v>
      </c>
      <c r="F212">
        <v>2.3528656466789405E+19</v>
      </c>
      <c r="G212">
        <v>3180</v>
      </c>
      <c r="H212">
        <v>2.2044073892804565E-4</v>
      </c>
      <c r="I212">
        <v>4536.3665757190702</v>
      </c>
      <c r="J212">
        <v>212</v>
      </c>
      <c r="K212">
        <f t="shared" si="21"/>
        <v>22.044073892804565</v>
      </c>
      <c r="L212">
        <f t="shared" si="22"/>
        <v>2.2044073892804567E-9</v>
      </c>
      <c r="M212">
        <f t="shared" si="26"/>
        <v>67.566217477113909</v>
      </c>
      <c r="N212">
        <f t="shared" si="25"/>
        <v>116.7543992298469</v>
      </c>
      <c r="O212" s="2">
        <f t="shared" si="23"/>
        <v>2.8716564234121624E-6</v>
      </c>
      <c r="P212" s="2">
        <f t="shared" si="24"/>
        <v>0.12237665998615652</v>
      </c>
    </row>
    <row r="213" spans="1:16" x14ac:dyDescent="0.25">
      <c r="A213" s="1">
        <v>44533.333425925928</v>
      </c>
      <c r="B213">
        <v>148277392.5248642</v>
      </c>
      <c r="C213">
        <v>148300179.92412567</v>
      </c>
      <c r="D213">
        <v>32660.761623609811</v>
      </c>
      <c r="E213">
        <v>444832.17757458985</v>
      </c>
      <c r="F213">
        <v>2.444510268839757E+19</v>
      </c>
      <c r="G213">
        <v>3186</v>
      </c>
      <c r="H213">
        <v>2.1696362136688509E-4</v>
      </c>
      <c r="I213">
        <v>4609.0676109659962</v>
      </c>
      <c r="J213">
        <v>213</v>
      </c>
      <c r="K213">
        <f t="shared" si="21"/>
        <v>21.69636213668851</v>
      </c>
      <c r="L213">
        <f t="shared" si="22"/>
        <v>2.1696362136688507E-9</v>
      </c>
      <c r="M213">
        <f t="shared" si="26"/>
        <v>68.105482682339343</v>
      </c>
      <c r="N213">
        <f t="shared" si="25"/>
        <v>97.982284870829432</v>
      </c>
      <c r="O213" s="2">
        <f t="shared" si="23"/>
        <v>2.7860583590292867E-6</v>
      </c>
      <c r="P213" s="2">
        <f t="shared" si="24"/>
        <v>9.963929278742456E-2</v>
      </c>
    </row>
    <row r="214" spans="1:16" x14ac:dyDescent="0.25">
      <c r="A214" s="1">
        <v>44534.333344907405</v>
      </c>
      <c r="B214">
        <v>478669164.3454895</v>
      </c>
      <c r="C214">
        <v>478384924.61508179</v>
      </c>
      <c r="D214">
        <v>118142.53108890913</v>
      </c>
      <c r="E214">
        <v>1436007.4930364639</v>
      </c>
      <c r="F214">
        <v>1.6019330742044568E+19</v>
      </c>
      <c r="G214">
        <v>3165</v>
      </c>
      <c r="H214">
        <v>2.5514234154438791E-4</v>
      </c>
      <c r="I214">
        <v>3919.3808207095522</v>
      </c>
      <c r="J214">
        <v>214</v>
      </c>
      <c r="K214">
        <f t="shared" si="21"/>
        <v>25.514234154438793</v>
      </c>
      <c r="L214">
        <f t="shared" si="22"/>
        <v>2.5514234154438791E-9</v>
      </c>
      <c r="M214">
        <f t="shared" si="26"/>
        <v>62.803560732574617</v>
      </c>
      <c r="N214">
        <f t="shared" si="25"/>
        <v>354.4275932667274</v>
      </c>
      <c r="O214" s="2">
        <f t="shared" si="23"/>
        <v>3.9204859269020198E-6</v>
      </c>
      <c r="P214" s="2">
        <f t="shared" si="24"/>
        <v>0.50717786290040467</v>
      </c>
    </row>
    <row r="215" spans="1:16" x14ac:dyDescent="0.25">
      <c r="A215" s="1">
        <v>44535.333379629628</v>
      </c>
      <c r="B215">
        <v>153751323.4805603</v>
      </c>
      <c r="C215">
        <v>153822460.55472565</v>
      </c>
      <c r="D215">
        <v>37471.2524754107</v>
      </c>
      <c r="E215">
        <v>461253.97044169903</v>
      </c>
      <c r="F215">
        <v>1.8680704309507334E+19</v>
      </c>
      <c r="G215">
        <v>3166</v>
      </c>
      <c r="H215">
        <v>2.35998509964622E-4</v>
      </c>
      <c r="I215">
        <v>4237.3148887673387</v>
      </c>
      <c r="J215">
        <v>215</v>
      </c>
      <c r="K215">
        <f t="shared" si="21"/>
        <v>23.599850996462202</v>
      </c>
      <c r="L215">
        <f t="shared" si="22"/>
        <v>2.3599850996462202E-9</v>
      </c>
      <c r="M215">
        <f t="shared" si="26"/>
        <v>65.301161388960566</v>
      </c>
      <c r="N215">
        <f t="shared" si="25"/>
        <v>112.4137574262321</v>
      </c>
      <c r="O215" s="2">
        <f t="shared" si="23"/>
        <v>3.495647717935682E-6</v>
      </c>
      <c r="P215" s="2">
        <f t="shared" si="24"/>
        <v>0.14342999653322799</v>
      </c>
    </row>
    <row r="216" spans="1:16" x14ac:dyDescent="0.25">
      <c r="A216" s="1">
        <v>44536.333668981482</v>
      </c>
      <c r="B216">
        <v>236500319.94207764</v>
      </c>
      <c r="C216">
        <v>236446755.27724457</v>
      </c>
      <c r="D216">
        <v>57867.80560436286</v>
      </c>
      <c r="E216">
        <v>709500.959826231</v>
      </c>
      <c r="F216">
        <v>1.7089577588257937E+19</v>
      </c>
      <c r="G216">
        <v>3165</v>
      </c>
      <c r="H216">
        <v>2.4607180939267018E-4</v>
      </c>
      <c r="I216">
        <v>4063.8543783950709</v>
      </c>
      <c r="J216">
        <v>216</v>
      </c>
      <c r="K216">
        <f t="shared" si="21"/>
        <v>24.607180939267018</v>
      </c>
      <c r="L216">
        <f t="shared" si="22"/>
        <v>2.4607180939267018E-9</v>
      </c>
      <c r="M216">
        <f t="shared" si="26"/>
        <v>63.950597197660919</v>
      </c>
      <c r="N216">
        <f t="shared" si="25"/>
        <v>173.60341681308859</v>
      </c>
      <c r="O216" s="2">
        <f t="shared" si="23"/>
        <v>3.7420817961937615E-6</v>
      </c>
      <c r="P216" s="2">
        <f t="shared" si="24"/>
        <v>0.23711793782185334</v>
      </c>
    </row>
    <row r="217" spans="1:16" x14ac:dyDescent="0.25">
      <c r="A217" s="1">
        <v>44537.333437499998</v>
      </c>
      <c r="B217">
        <v>146927749.04263306</v>
      </c>
      <c r="C217">
        <v>147010151.19952393</v>
      </c>
      <c r="D217">
        <v>34616.671217290685</v>
      </c>
      <c r="E217">
        <v>440783.24712787569</v>
      </c>
      <c r="F217">
        <v>1.9724345167900361E+19</v>
      </c>
      <c r="G217">
        <v>3169</v>
      </c>
      <c r="H217">
        <v>2.2959729113993392E-4</v>
      </c>
      <c r="I217">
        <v>4355.4520832326571</v>
      </c>
      <c r="J217">
        <v>217</v>
      </c>
      <c r="K217">
        <f t="shared" si="21"/>
        <v>22.95972911399339</v>
      </c>
      <c r="L217">
        <f t="shared" si="22"/>
        <v>2.2959729113993392E-9</v>
      </c>
      <c r="M217">
        <f t="shared" si="26"/>
        <v>66.205208235852638</v>
      </c>
      <c r="N217">
        <f t="shared" si="25"/>
        <v>103.85001365187206</v>
      </c>
      <c r="O217" s="2">
        <f t="shared" si="23"/>
        <v>3.3565224940190053E-6</v>
      </c>
      <c r="P217" s="2">
        <f t="shared" si="24"/>
        <v>0.12722984099174162</v>
      </c>
    </row>
    <row r="218" spans="1:16" x14ac:dyDescent="0.25">
      <c r="A218" s="1">
        <v>44538.333819444444</v>
      </c>
      <c r="B218">
        <v>148569778.58633423</v>
      </c>
      <c r="C218">
        <v>148542485.23496246</v>
      </c>
      <c r="D218">
        <v>34418.860232332721</v>
      </c>
      <c r="E218">
        <v>445709.33575901389</v>
      </c>
      <c r="F218">
        <v>2.1223765022661693E+19</v>
      </c>
      <c r="G218">
        <v>3164</v>
      </c>
      <c r="H218">
        <v>2.3369713478988847E-4</v>
      </c>
      <c r="I218">
        <v>4279.042620266081</v>
      </c>
      <c r="J218">
        <v>218</v>
      </c>
      <c r="K218">
        <f t="shared" si="21"/>
        <v>23.369713478988846</v>
      </c>
      <c r="L218">
        <f t="shared" si="22"/>
        <v>2.3369713478988848E-9</v>
      </c>
      <c r="M218">
        <f t="shared" si="26"/>
        <v>65.621906225917783</v>
      </c>
      <c r="N218">
        <f t="shared" si="25"/>
        <v>103.25658069699817</v>
      </c>
      <c r="O218" s="2">
        <f t="shared" si="23"/>
        <v>3.0919069333763326E-6</v>
      </c>
      <c r="P218" s="2">
        <f t="shared" si="24"/>
        <v>0.11652980428743022</v>
      </c>
    </row>
    <row r="219" spans="1:16" x14ac:dyDescent="0.25">
      <c r="A219" s="1">
        <v>44539.333368055559</v>
      </c>
      <c r="B219">
        <v>154146545.01331329</v>
      </c>
      <c r="C219">
        <v>154160321.27626801</v>
      </c>
      <c r="D219">
        <v>35223.317062661052</v>
      </c>
      <c r="E219">
        <v>462439.63503995538</v>
      </c>
      <c r="F219">
        <v>2.0832079178066932E+19</v>
      </c>
      <c r="G219">
        <v>3157</v>
      </c>
      <c r="H219">
        <v>2.3239215344100108E-4</v>
      </c>
      <c r="I219">
        <v>4303.0712749683116</v>
      </c>
      <c r="J219">
        <v>219</v>
      </c>
      <c r="K219">
        <f t="shared" si="21"/>
        <v>23.23921534410011</v>
      </c>
      <c r="L219">
        <f t="shared" si="22"/>
        <v>2.3239215344100108E-9</v>
      </c>
      <c r="M219">
        <f t="shared" si="26"/>
        <v>65.805895829267655</v>
      </c>
      <c r="N219">
        <f t="shared" si="25"/>
        <v>105.66995118798316</v>
      </c>
      <c r="O219" s="2">
        <f t="shared" si="23"/>
        <v>3.1588731622406389E-6</v>
      </c>
      <c r="P219" s="2">
        <f t="shared" si="24"/>
        <v>0.12183626009499439</v>
      </c>
    </row>
    <row r="220" spans="1:16" x14ac:dyDescent="0.25">
      <c r="A220" s="1">
        <v>44540.33357638889</v>
      </c>
      <c r="B220">
        <v>211367880.09350586</v>
      </c>
      <c r="C220">
        <v>211321836.91472626</v>
      </c>
      <c r="D220">
        <v>50892.719221597537</v>
      </c>
      <c r="E220">
        <v>634103.64028050005</v>
      </c>
      <c r="F220">
        <v>1.9935819662933123E+19</v>
      </c>
      <c r="G220">
        <v>3164</v>
      </c>
      <c r="H220">
        <v>2.3994858263093918E-4</v>
      </c>
      <c r="I220">
        <v>4167.5595206081416</v>
      </c>
      <c r="J220">
        <v>220</v>
      </c>
      <c r="K220">
        <f t="shared" si="21"/>
        <v>23.994858263093917</v>
      </c>
      <c r="L220">
        <f t="shared" si="22"/>
        <v>2.3994858263093916E-9</v>
      </c>
      <c r="M220">
        <f t="shared" si="26"/>
        <v>64.761431711965528</v>
      </c>
      <c r="N220">
        <f t="shared" si="25"/>
        <v>152.67815766479262</v>
      </c>
      <c r="O220" s="2">
        <f t="shared" si="23"/>
        <v>3.2484960642163678E-6</v>
      </c>
      <c r="P220" s="2">
        <f t="shared" si="24"/>
        <v>0.18103065390704798</v>
      </c>
    </row>
    <row r="221" spans="1:16" x14ac:dyDescent="0.25">
      <c r="A221" s="1">
        <v>44541.333715277775</v>
      </c>
      <c r="B221">
        <v>293029163.47857666</v>
      </c>
      <c r="C221">
        <v>292904398.22581482</v>
      </c>
      <c r="D221">
        <v>73186.026431834325</v>
      </c>
      <c r="E221">
        <v>879087.49043573439</v>
      </c>
      <c r="F221">
        <v>1.9154067629109617E+19</v>
      </c>
      <c r="G221">
        <v>3169</v>
      </c>
      <c r="H221">
        <v>2.477259429702613E-4</v>
      </c>
      <c r="I221">
        <v>4036.7189161130646</v>
      </c>
      <c r="J221">
        <v>221</v>
      </c>
      <c r="K221">
        <f t="shared" si="21"/>
        <v>24.772594297026131</v>
      </c>
      <c r="L221">
        <f t="shared" si="22"/>
        <v>2.4772594297026132E-9</v>
      </c>
      <c r="M221">
        <f t="shared" si="26"/>
        <v>63.736731814654917</v>
      </c>
      <c r="N221">
        <f t="shared" si="25"/>
        <v>219.55807929550298</v>
      </c>
      <c r="O221" s="2">
        <f t="shared" si="23"/>
        <v>3.3275820597913248E-6</v>
      </c>
      <c r="P221" s="2">
        <f t="shared" si="24"/>
        <v>0.26666809689727422</v>
      </c>
    </row>
    <row r="222" spans="1:16" x14ac:dyDescent="0.25">
      <c r="A222" s="1">
        <v>44542.333611111113</v>
      </c>
      <c r="B222">
        <v>91414911.69972229</v>
      </c>
      <c r="C222">
        <v>91417070.827041626</v>
      </c>
      <c r="D222">
        <v>22639.347315333784</v>
      </c>
      <c r="E222">
        <v>274244.73509916663</v>
      </c>
      <c r="F222">
        <v>1.9244909109944869E+19</v>
      </c>
      <c r="G222">
        <v>3172</v>
      </c>
      <c r="H222">
        <v>2.4708272422563631E-4</v>
      </c>
      <c r="I222">
        <v>4047.2275151329418</v>
      </c>
      <c r="J222">
        <v>222</v>
      </c>
      <c r="K222">
        <f t="shared" si="21"/>
        <v>24.708272422563631</v>
      </c>
      <c r="L222">
        <f t="shared" si="22"/>
        <v>2.470827242256363E-9</v>
      </c>
      <c r="M222">
        <f t="shared" si="26"/>
        <v>63.819639298898039</v>
      </c>
      <c r="N222">
        <f t="shared" si="25"/>
        <v>67.918041946001352</v>
      </c>
      <c r="O222" s="2">
        <f t="shared" si="23"/>
        <v>3.3161829413846927E-6</v>
      </c>
      <c r="P222" s="2">
        <f t="shared" si="24"/>
        <v>8.2208458021456585E-2</v>
      </c>
    </row>
    <row r="223" spans="1:16" x14ac:dyDescent="0.25">
      <c r="A223" s="1">
        <v>44543.333368055559</v>
      </c>
      <c r="B223">
        <v>121005840.07241821</v>
      </c>
      <c r="C223">
        <v>120984408.63282013</v>
      </c>
      <c r="D223">
        <v>29844.019517950714</v>
      </c>
      <c r="E223">
        <v>363017.52021723986</v>
      </c>
      <c r="F223">
        <v>1.9355365623742022E+19</v>
      </c>
      <c r="G223">
        <v>3178</v>
      </c>
      <c r="H223">
        <v>2.4996542704726083E-4</v>
      </c>
      <c r="I223">
        <v>4000.5532437529073</v>
      </c>
      <c r="J223">
        <v>223</v>
      </c>
      <c r="K223">
        <f t="shared" si="21"/>
        <v>24.996542704726082</v>
      </c>
      <c r="L223">
        <f t="shared" si="22"/>
        <v>2.4996542704726083E-9</v>
      </c>
      <c r="M223">
        <f t="shared" si="26"/>
        <v>63.450575164411141</v>
      </c>
      <c r="N223">
        <f t="shared" si="25"/>
        <v>89.532058553852139</v>
      </c>
      <c r="O223" s="2">
        <f t="shared" si="23"/>
        <v>3.2781904717201661E-6</v>
      </c>
      <c r="P223" s="2">
        <f t="shared" si="24"/>
        <v>0.10712864656162648</v>
      </c>
    </row>
    <row r="224" spans="1:16" x14ac:dyDescent="0.25">
      <c r="A224" s="1">
        <v>44544.333622685182</v>
      </c>
      <c r="B224">
        <v>195653628.34050751</v>
      </c>
      <c r="C224">
        <v>195607084.46710205</v>
      </c>
      <c r="D224">
        <v>51492.967041781172</v>
      </c>
      <c r="E224">
        <v>586960.88502153754</v>
      </c>
      <c r="F224">
        <v>1.8397349959291152E+19</v>
      </c>
      <c r="G224">
        <v>3175</v>
      </c>
      <c r="H224">
        <v>2.6053065885922285E-4</v>
      </c>
      <c r="I224">
        <v>3838.319852176583</v>
      </c>
      <c r="J224">
        <v>224</v>
      </c>
      <c r="K224">
        <f t="shared" si="21"/>
        <v>26.053065885922283</v>
      </c>
      <c r="L224">
        <f t="shared" si="22"/>
        <v>2.6053065885922286E-9</v>
      </c>
      <c r="M224">
        <f t="shared" si="26"/>
        <v>62.150713233672398</v>
      </c>
      <c r="N224">
        <f t="shared" si="25"/>
        <v>154.47890112534353</v>
      </c>
      <c r="O224" s="2">
        <f t="shared" si="23"/>
        <v>3.3782427018672126E-6</v>
      </c>
      <c r="P224" s="2">
        <f t="shared" si="24"/>
        <v>0.19048153541649285</v>
      </c>
    </row>
    <row r="225" spans="1:16" x14ac:dyDescent="0.25">
      <c r="A225" s="1">
        <v>44545.333599537036</v>
      </c>
      <c r="B225">
        <v>105413343.97193909</v>
      </c>
      <c r="C225">
        <v>105409038.32640076</v>
      </c>
      <c r="D225">
        <v>27527.663100248203</v>
      </c>
      <c r="E225">
        <v>316240.03191581368</v>
      </c>
      <c r="F225">
        <v>1.90790338823144E+19</v>
      </c>
      <c r="G225">
        <v>3178</v>
      </c>
      <c r="H225">
        <v>2.6157481621022434E-4</v>
      </c>
      <c r="I225">
        <v>3822.9980029740814</v>
      </c>
      <c r="J225">
        <v>225</v>
      </c>
      <c r="K225">
        <f t="shared" si="21"/>
        <v>26.157481621022434</v>
      </c>
      <c r="L225">
        <f t="shared" si="22"/>
        <v>2.6157481621022434E-9</v>
      </c>
      <c r="M225">
        <f t="shared" si="26"/>
        <v>62.026542228045763</v>
      </c>
      <c r="N225">
        <f t="shared" si="25"/>
        <v>82.582989300744615</v>
      </c>
      <c r="O225" s="2">
        <f t="shared" si="23"/>
        <v>3.2510316093909875E-6</v>
      </c>
      <c r="P225" s="2">
        <f t="shared" si="24"/>
        <v>9.7995166644372245E-2</v>
      </c>
    </row>
    <row r="226" spans="1:16" x14ac:dyDescent="0.25">
      <c r="A226" s="1">
        <v>44546.333587962959</v>
      </c>
      <c r="B226">
        <v>207106423.28614807</v>
      </c>
      <c r="C226">
        <v>207207290.92693329</v>
      </c>
      <c r="D226">
        <v>52543.118908751756</v>
      </c>
      <c r="E226">
        <v>621319.2698584348</v>
      </c>
      <c r="F226">
        <v>2.1443272823879594E+19</v>
      </c>
      <c r="G226">
        <v>3192</v>
      </c>
      <c r="H226">
        <v>2.4735465115855961E-4</v>
      </c>
      <c r="I226">
        <v>4042.7782348793539</v>
      </c>
      <c r="J226">
        <v>226</v>
      </c>
      <c r="K226">
        <f t="shared" si="21"/>
        <v>24.735465115855963</v>
      </c>
      <c r="L226">
        <f t="shared" si="22"/>
        <v>2.473546511585596E-9</v>
      </c>
      <c r="M226">
        <f t="shared" si="26"/>
        <v>63.784549902192829</v>
      </c>
      <c r="N226">
        <f t="shared" si="25"/>
        <v>157.62935672625528</v>
      </c>
      <c r="O226" s="2">
        <f t="shared" si="23"/>
        <v>2.9745715789784318E-6</v>
      </c>
      <c r="P226" s="2">
        <f t="shared" si="24"/>
        <v>0.17114112865365866</v>
      </c>
    </row>
    <row r="227" spans="1:16" x14ac:dyDescent="0.25">
      <c r="A227" s="1">
        <v>44547.333495370367</v>
      </c>
      <c r="B227">
        <v>144118967.45433044</v>
      </c>
      <c r="C227">
        <v>144055887.21269226</v>
      </c>
      <c r="D227">
        <v>36211.137307563797</v>
      </c>
      <c r="E227">
        <v>432356.9023630023</v>
      </c>
      <c r="F227">
        <v>2.1184629930716545E+19</v>
      </c>
      <c r="G227">
        <v>3201</v>
      </c>
      <c r="H227">
        <v>2.6089563895938456E-4</v>
      </c>
      <c r="I227">
        <v>3832.9502324708346</v>
      </c>
      <c r="J227">
        <v>227</v>
      </c>
      <c r="K227">
        <f t="shared" si="21"/>
        <v>26.089563895938458</v>
      </c>
      <c r="L227">
        <f t="shared" si="22"/>
        <v>2.6089563895938455E-9</v>
      </c>
      <c r="M227">
        <f t="shared" si="26"/>
        <v>62.107225131389164</v>
      </c>
      <c r="N227">
        <f t="shared" si="25"/>
        <v>108.63341192269139</v>
      </c>
      <c r="O227" s="2">
        <f t="shared" si="23"/>
        <v>2.9317115915882538E-6</v>
      </c>
      <c r="P227" s="2">
        <f t="shared" si="24"/>
        <v>0.11624586903315064</v>
      </c>
    </row>
    <row r="228" spans="1:16" x14ac:dyDescent="0.25">
      <c r="A228" s="1">
        <v>44548.333645833336</v>
      </c>
      <c r="B228">
        <v>247001388.49190521</v>
      </c>
      <c r="C228">
        <v>247027646.91575623</v>
      </c>
      <c r="D228">
        <v>64188.662579890341</v>
      </c>
      <c r="E228">
        <v>741004.16547571123</v>
      </c>
      <c r="F228">
        <v>2.2925073211716104E+19</v>
      </c>
      <c r="G228">
        <v>3208</v>
      </c>
      <c r="H228">
        <v>2.5217471897041719E-4</v>
      </c>
      <c r="I228">
        <v>3965.5045679551677</v>
      </c>
      <c r="J228">
        <v>228</v>
      </c>
      <c r="K228">
        <f t="shared" si="21"/>
        <v>25.217471897041719</v>
      </c>
      <c r="L228">
        <f t="shared" si="22"/>
        <v>2.5217471897041721E-9</v>
      </c>
      <c r="M228">
        <f t="shared" si="26"/>
        <v>63.172019832332815</v>
      </c>
      <c r="N228">
        <f t="shared" si="25"/>
        <v>192.56598773967102</v>
      </c>
      <c r="O228" s="2">
        <f t="shared" si="23"/>
        <v>2.7555863943783644E-6</v>
      </c>
      <c r="P228" s="2">
        <f t="shared" si="24"/>
        <v>0.19368075877994595</v>
      </c>
    </row>
    <row r="229" spans="1:16" x14ac:dyDescent="0.25">
      <c r="A229" s="1">
        <v>44549.333356481482</v>
      </c>
      <c r="B229">
        <v>91024254.939331055</v>
      </c>
      <c r="C229">
        <v>91012207.201766968</v>
      </c>
      <c r="D229">
        <v>23027.605417922139</v>
      </c>
      <c r="E229">
        <v>273072.76481798291</v>
      </c>
      <c r="F229">
        <v>2.3331791518772457E+19</v>
      </c>
      <c r="G229">
        <v>3214</v>
      </c>
      <c r="H229">
        <v>2.5420010620191884E-4</v>
      </c>
      <c r="I229">
        <v>3933.9086633019333</v>
      </c>
      <c r="J229">
        <v>229</v>
      </c>
      <c r="K229">
        <f t="shared" si="21"/>
        <v>25.420010620191885</v>
      </c>
      <c r="L229">
        <f t="shared" si="22"/>
        <v>2.5420010620191883E-9</v>
      </c>
      <c r="M229">
        <f t="shared" si="26"/>
        <v>62.919849039130277</v>
      </c>
      <c r="N229">
        <f t="shared" si="25"/>
        <v>69.082816253766424</v>
      </c>
      <c r="O229" s="2">
        <f t="shared" si="23"/>
        <v>2.6967431535853465E-6</v>
      </c>
      <c r="P229" s="2">
        <f t="shared" si="24"/>
        <v>6.799899329339977E-2</v>
      </c>
    </row>
    <row r="230" spans="1:16" x14ac:dyDescent="0.25">
      <c r="A230" s="1">
        <v>44550.333541666667</v>
      </c>
      <c r="B230">
        <v>135280660.23681641</v>
      </c>
      <c r="C230">
        <v>135231882.01810455</v>
      </c>
      <c r="D230">
        <v>34605.644986055791</v>
      </c>
      <c r="E230">
        <v>405841.98071047664</v>
      </c>
      <c r="F230">
        <v>8.6561672736741417E+18</v>
      </c>
      <c r="G230">
        <v>3223</v>
      </c>
      <c r="H230">
        <v>2.6446787720317783E-4</v>
      </c>
      <c r="I230">
        <v>3781.1775500876752</v>
      </c>
      <c r="J230">
        <v>230</v>
      </c>
      <c r="K230">
        <f t="shared" si="21"/>
        <v>26.446787720317783</v>
      </c>
      <c r="L230">
        <f t="shared" si="22"/>
        <v>2.6446787720317782E-9</v>
      </c>
      <c r="M230">
        <f t="shared" si="26"/>
        <v>61.686349642273726</v>
      </c>
      <c r="N230">
        <f t="shared" si="25"/>
        <v>103.81693495816738</v>
      </c>
      <c r="O230" s="2">
        <f t="shared" si="23"/>
        <v>7.1262890020482161E-6</v>
      </c>
      <c r="P230" s="2">
        <f t="shared" si="24"/>
        <v>0.27003776086384129</v>
      </c>
    </row>
    <row r="231" spans="1:16" x14ac:dyDescent="0.25">
      <c r="A231" s="1">
        <v>44551.333495370367</v>
      </c>
      <c r="B231">
        <v>151066507.42961884</v>
      </c>
      <c r="C231">
        <v>151166273.0634079</v>
      </c>
      <c r="D231">
        <v>38576.37795176357</v>
      </c>
      <c r="E231">
        <v>453199.52228884399</v>
      </c>
      <c r="F231">
        <v>2.4404915757682917E+19</v>
      </c>
      <c r="G231">
        <v>3234</v>
      </c>
      <c r="H231">
        <v>2.4839567325937408E-4</v>
      </c>
      <c r="I231">
        <v>4025.8350190979481</v>
      </c>
      <c r="J231">
        <v>231</v>
      </c>
      <c r="K231">
        <f t="shared" si="21"/>
        <v>24.839567325937409</v>
      </c>
      <c r="L231">
        <f t="shared" si="22"/>
        <v>2.4839567325937409E-9</v>
      </c>
      <c r="M231">
        <f t="shared" si="26"/>
        <v>63.650749576813823</v>
      </c>
      <c r="N231">
        <f t="shared" si="25"/>
        <v>115.72913385529071</v>
      </c>
      <c r="O231" s="2">
        <f t="shared" si="23"/>
        <v>2.6081118332390032E-6</v>
      </c>
      <c r="P231" s="2">
        <f t="shared" si="24"/>
        <v>0.11016960106234676</v>
      </c>
    </row>
    <row r="232" spans="1:16" x14ac:dyDescent="0.25">
      <c r="A232" s="1">
        <v>44552.333356481482</v>
      </c>
      <c r="B232">
        <v>62867859.745361328</v>
      </c>
      <c r="C232">
        <v>62837008.50377655</v>
      </c>
      <c r="D232">
        <v>15668.834834972396</v>
      </c>
      <c r="E232">
        <v>188603.57923607528</v>
      </c>
      <c r="F232">
        <v>2.3719037005652902E+19</v>
      </c>
      <c r="G232">
        <v>3238</v>
      </c>
      <c r="H232">
        <v>2.5257850127169635E-4</v>
      </c>
      <c r="I232">
        <v>3959.165150498337</v>
      </c>
      <c r="J232">
        <v>232</v>
      </c>
      <c r="K232">
        <f t="shared" si="21"/>
        <v>25.257850127169636</v>
      </c>
      <c r="L232">
        <f t="shared" si="22"/>
        <v>2.5257850127169634E-9</v>
      </c>
      <c r="M232">
        <f t="shared" si="26"/>
        <v>63.121504950815542</v>
      </c>
      <c r="N232">
        <f t="shared" si="25"/>
        <v>47.006504504917189</v>
      </c>
      <c r="O232" s="2">
        <f t="shared" si="23"/>
        <v>2.6612170188769444E-6</v>
      </c>
      <c r="P232" s="2">
        <f t="shared" si="24"/>
        <v>4.5659496072036503E-2</v>
      </c>
    </row>
    <row r="233" spans="1:16" x14ac:dyDescent="0.25">
      <c r="A233" s="1">
        <v>44553.333379629628</v>
      </c>
      <c r="B233">
        <v>82998581.72984314</v>
      </c>
      <c r="C233">
        <v>82996867.194389343</v>
      </c>
      <c r="D233">
        <v>20923.426822913811</v>
      </c>
      <c r="E233">
        <v>248995.74518953264</v>
      </c>
      <c r="F233">
        <v>2.2022734194271592E+19</v>
      </c>
      <c r="G233">
        <v>3242</v>
      </c>
      <c r="H233">
        <v>2.5348937692573165E-4</v>
      </c>
      <c r="I233">
        <v>3944.9384906294677</v>
      </c>
      <c r="J233">
        <v>233</v>
      </c>
      <c r="K233">
        <f t="shared" si="21"/>
        <v>25.348937692573166</v>
      </c>
      <c r="L233">
        <f t="shared" si="22"/>
        <v>2.5348937692573165E-9</v>
      </c>
      <c r="M233">
        <f t="shared" si="26"/>
        <v>63.007994107756794</v>
      </c>
      <c r="N233">
        <f t="shared" si="25"/>
        <v>62.770280468741433</v>
      </c>
      <c r="O233" s="2">
        <f t="shared" si="23"/>
        <v>2.8610432088921098E-6</v>
      </c>
      <c r="P233" s="2">
        <f t="shared" si="24"/>
        <v>6.5549796899201193E-2</v>
      </c>
    </row>
    <row r="234" spans="1:16" x14ac:dyDescent="0.25">
      <c r="A234" s="1">
        <v>44554.33353009259</v>
      </c>
      <c r="B234">
        <v>74495052.916633606</v>
      </c>
      <c r="C234">
        <v>74544382.594772339</v>
      </c>
      <c r="D234">
        <v>18344.370114546269</v>
      </c>
      <c r="E234">
        <v>223485.15874990821</v>
      </c>
      <c r="F234">
        <v>2.2984232457628606E+19</v>
      </c>
      <c r="G234">
        <v>3247</v>
      </c>
      <c r="H234">
        <v>2.4496702910835951E-4</v>
      </c>
      <c r="I234">
        <v>4082.1820129828848</v>
      </c>
      <c r="J234">
        <v>234</v>
      </c>
      <c r="K234">
        <f t="shared" si="21"/>
        <v>24.49670291083595</v>
      </c>
      <c r="L234">
        <f t="shared" si="22"/>
        <v>2.4496702910835952E-9</v>
      </c>
      <c r="M234">
        <f t="shared" si="26"/>
        <v>64.094640827612523</v>
      </c>
      <c r="N234">
        <f t="shared" si="25"/>
        <v>55.03311034363881</v>
      </c>
      <c r="O234" s="2">
        <f t="shared" si="23"/>
        <v>2.7886352500902904E-6</v>
      </c>
      <c r="P234" s="2">
        <f t="shared" si="24"/>
        <v>5.6015554070628609E-2</v>
      </c>
    </row>
    <row r="235" spans="1:16" x14ac:dyDescent="0.25">
      <c r="A235" s="1">
        <v>44555.333553240744</v>
      </c>
      <c r="B235">
        <v>75045824.654273987</v>
      </c>
      <c r="C235">
        <v>75045273.825767517</v>
      </c>
      <c r="D235">
        <v>18434.148758649826</v>
      </c>
      <c r="E235">
        <v>225137.47396281362</v>
      </c>
      <c r="F235">
        <v>2.2790110359845962E+19</v>
      </c>
      <c r="G235">
        <v>3247</v>
      </c>
      <c r="H235">
        <v>2.4437984250310219E-4</v>
      </c>
      <c r="I235">
        <v>4091.9905249030753</v>
      </c>
      <c r="J235">
        <v>235</v>
      </c>
      <c r="K235">
        <f t="shared" si="21"/>
        <v>24.437984250310219</v>
      </c>
      <c r="L235">
        <f t="shared" si="22"/>
        <v>2.4437984250310219E-9</v>
      </c>
      <c r="M235">
        <f t="shared" si="26"/>
        <v>64.171596713172576</v>
      </c>
      <c r="N235">
        <f t="shared" si="25"/>
        <v>55.302446275949478</v>
      </c>
      <c r="O235" s="2">
        <f t="shared" si="23"/>
        <v>2.8157650708983364E-6</v>
      </c>
      <c r="P235" s="2">
        <f t="shared" si="24"/>
        <v>5.6837324244053369E-2</v>
      </c>
    </row>
    <row r="236" spans="1:16" x14ac:dyDescent="0.25">
      <c r="A236" s="1">
        <v>44556.333414351851</v>
      </c>
      <c r="B236">
        <v>57904518.525001526</v>
      </c>
      <c r="C236">
        <v>57881296.984390259</v>
      </c>
      <c r="D236">
        <v>14223.619975784793</v>
      </c>
      <c r="E236">
        <v>173713.55557501316</v>
      </c>
      <c r="F236">
        <v>2.277252892796559E+19</v>
      </c>
      <c r="G236">
        <v>3246</v>
      </c>
      <c r="H236">
        <v>2.4770117285297598E-4</v>
      </c>
      <c r="I236">
        <v>4037.1225880046759</v>
      </c>
      <c r="J236">
        <v>236</v>
      </c>
      <c r="K236">
        <f t="shared" si="21"/>
        <v>24.770117285297598</v>
      </c>
      <c r="L236">
        <f t="shared" si="22"/>
        <v>2.47701172852976E-9</v>
      </c>
      <c r="M236">
        <f t="shared" si="26"/>
        <v>63.739918571578713</v>
      </c>
      <c r="N236">
        <f t="shared" si="25"/>
        <v>42.670859927354378</v>
      </c>
      <c r="O236" s="2">
        <f t="shared" si="23"/>
        <v>2.7989828785903313E-6</v>
      </c>
      <c r="P236" s="2">
        <f t="shared" si="24"/>
        <v>4.3593777318257775E-2</v>
      </c>
    </row>
    <row r="237" spans="1:16" x14ac:dyDescent="0.25">
      <c r="A237" s="1">
        <v>44557.333460648151</v>
      </c>
      <c r="B237">
        <v>33573768.25415802</v>
      </c>
      <c r="C237">
        <v>33587511.774299622</v>
      </c>
      <c r="D237">
        <v>8254.0546964034438</v>
      </c>
      <c r="E237">
        <v>100721.30476248264</v>
      </c>
      <c r="F237">
        <v>2.2897555177474822E+19</v>
      </c>
      <c r="G237">
        <v>3255</v>
      </c>
      <c r="H237">
        <v>2.4506503061900444E-4</v>
      </c>
      <c r="I237">
        <v>4080.5495483142645</v>
      </c>
      <c r="J237">
        <v>237</v>
      </c>
      <c r="K237">
        <f t="shared" si="21"/>
        <v>24.506503061900442</v>
      </c>
      <c r="L237">
        <f t="shared" si="22"/>
        <v>2.4506503061900445E-9</v>
      </c>
      <c r="M237">
        <f t="shared" si="26"/>
        <v>64.081823822029875</v>
      </c>
      <c r="N237">
        <f t="shared" si="25"/>
        <v>24.762164089210334</v>
      </c>
      <c r="O237" s="2">
        <f t="shared" si="23"/>
        <v>2.7986317021770758E-6</v>
      </c>
      <c r="P237" s="2">
        <f t="shared" si="24"/>
        <v>2.5294564763619794E-2</v>
      </c>
    </row>
    <row r="238" spans="1:16" x14ac:dyDescent="0.25">
      <c r="A238" s="1">
        <v>44558.333402777775</v>
      </c>
      <c r="B238">
        <v>65118812.110900879</v>
      </c>
      <c r="C238">
        <v>65064483.869926453</v>
      </c>
      <c r="D238">
        <v>16304.817751679569</v>
      </c>
      <c r="E238">
        <v>195356.43633267283</v>
      </c>
      <c r="F238">
        <v>2.19625050119018E+19</v>
      </c>
      <c r="G238">
        <v>3253</v>
      </c>
      <c r="H238">
        <v>2.5516785577854242E-4</v>
      </c>
      <c r="I238">
        <v>3918.9889218173694</v>
      </c>
      <c r="J238">
        <v>238</v>
      </c>
      <c r="K238">
        <f t="shared" si="21"/>
        <v>25.516785577854243</v>
      </c>
      <c r="L238">
        <f t="shared" si="22"/>
        <v>2.5516785577854243E-9</v>
      </c>
      <c r="M238">
        <f t="shared" si="26"/>
        <v>62.800420790031701</v>
      </c>
      <c r="N238">
        <f t="shared" si="25"/>
        <v>48.914453255038708</v>
      </c>
      <c r="O238" s="2">
        <f t="shared" si="23"/>
        <v>2.859437971943512E-6</v>
      </c>
      <c r="P238" s="2">
        <f t="shared" si="24"/>
        <v>5.1051763430224467E-2</v>
      </c>
    </row>
    <row r="239" spans="1:16" x14ac:dyDescent="0.25">
      <c r="A239" s="1">
        <v>44559.333379629628</v>
      </c>
      <c r="B239">
        <v>76421014.772361755</v>
      </c>
      <c r="C239">
        <v>76365949.428009033</v>
      </c>
      <c r="D239">
        <v>19946.087719289586</v>
      </c>
      <c r="E239">
        <v>229263.04431711137</v>
      </c>
      <c r="F239">
        <v>8.2077521468671846E+18</v>
      </c>
      <c r="G239">
        <v>3254</v>
      </c>
      <c r="H239">
        <v>2.6766044922696056E-4</v>
      </c>
      <c r="I239">
        <v>3736.0768200461994</v>
      </c>
      <c r="J239">
        <v>239</v>
      </c>
      <c r="K239">
        <f t="shared" si="21"/>
        <v>26.766044922696057</v>
      </c>
      <c r="L239">
        <f t="shared" si="22"/>
        <v>2.6766044922696057E-9</v>
      </c>
      <c r="M239">
        <f t="shared" si="26"/>
        <v>61.31735807531058</v>
      </c>
      <c r="N239">
        <f t="shared" si="25"/>
        <v>59.838263157868759</v>
      </c>
      <c r="O239" s="2">
        <f t="shared" si="23"/>
        <v>7.4706639501431327E-6</v>
      </c>
      <c r="P239" s="2">
        <f t="shared" si="24"/>
        <v>0.16316651772562385</v>
      </c>
    </row>
    <row r="240" spans="1:16" x14ac:dyDescent="0.25">
      <c r="A240" s="1">
        <v>44560.333472222221</v>
      </c>
      <c r="B240">
        <v>78164718.677124023</v>
      </c>
      <c r="C240">
        <v>78155981.297180176</v>
      </c>
      <c r="D240">
        <v>21206.99967328459</v>
      </c>
      <c r="E240">
        <v>234494.15603135526</v>
      </c>
      <c r="F240">
        <v>8.5665348508209439E+18</v>
      </c>
      <c r="G240">
        <v>3242</v>
      </c>
      <c r="H240">
        <v>2.674999091511331E-4</v>
      </c>
      <c r="I240">
        <v>3738.3190266244774</v>
      </c>
      <c r="J240">
        <v>240</v>
      </c>
      <c r="K240">
        <f t="shared" si="21"/>
        <v>26.749990915113312</v>
      </c>
      <c r="L240">
        <f t="shared" si="22"/>
        <v>2.6749990915113312E-9</v>
      </c>
      <c r="M240">
        <f t="shared" si="26"/>
        <v>61.335755122315213</v>
      </c>
      <c r="N240">
        <f t="shared" si="25"/>
        <v>63.62099901985377</v>
      </c>
      <c r="O240" s="2">
        <f t="shared" si="23"/>
        <v>7.1599259432695026E-6</v>
      </c>
      <c r="P240" s="2">
        <f t="shared" si="24"/>
        <v>0.16626539911792573</v>
      </c>
    </row>
    <row r="241" spans="1:16" x14ac:dyDescent="0.25">
      <c r="A241" s="1">
        <v>44561.333483796298</v>
      </c>
      <c r="B241">
        <v>82849511.941604614</v>
      </c>
      <c r="C241">
        <v>82892873.990478516</v>
      </c>
      <c r="D241">
        <v>22170.413012539968</v>
      </c>
      <c r="E241">
        <v>248548.5358248204</v>
      </c>
      <c r="F241">
        <v>9.5064546320188518E+18</v>
      </c>
      <c r="G241">
        <v>3237</v>
      </c>
      <c r="H241">
        <v>2.6409789971832543E-4</v>
      </c>
      <c r="I241">
        <v>3786.4746409060945</v>
      </c>
      <c r="J241">
        <v>241</v>
      </c>
      <c r="K241">
        <f t="shared" si="21"/>
        <v>26.409789971832542</v>
      </c>
      <c r="L241">
        <f t="shared" si="22"/>
        <v>2.6409789971832542E-9</v>
      </c>
      <c r="M241">
        <f t="shared" si="26"/>
        <v>61.729543043315971</v>
      </c>
      <c r="N241">
        <f t="shared" si="25"/>
        <v>66.511239037619902</v>
      </c>
      <c r="O241" s="2">
        <f t="shared" si="23"/>
        <v>6.4934347696147051E-6</v>
      </c>
      <c r="P241" s="2">
        <f t="shared" si="24"/>
        <v>0.15763853313001813</v>
      </c>
    </row>
    <row r="242" spans="1:16" x14ac:dyDescent="0.25">
      <c r="A242" s="1">
        <v>44562.333356481482</v>
      </c>
      <c r="B242">
        <v>66548638.770423889</v>
      </c>
      <c r="C242">
        <v>66539774.924034119</v>
      </c>
      <c r="D242">
        <v>17977.857149543241</v>
      </c>
      <c r="E242">
        <v>199645.91631127894</v>
      </c>
      <c r="F242">
        <v>9.7661619831022019E+18</v>
      </c>
      <c r="G242">
        <v>3246</v>
      </c>
      <c r="H242">
        <v>2.6972928604638891E-4</v>
      </c>
      <c r="I242">
        <v>3707.4209280634686</v>
      </c>
      <c r="J242">
        <v>242</v>
      </c>
      <c r="K242">
        <f t="shared" si="21"/>
        <v>26.972928604638891</v>
      </c>
      <c r="L242">
        <f t="shared" si="22"/>
        <v>2.6972928604638889E-9</v>
      </c>
      <c r="M242">
        <f t="shared" si="26"/>
        <v>61.081751859808087</v>
      </c>
      <c r="N242">
        <f t="shared" si="25"/>
        <v>53.933571448629721</v>
      </c>
      <c r="O242" s="2">
        <f t="shared" si="23"/>
        <v>6.2544274778049077E-6</v>
      </c>
      <c r="P242" s="2">
        <f t="shared" si="24"/>
        <v>0.12312311810422934</v>
      </c>
    </row>
    <row r="243" spans="1:16" x14ac:dyDescent="0.25">
      <c r="A243" s="1">
        <v>44563.333969907406</v>
      </c>
      <c r="B243">
        <v>26534847.515762329</v>
      </c>
      <c r="C243">
        <v>26542850.267181396</v>
      </c>
      <c r="D243">
        <v>7099.3467913921922</v>
      </c>
      <c r="E243">
        <v>79604.542547285557</v>
      </c>
      <c r="F243">
        <v>9.7644938022199132E+18</v>
      </c>
      <c r="G243">
        <v>3241</v>
      </c>
      <c r="H243">
        <v>2.6699216721799408E-4</v>
      </c>
      <c r="I243">
        <v>3745.4282289244793</v>
      </c>
      <c r="J243">
        <v>243</v>
      </c>
      <c r="K243">
        <f t="shared" si="21"/>
        <v>26.699216721799409</v>
      </c>
      <c r="L243">
        <f t="shared" si="22"/>
        <v>2.669921672179941E-9</v>
      </c>
      <c r="M243">
        <f t="shared" si="26"/>
        <v>61.39404886018464</v>
      </c>
      <c r="N243">
        <f t="shared" si="25"/>
        <v>21.298040374176576</v>
      </c>
      <c r="O243" s="2">
        <f t="shared" si="23"/>
        <v>6.2874789112188274E-6</v>
      </c>
      <c r="P243" s="2">
        <f t="shared" si="24"/>
        <v>4.8877507591566657E-2</v>
      </c>
    </row>
    <row r="244" spans="1:16" x14ac:dyDescent="0.25">
      <c r="A244" s="1">
        <v>44564.33353009259</v>
      </c>
      <c r="B244">
        <v>34415579.725761414</v>
      </c>
      <c r="C244">
        <v>34439496.151329041</v>
      </c>
      <c r="D244">
        <v>9039.2648406196386</v>
      </c>
      <c r="E244">
        <v>103246.73917728662</v>
      </c>
      <c r="F244">
        <v>2.0763198450144772E+19</v>
      </c>
      <c r="G244">
        <v>3254</v>
      </c>
      <c r="H244">
        <v>2.6110442853594291E-4</v>
      </c>
      <c r="I244">
        <v>3829.8852516871148</v>
      </c>
      <c r="J244">
        <v>244</v>
      </c>
      <c r="K244">
        <f t="shared" si="21"/>
        <v>26.110442853594289</v>
      </c>
      <c r="L244">
        <f t="shared" si="22"/>
        <v>2.6110442853594291E-9</v>
      </c>
      <c r="M244">
        <f t="shared" si="26"/>
        <v>62.082388450817213</v>
      </c>
      <c r="N244">
        <f t="shared" si="25"/>
        <v>27.117794521858915</v>
      </c>
      <c r="O244" s="2">
        <f t="shared" si="23"/>
        <v>2.9900204729962665E-6</v>
      </c>
      <c r="P244" s="2">
        <f t="shared" si="24"/>
        <v>2.9595207693045418E-2</v>
      </c>
    </row>
    <row r="245" spans="1:16" x14ac:dyDescent="0.25">
      <c r="A245" s="1">
        <v>44565.333483796298</v>
      </c>
      <c r="B245">
        <v>49495698.295593262</v>
      </c>
      <c r="C245">
        <v>49491116.399581909</v>
      </c>
      <c r="D245">
        <v>13141.160970350727</v>
      </c>
      <c r="E245">
        <v>148487.09488677979</v>
      </c>
      <c r="F245">
        <v>2.1071998507161264E+19</v>
      </c>
      <c r="G245">
        <v>3259</v>
      </c>
      <c r="H245">
        <v>2.6141792623656478E-4</v>
      </c>
      <c r="I245">
        <v>3825.2923753020309</v>
      </c>
      <c r="J245">
        <v>245</v>
      </c>
      <c r="K245">
        <f t="shared" si="21"/>
        <v>26.141792623656478</v>
      </c>
      <c r="L245">
        <f t="shared" si="22"/>
        <v>2.6141792623656478E-9</v>
      </c>
      <c r="M245">
        <f t="shared" si="26"/>
        <v>62.045152051572451</v>
      </c>
      <c r="N245">
        <f t="shared" si="25"/>
        <v>39.423482911052183</v>
      </c>
      <c r="O245" s="2">
        <f t="shared" si="23"/>
        <v>2.9444360500731132E-6</v>
      </c>
      <c r="P245" s="2">
        <f t="shared" si="24"/>
        <v>4.2369172370501328E-2</v>
      </c>
    </row>
    <row r="246" spans="1:16" x14ac:dyDescent="0.25">
      <c r="A246" s="1">
        <v>44566.333425925928</v>
      </c>
      <c r="B246">
        <v>55043806.35912323</v>
      </c>
      <c r="C246">
        <v>55036672.539329529</v>
      </c>
      <c r="D246">
        <v>14394.604660518467</v>
      </c>
      <c r="E246">
        <v>165131.41907736659</v>
      </c>
      <c r="F246">
        <v>1.0364822115606446E+19</v>
      </c>
      <c r="G246">
        <v>3263</v>
      </c>
      <c r="H246">
        <v>2.6462659760497105E-4</v>
      </c>
      <c r="I246">
        <v>3778.9096373932098</v>
      </c>
      <c r="J246">
        <v>246</v>
      </c>
      <c r="K246">
        <f t="shared" si="21"/>
        <v>26.462659760497104</v>
      </c>
      <c r="L246">
        <f t="shared" si="22"/>
        <v>2.6462659760497106E-9</v>
      </c>
      <c r="M246">
        <f t="shared" si="26"/>
        <v>61.667847437945262</v>
      </c>
      <c r="N246">
        <f t="shared" si="25"/>
        <v>43.183813981555403</v>
      </c>
      <c r="O246" s="2">
        <f t="shared" si="23"/>
        <v>5.9497255958779257E-6</v>
      </c>
      <c r="P246" s="2">
        <f t="shared" si="24"/>
        <v>9.3780122831397292E-2</v>
      </c>
    </row>
    <row r="247" spans="1:16" x14ac:dyDescent="0.25">
      <c r="A247" s="1">
        <v>44567.333587962959</v>
      </c>
      <c r="B247">
        <v>332189651.382164</v>
      </c>
      <c r="C247">
        <v>331960427.27216339</v>
      </c>
      <c r="D247">
        <v>94915.956705639139</v>
      </c>
      <c r="E247">
        <v>996568.9541464895</v>
      </c>
      <c r="F247">
        <v>6.9584040755139123E+18</v>
      </c>
      <c r="G247">
        <v>3255</v>
      </c>
      <c r="H247">
        <v>2.9758916580447926E-4</v>
      </c>
      <c r="I247">
        <v>3360.3373876084443</v>
      </c>
      <c r="J247">
        <v>247</v>
      </c>
      <c r="K247">
        <f t="shared" si="21"/>
        <v>29.758916580447927</v>
      </c>
      <c r="L247">
        <f t="shared" si="22"/>
        <v>2.9758916580447925E-9</v>
      </c>
      <c r="M247">
        <f t="shared" si="26"/>
        <v>58.152310909991876</v>
      </c>
      <c r="N247">
        <f t="shared" si="25"/>
        <v>284.7478701169174</v>
      </c>
      <c r="O247" s="2">
        <f t="shared" si="23"/>
        <v>8.3571333712316847E-6</v>
      </c>
      <c r="P247" s="2">
        <f t="shared" si="24"/>
        <v>0.86858171362555103</v>
      </c>
    </row>
    <row r="248" spans="1:16" x14ac:dyDescent="0.25">
      <c r="A248" s="1">
        <v>44568.333414351851</v>
      </c>
      <c r="B248">
        <v>196589047.30438232</v>
      </c>
      <c r="C248">
        <v>196536550.39847565</v>
      </c>
      <c r="D248">
        <v>60319.516479345039</v>
      </c>
      <c r="E248">
        <v>589767.14191314578</v>
      </c>
      <c r="F248">
        <v>5.7686941017671598E+18</v>
      </c>
      <c r="G248">
        <v>3249</v>
      </c>
      <c r="H248">
        <v>3.0815785015265654E-4</v>
      </c>
      <c r="I248">
        <v>3245.0901364499259</v>
      </c>
      <c r="J248">
        <v>248</v>
      </c>
      <c r="K248">
        <f t="shared" si="21"/>
        <v>30.815785015265654</v>
      </c>
      <c r="L248">
        <f t="shared" si="22"/>
        <v>3.0815785015265655E-9</v>
      </c>
      <c r="M248">
        <f t="shared" si="26"/>
        <v>57.146405428034079</v>
      </c>
      <c r="N248">
        <f t="shared" si="25"/>
        <v>180.95854943803511</v>
      </c>
      <c r="O248" s="2">
        <f t="shared" si="23"/>
        <v>9.9062984481233041E-6</v>
      </c>
      <c r="P248" s="2">
        <f t="shared" si="24"/>
        <v>0.6543097300775178</v>
      </c>
    </row>
    <row r="249" spans="1:16" x14ac:dyDescent="0.25">
      <c r="A249" s="1">
        <v>44569.333344907405</v>
      </c>
      <c r="B249">
        <v>93629567.425491333</v>
      </c>
      <c r="C249">
        <v>93633757.703491211</v>
      </c>
      <c r="D249">
        <v>29427.393645362929</v>
      </c>
      <c r="E249">
        <v>280888.70227646828</v>
      </c>
      <c r="F249">
        <v>7.4045671029088696E+18</v>
      </c>
      <c r="G249">
        <v>3250</v>
      </c>
      <c r="H249">
        <v>3.1222107082302892E-4</v>
      </c>
      <c r="I249">
        <v>3202.8587864488281</v>
      </c>
      <c r="J249">
        <v>249</v>
      </c>
      <c r="K249">
        <f t="shared" si="21"/>
        <v>31.222107082302891</v>
      </c>
      <c r="L249">
        <f t="shared" si="22"/>
        <v>3.1222107082302894E-9</v>
      </c>
      <c r="M249">
        <f t="shared" si="26"/>
        <v>56.77333825424769</v>
      </c>
      <c r="N249">
        <f t="shared" si="25"/>
        <v>88.282180936088793</v>
      </c>
      <c r="O249" s="2">
        <f t="shared" si="23"/>
        <v>7.6673406379077036E-6</v>
      </c>
      <c r="P249" s="2">
        <f t="shared" si="24"/>
        <v>0.24706468702545395</v>
      </c>
    </row>
    <row r="250" spans="1:16" x14ac:dyDescent="0.25">
      <c r="A250" s="1">
        <v>44570.333483796298</v>
      </c>
      <c r="B250">
        <v>87714635.690208435</v>
      </c>
      <c r="C250">
        <v>87682273.645393372</v>
      </c>
      <c r="D250">
        <v>28594.368497114629</v>
      </c>
      <c r="E250">
        <v>263143.90707063675</v>
      </c>
      <c r="F250">
        <v>7.7264290555801631E+18</v>
      </c>
      <c r="G250">
        <v>3251</v>
      </c>
      <c r="H250">
        <v>3.2099004568486816E-4</v>
      </c>
      <c r="I250">
        <v>3115.3614058853077</v>
      </c>
      <c r="J250">
        <v>250</v>
      </c>
      <c r="K250">
        <f t="shared" si="21"/>
        <v>32.099004568486819</v>
      </c>
      <c r="L250">
        <f t="shared" si="22"/>
        <v>3.2099004568486816E-9</v>
      </c>
      <c r="M250">
        <f t="shared" si="26"/>
        <v>55.992486441584042</v>
      </c>
      <c r="N250">
        <f t="shared" si="25"/>
        <v>85.783105491343889</v>
      </c>
      <c r="O250" s="2">
        <f t="shared" si="23"/>
        <v>7.2468777023384793E-6</v>
      </c>
      <c r="P250" s="2">
        <f t="shared" si="24"/>
        <v>0.22690578116423787</v>
      </c>
    </row>
    <row r="251" spans="1:16" x14ac:dyDescent="0.25">
      <c r="A251" s="1">
        <v>44571.333437499998</v>
      </c>
      <c r="B251">
        <v>35593186.68762207</v>
      </c>
      <c r="C251">
        <v>35580128.421630859</v>
      </c>
      <c r="D251">
        <v>11357.589185867459</v>
      </c>
      <c r="E251">
        <v>106779.56006285548</v>
      </c>
      <c r="F251">
        <v>7.848188224487593E+18</v>
      </c>
      <c r="G251">
        <v>3253</v>
      </c>
      <c r="H251">
        <v>3.2852369045902031E-4</v>
      </c>
      <c r="I251">
        <v>3043.920511798643</v>
      </c>
      <c r="J251">
        <v>251</v>
      </c>
      <c r="K251">
        <f t="shared" si="21"/>
        <v>32.85236904590203</v>
      </c>
      <c r="L251">
        <f t="shared" si="22"/>
        <v>3.285236904590203E-9</v>
      </c>
      <c r="M251">
        <f t="shared" si="26"/>
        <v>55.346758348056895</v>
      </c>
      <c r="N251">
        <f t="shared" si="25"/>
        <v>34.072767557602376</v>
      </c>
      <c r="O251" s="2">
        <f t="shared" si="23"/>
        <v>7.0521701015485613E-6</v>
      </c>
      <c r="P251" s="2">
        <f t="shared" si="24"/>
        <v>8.7704737716059106E-2</v>
      </c>
    </row>
    <row r="252" spans="1:16" x14ac:dyDescent="0.25">
      <c r="A252" s="1">
        <v>44572.333680555559</v>
      </c>
      <c r="B252">
        <v>121907115.85825348</v>
      </c>
      <c r="C252">
        <v>121920805.28586578</v>
      </c>
      <c r="D252">
        <v>40207.024938419461</v>
      </c>
      <c r="E252">
        <v>365721.34757475555</v>
      </c>
      <c r="F252">
        <v>1.4203276527877851E+19</v>
      </c>
      <c r="G252">
        <v>3261</v>
      </c>
      <c r="H252">
        <v>3.1986860027053397E-4</v>
      </c>
      <c r="I252">
        <v>3126.2837276126324</v>
      </c>
      <c r="J252">
        <v>252</v>
      </c>
      <c r="K252">
        <f t="shared" si="21"/>
        <v>31.986860027053396</v>
      </c>
      <c r="L252">
        <f t="shared" si="22"/>
        <v>3.1986860027053399E-9</v>
      </c>
      <c r="M252">
        <f t="shared" si="26"/>
        <v>56.090554173791141</v>
      </c>
      <c r="N252">
        <f t="shared" si="25"/>
        <v>120.62107481525838</v>
      </c>
      <c r="O252" s="2">
        <f t="shared" si="23"/>
        <v>3.9491277990467865E-6</v>
      </c>
      <c r="P252" s="2">
        <f t="shared" si="24"/>
        <v>0.17386703449190127</v>
      </c>
    </row>
    <row r="253" spans="1:16" x14ac:dyDescent="0.25">
      <c r="A253" s="1">
        <v>44573.333437499998</v>
      </c>
      <c r="B253">
        <v>79610815.84487915</v>
      </c>
      <c r="C253">
        <v>79661653.105018616</v>
      </c>
      <c r="D253">
        <v>24854.735654721037</v>
      </c>
      <c r="E253">
        <v>238832.44753465056</v>
      </c>
      <c r="F253">
        <v>1.4520754352493521E+19</v>
      </c>
      <c r="G253">
        <v>3260</v>
      </c>
      <c r="H253">
        <v>3.0223749696985688E-4</v>
      </c>
      <c r="I253">
        <v>3308.6563051431476</v>
      </c>
      <c r="J253">
        <v>253</v>
      </c>
      <c r="K253">
        <f t="shared" si="21"/>
        <v>30.223749696985688</v>
      </c>
      <c r="L253">
        <f t="shared" si="22"/>
        <v>3.022374969698569E-9</v>
      </c>
      <c r="M253">
        <f t="shared" si="26"/>
        <v>57.703394742825893</v>
      </c>
      <c r="N253">
        <f t="shared" si="25"/>
        <v>74.564206964163105</v>
      </c>
      <c r="O253" s="2">
        <f t="shared" si="23"/>
        <v>3.9738565464346557E-6</v>
      </c>
      <c r="P253" s="2">
        <f t="shared" si="24"/>
        <v>0.10815222362060055</v>
      </c>
    </row>
    <row r="254" spans="1:16" x14ac:dyDescent="0.25">
      <c r="A254" s="1">
        <v>44574.333587962959</v>
      </c>
      <c r="B254">
        <v>55380984.461120605</v>
      </c>
      <c r="C254">
        <v>55405711.438240051</v>
      </c>
      <c r="D254">
        <v>16506.197178818285</v>
      </c>
      <c r="E254">
        <v>166142.95338335633</v>
      </c>
      <c r="F254">
        <v>1.4487988554869715E+19</v>
      </c>
      <c r="G254">
        <v>3264</v>
      </c>
      <c r="H254">
        <v>2.9782732047875629E-4</v>
      </c>
      <c r="I254">
        <v>3357.6503270166882</v>
      </c>
      <c r="J254">
        <v>254</v>
      </c>
      <c r="K254">
        <f t="shared" si="21"/>
        <v>29.78273204787563</v>
      </c>
      <c r="L254">
        <f t="shared" si="22"/>
        <v>2.9782732047875631E-9</v>
      </c>
      <c r="M254">
        <f t="shared" si="26"/>
        <v>58.129055799696133</v>
      </c>
      <c r="N254">
        <f t="shared" si="25"/>
        <v>49.518591536454856</v>
      </c>
      <c r="O254" s="2">
        <f t="shared" si="23"/>
        <v>4.0122240281697173E-6</v>
      </c>
      <c r="P254" s="2">
        <f t="shared" si="24"/>
        <v>7.2518084223345311E-2</v>
      </c>
    </row>
    <row r="255" spans="1:16" x14ac:dyDescent="0.25">
      <c r="A255" s="1">
        <v>44575.333541666667</v>
      </c>
      <c r="B255">
        <v>73456348.592674255</v>
      </c>
      <c r="C255">
        <v>73422352.884910583</v>
      </c>
      <c r="D255">
        <v>22354.509411755949</v>
      </c>
      <c r="E255">
        <v>220369.04577802122</v>
      </c>
      <c r="F255">
        <v>1.4045182141943071E+19</v>
      </c>
      <c r="G255">
        <v>3263</v>
      </c>
      <c r="H255">
        <v>3.1044656159885019E-4</v>
      </c>
      <c r="I255">
        <v>3221.1662930001148</v>
      </c>
      <c r="J255">
        <v>255</v>
      </c>
      <c r="K255">
        <f t="shared" si="21"/>
        <v>31.044656159885019</v>
      </c>
      <c r="L255">
        <f t="shared" si="22"/>
        <v>3.1044656159885021E-9</v>
      </c>
      <c r="M255">
        <f t="shared" si="26"/>
        <v>56.935364945441364</v>
      </c>
      <c r="N255">
        <f t="shared" si="25"/>
        <v>67.063528235267853</v>
      </c>
      <c r="O255" s="2">
        <f t="shared" si="23"/>
        <v>4.0537291983857948E-6</v>
      </c>
      <c r="P255" s="2">
        <f t="shared" si="24"/>
        <v>9.9227944632237539E-2</v>
      </c>
    </row>
    <row r="256" spans="1:16" x14ac:dyDescent="0.25">
      <c r="A256" s="1">
        <v>44576.333344907405</v>
      </c>
      <c r="B256">
        <v>43497535.597747803</v>
      </c>
      <c r="C256">
        <v>43511669.083831787</v>
      </c>
      <c r="D256">
        <v>13248.411993363872</v>
      </c>
      <c r="E256">
        <v>130492.60679323971</v>
      </c>
      <c r="F256">
        <v>1.4488808400048837E+19</v>
      </c>
      <c r="G256">
        <v>3265</v>
      </c>
      <c r="H256">
        <v>3.0509178084782228E-4</v>
      </c>
      <c r="I256">
        <v>3277.7021957821712</v>
      </c>
      <c r="J256">
        <v>256</v>
      </c>
      <c r="K256">
        <f t="shared" si="21"/>
        <v>30.509178084782228</v>
      </c>
      <c r="L256">
        <f t="shared" si="22"/>
        <v>3.050917808478223E-9</v>
      </c>
      <c r="M256">
        <f t="shared" si="26"/>
        <v>57.432838620027553</v>
      </c>
      <c r="N256">
        <f t="shared" si="25"/>
        <v>39.745235980091614</v>
      </c>
      <c r="O256" s="2">
        <f t="shared" si="23"/>
        <v>3.963944931443359E-6</v>
      </c>
      <c r="P256" s="2">
        <f t="shared" si="24"/>
        <v>5.7504993249991095E-2</v>
      </c>
    </row>
    <row r="257" spans="1:16" x14ac:dyDescent="0.25">
      <c r="A257" s="1">
        <v>44577.333495370367</v>
      </c>
      <c r="B257">
        <v>32643516.964065552</v>
      </c>
      <c r="C257">
        <v>32658541.955680847</v>
      </c>
      <c r="D257">
        <v>9819.8077441360801</v>
      </c>
      <c r="E257">
        <v>97930.550892189145</v>
      </c>
      <c r="F257">
        <v>1.4725852548807328E+19</v>
      </c>
      <c r="G257">
        <v>3266</v>
      </c>
      <c r="H257">
        <v>2.9982936277829394E-4</v>
      </c>
      <c r="I257">
        <v>3335.2303814868219</v>
      </c>
      <c r="J257">
        <v>257</v>
      </c>
      <c r="K257">
        <f t="shared" si="21"/>
        <v>29.982936277829396</v>
      </c>
      <c r="L257">
        <f t="shared" si="22"/>
        <v>2.9982936277829395E-9</v>
      </c>
      <c r="M257">
        <f t="shared" si="26"/>
        <v>57.934658978913447</v>
      </c>
      <c r="N257">
        <f t="shared" si="25"/>
        <v>29.459423232408241</v>
      </c>
      <c r="O257" s="2">
        <f t="shared" si="23"/>
        <v>3.9342142525802811E-6</v>
      </c>
      <c r="P257" s="2">
        <f t="shared" si="24"/>
        <v>4.2303384205113335E-2</v>
      </c>
    </row>
    <row r="258" spans="1:16" x14ac:dyDescent="0.25">
      <c r="A258" s="1">
        <v>44578.333402777775</v>
      </c>
      <c r="B258">
        <v>63011210.101799011</v>
      </c>
      <c r="C258">
        <v>62994863.79360199</v>
      </c>
      <c r="D258">
        <v>19059.371827444062</v>
      </c>
      <c r="E258">
        <v>189033.63030540943</v>
      </c>
      <c r="F258">
        <v>1.4486135149451989E+19</v>
      </c>
      <c r="G258">
        <v>3263</v>
      </c>
      <c r="H258">
        <v>3.0591660042119127E-4</v>
      </c>
      <c r="I258">
        <v>3268.864777600113</v>
      </c>
      <c r="J258">
        <v>258</v>
      </c>
      <c r="K258">
        <f t="shared" ref="K258:K321" si="27">(1+$U$16)*H258</f>
        <v>30.591660042119127</v>
      </c>
      <c r="L258">
        <f t="shared" ref="L258:L321" si="28">H258/(1+$U$16)</f>
        <v>3.0591660042119125E-9</v>
      </c>
      <c r="M258">
        <f t="shared" si="26"/>
        <v>57.355360471250229</v>
      </c>
      <c r="N258">
        <f t="shared" si="25"/>
        <v>57.178115482332188</v>
      </c>
      <c r="O258" s="2">
        <f t="shared" si="23"/>
        <v>3.9593279973934233E-6</v>
      </c>
      <c r="P258" s="2">
        <f t="shared" si="24"/>
        <v>8.2631223415598157E-2</v>
      </c>
    </row>
    <row r="259" spans="1:16" x14ac:dyDescent="0.25">
      <c r="A259" s="1">
        <v>44579.333333333336</v>
      </c>
      <c r="B259">
        <v>67098368.39050293</v>
      </c>
      <c r="C259">
        <v>67067762.6276474</v>
      </c>
      <c r="D259">
        <v>21000.170448014513</v>
      </c>
      <c r="E259">
        <v>201295.10517151654</v>
      </c>
      <c r="F259">
        <v>1.5021152051264571E+19</v>
      </c>
      <c r="G259">
        <v>3266</v>
      </c>
      <c r="H259">
        <v>3.1665434741709133E-4</v>
      </c>
      <c r="I259">
        <v>3158.0175928638623</v>
      </c>
      <c r="J259">
        <v>259</v>
      </c>
      <c r="K259">
        <f t="shared" si="27"/>
        <v>31.665434741709134</v>
      </c>
      <c r="L259">
        <f t="shared" si="28"/>
        <v>3.1665434741709131E-9</v>
      </c>
      <c r="M259">
        <f t="shared" si="26"/>
        <v>56.374513668913146</v>
      </c>
      <c r="N259">
        <f t="shared" si="25"/>
        <v>63.000511344043538</v>
      </c>
      <c r="O259" s="2">
        <f t="shared" ref="O259:O322" si="29">M259/(F259/POWER(10,$U$21))</f>
        <v>3.7530086558285787E-6</v>
      </c>
      <c r="P259" s="2">
        <f t="shared" ref="P259:P322" si="30">O259*N259*365</f>
        <v>8.6301134504475005E-2</v>
      </c>
    </row>
    <row r="260" spans="1:16" x14ac:dyDescent="0.25">
      <c r="A260" s="1">
        <v>44580.333356481482</v>
      </c>
      <c r="B260">
        <v>94270305.930900574</v>
      </c>
      <c r="C260">
        <v>94257258.505943298</v>
      </c>
      <c r="D260">
        <v>30264.548651816323</v>
      </c>
      <c r="E260">
        <v>282810.91779269278</v>
      </c>
      <c r="F260">
        <v>1.482544164656698E+19</v>
      </c>
      <c r="G260">
        <v>3262</v>
      </c>
      <c r="H260">
        <v>3.2012458473187335E-4</v>
      </c>
      <c r="I260">
        <v>3123.7838257176331</v>
      </c>
      <c r="J260">
        <v>260</v>
      </c>
      <c r="K260">
        <f t="shared" si="27"/>
        <v>32.012458473187337</v>
      </c>
      <c r="L260">
        <f t="shared" si="28"/>
        <v>3.2012458473187335E-9</v>
      </c>
      <c r="M260">
        <f t="shared" si="26"/>
        <v>56.068123560055426</v>
      </c>
      <c r="N260">
        <f t="shared" si="25"/>
        <v>90.793645955448966</v>
      </c>
      <c r="O260" s="2">
        <f t="shared" si="29"/>
        <v>3.7818855516549631E-6</v>
      </c>
      <c r="P260" s="2">
        <f t="shared" si="30"/>
        <v>0.12533047990466081</v>
      </c>
    </row>
    <row r="261" spans="1:16" x14ac:dyDescent="0.25">
      <c r="A261" s="1">
        <v>44581.333344907405</v>
      </c>
      <c r="B261">
        <v>48683332.637672424</v>
      </c>
      <c r="C261">
        <v>48683556.496681213</v>
      </c>
      <c r="D261">
        <v>15576.769230823964</v>
      </c>
      <c r="E261">
        <v>146049.99791301787</v>
      </c>
      <c r="F261">
        <v>1.5295328152401097E+19</v>
      </c>
      <c r="G261">
        <v>3265</v>
      </c>
      <c r="H261">
        <v>3.1862360429833905E-4</v>
      </c>
      <c r="I261">
        <v>3138.4994285095813</v>
      </c>
      <c r="J261">
        <v>261</v>
      </c>
      <c r="K261">
        <f t="shared" si="27"/>
        <v>31.862360429833906</v>
      </c>
      <c r="L261">
        <f t="shared" si="28"/>
        <v>3.1862360429833903E-9</v>
      </c>
      <c r="M261">
        <f t="shared" si="26"/>
        <v>56.20003198680925</v>
      </c>
      <c r="N261">
        <f t="shared" ref="N261:N324" si="31">D261*0.003</f>
        <v>46.730307692471889</v>
      </c>
      <c r="O261" s="2">
        <f t="shared" si="29"/>
        <v>3.6743266588881149E-6</v>
      </c>
      <c r="P261" s="2">
        <f t="shared" si="30"/>
        <v>6.2671381596360251E-2</v>
      </c>
    </row>
    <row r="262" spans="1:16" x14ac:dyDescent="0.25">
      <c r="A262" s="1">
        <v>44582.333541666667</v>
      </c>
      <c r="B262">
        <v>270804587.87573242</v>
      </c>
      <c r="C262">
        <v>270587631.54288483</v>
      </c>
      <c r="D262">
        <v>92273.516884241253</v>
      </c>
      <c r="E262">
        <v>812413.76362718642</v>
      </c>
      <c r="F262">
        <v>4.8164288532471009E+18</v>
      </c>
      <c r="G262">
        <v>3263</v>
      </c>
      <c r="H262">
        <v>3.6075688139243798E-4</v>
      </c>
      <c r="I262">
        <v>2771.9498963962424</v>
      </c>
      <c r="J262">
        <v>262</v>
      </c>
      <c r="K262">
        <f t="shared" si="27"/>
        <v>36.075688139243802</v>
      </c>
      <c r="L262">
        <f t="shared" si="28"/>
        <v>3.6075688139243798E-9</v>
      </c>
      <c r="M262">
        <f t="shared" si="26"/>
        <v>52.816330404301631</v>
      </c>
      <c r="N262">
        <f t="shared" si="31"/>
        <v>276.82055065272374</v>
      </c>
      <c r="O262" s="2">
        <f t="shared" si="29"/>
        <v>1.0965869529806166E-5</v>
      </c>
      <c r="P262" s="2">
        <f t="shared" si="30"/>
        <v>1.1079859851938065</v>
      </c>
    </row>
    <row r="263" spans="1:16" x14ac:dyDescent="0.25">
      <c r="A263" s="1">
        <v>44583.334016203706</v>
      </c>
      <c r="B263">
        <v>432623216.50405121</v>
      </c>
      <c r="C263">
        <v>432388868.79682159</v>
      </c>
      <c r="D263">
        <v>169914.0898737479</v>
      </c>
      <c r="E263">
        <v>1297869.6495121717</v>
      </c>
      <c r="F263">
        <v>3.9839462508936402E+18</v>
      </c>
      <c r="G263">
        <v>3225</v>
      </c>
      <c r="H263">
        <v>4.0201880175973778E-4</v>
      </c>
      <c r="I263">
        <v>2487.4458498526624</v>
      </c>
      <c r="J263">
        <v>263</v>
      </c>
      <c r="K263">
        <f t="shared" si="27"/>
        <v>40.201880175973777</v>
      </c>
      <c r="L263">
        <f t="shared" si="28"/>
        <v>4.0201880175973776E-9</v>
      </c>
      <c r="M263">
        <f t="shared" si="26"/>
        <v>50.032517206314246</v>
      </c>
      <c r="N263">
        <f t="shared" si="31"/>
        <v>509.74226962124374</v>
      </c>
      <c r="O263" s="2">
        <f t="shared" si="29"/>
        <v>1.2558532182780185E-5</v>
      </c>
      <c r="P263" s="2">
        <f t="shared" si="30"/>
        <v>2.3365893647560583</v>
      </c>
    </row>
    <row r="264" spans="1:16" x14ac:dyDescent="0.25">
      <c r="A264" s="1">
        <v>44584.333483796298</v>
      </c>
      <c r="B264">
        <v>136437598.204422</v>
      </c>
      <c r="C264">
        <v>136434734.06438446</v>
      </c>
      <c r="D264">
        <v>56746.041958864778</v>
      </c>
      <c r="E264">
        <v>409312.79461325705</v>
      </c>
      <c r="F264">
        <v>3.9937866797307986E+18</v>
      </c>
      <c r="G264">
        <v>3219</v>
      </c>
      <c r="H264">
        <v>4.0201880175973778E-4</v>
      </c>
      <c r="I264">
        <v>2487.4458498526624</v>
      </c>
      <c r="J264">
        <v>264</v>
      </c>
      <c r="K264">
        <f t="shared" si="27"/>
        <v>40.201880175973777</v>
      </c>
      <c r="L264">
        <f t="shared" si="28"/>
        <v>4.0201880175973776E-9</v>
      </c>
      <c r="M264">
        <f t="shared" si="26"/>
        <v>50.032517206314246</v>
      </c>
      <c r="N264">
        <f t="shared" si="31"/>
        <v>170.23812587659432</v>
      </c>
      <c r="O264" s="2">
        <f t="shared" si="29"/>
        <v>1.2527588781904268E-5</v>
      </c>
      <c r="P264" s="2">
        <f t="shared" si="30"/>
        <v>0.77842573113417091</v>
      </c>
    </row>
    <row r="265" spans="1:16" x14ac:dyDescent="0.25">
      <c r="A265" s="1">
        <v>44585.333923611113</v>
      </c>
      <c r="B265">
        <v>167593934.09789276</v>
      </c>
      <c r="C265">
        <v>167490387.84184265</v>
      </c>
      <c r="D265">
        <v>72653.505735723302</v>
      </c>
      <c r="E265">
        <v>502781.80229368806</v>
      </c>
      <c r="F265">
        <v>3.4969846531349478E+18</v>
      </c>
      <c r="G265">
        <v>3222</v>
      </c>
      <c r="H265">
        <v>4.5604548552230457E-4</v>
      </c>
      <c r="I265">
        <v>2192.7637302553485</v>
      </c>
      <c r="J265">
        <v>265</v>
      </c>
      <c r="K265">
        <f t="shared" si="27"/>
        <v>45.604548552230455</v>
      </c>
      <c r="L265">
        <f t="shared" si="28"/>
        <v>4.5604548552230461E-9</v>
      </c>
      <c r="M265">
        <f t="shared" si="26"/>
        <v>46.975504756727751</v>
      </c>
      <c r="N265">
        <f t="shared" si="31"/>
        <v>217.96051720716991</v>
      </c>
      <c r="O265" s="2">
        <f t="shared" si="29"/>
        <v>1.3433145814527822E-5</v>
      </c>
      <c r="P265" s="2">
        <f t="shared" si="30"/>
        <v>1.0686818244506422</v>
      </c>
    </row>
    <row r="266" spans="1:16" x14ac:dyDescent="0.25">
      <c r="A266" s="1">
        <v>44586.33357638889</v>
      </c>
      <c r="B266">
        <v>138712623.91607666</v>
      </c>
      <c r="C266">
        <v>138756140.10702515</v>
      </c>
      <c r="D266">
        <v>59635.861688645557</v>
      </c>
      <c r="E266">
        <v>416137.8717482388</v>
      </c>
      <c r="F266">
        <v>7.6161801274238822E+18</v>
      </c>
      <c r="G266">
        <v>3229</v>
      </c>
      <c r="H266">
        <v>4.08747672549705E-4</v>
      </c>
      <c r="I266">
        <v>2446.4971109490461</v>
      </c>
      <c r="J266">
        <v>266</v>
      </c>
      <c r="K266">
        <f t="shared" si="27"/>
        <v>40.8747672549705</v>
      </c>
      <c r="L266">
        <f t="shared" si="28"/>
        <v>4.0874767254970502E-9</v>
      </c>
      <c r="M266">
        <f t="shared" si="26"/>
        <v>49.618986515946183</v>
      </c>
      <c r="N266">
        <f t="shared" si="31"/>
        <v>178.90758506593667</v>
      </c>
      <c r="O266" s="2">
        <f t="shared" si="29"/>
        <v>6.5149439332823975E-6</v>
      </c>
      <c r="P266" s="2">
        <f t="shared" si="30"/>
        <v>0.42543410336938792</v>
      </c>
    </row>
    <row r="267" spans="1:16" x14ac:dyDescent="0.25">
      <c r="A267" s="1">
        <v>44587.333379629628</v>
      </c>
      <c r="B267">
        <v>108640447.05219269</v>
      </c>
      <c r="C267">
        <v>108664319.37197113</v>
      </c>
      <c r="D267">
        <v>44260.334229944274</v>
      </c>
      <c r="E267">
        <v>325921.3411565721</v>
      </c>
      <c r="F267">
        <v>9.2978742959289733E+18</v>
      </c>
      <c r="G267">
        <v>3235</v>
      </c>
      <c r="H267">
        <v>3.9366484811694522E-4</v>
      </c>
      <c r="I267">
        <v>2540.2318870567078</v>
      </c>
      <c r="J267">
        <v>267</v>
      </c>
      <c r="K267">
        <f t="shared" si="27"/>
        <v>39.366484811694519</v>
      </c>
      <c r="L267">
        <f t="shared" si="28"/>
        <v>3.9366484811694521E-9</v>
      </c>
      <c r="M267">
        <f t="shared" si="26"/>
        <v>50.560599815480714</v>
      </c>
      <c r="N267">
        <f t="shared" si="31"/>
        <v>132.78100268983283</v>
      </c>
      <c r="O267" s="2">
        <f t="shared" si="29"/>
        <v>5.4378665710310167E-6</v>
      </c>
      <c r="P267" s="2">
        <f t="shared" si="30"/>
        <v>0.26354656216518285</v>
      </c>
    </row>
    <row r="268" spans="1:16" x14ac:dyDescent="0.25">
      <c r="A268" s="1">
        <v>44588.333333333336</v>
      </c>
      <c r="B268">
        <v>181072452.11759186</v>
      </c>
      <c r="C268">
        <v>181066802.80870056</v>
      </c>
      <c r="D268">
        <v>71852.434863125905</v>
      </c>
      <c r="E268">
        <v>543217.35635277629</v>
      </c>
      <c r="F268">
        <v>9.0532114961302948E+18</v>
      </c>
      <c r="G268">
        <v>3237</v>
      </c>
      <c r="H268">
        <v>4.0670913669841436E-4</v>
      </c>
      <c r="I268">
        <v>2458.7596141011372</v>
      </c>
      <c r="J268">
        <v>268</v>
      </c>
      <c r="K268">
        <f t="shared" si="27"/>
        <v>40.670913669841433</v>
      </c>
      <c r="L268">
        <f t="shared" si="28"/>
        <v>4.0670913669841433E-9</v>
      </c>
      <c r="M268">
        <f t="shared" si="26"/>
        <v>49.74318295338206</v>
      </c>
      <c r="N268">
        <f t="shared" si="31"/>
        <v>215.55730458937771</v>
      </c>
      <c r="O268" s="2">
        <f t="shared" si="29"/>
        <v>5.4945345057545918E-6</v>
      </c>
      <c r="P268" s="2">
        <f t="shared" si="30"/>
        <v>0.43230127253233275</v>
      </c>
    </row>
    <row r="269" spans="1:16" x14ac:dyDescent="0.25">
      <c r="A269" s="1">
        <v>44589.333344907405</v>
      </c>
      <c r="B269">
        <v>136197122.25269318</v>
      </c>
      <c r="C269">
        <v>136181350.14591217</v>
      </c>
      <c r="D269">
        <v>56275.915638340637</v>
      </c>
      <c r="E269">
        <v>408591.36675806344</v>
      </c>
      <c r="F269">
        <v>8.1392175285865923E+18</v>
      </c>
      <c r="G269">
        <v>3239</v>
      </c>
      <c r="H269">
        <v>4.220806557884385E-4</v>
      </c>
      <c r="I269">
        <v>2369.2154243174668</v>
      </c>
      <c r="J269">
        <v>269</v>
      </c>
      <c r="K269">
        <f t="shared" si="27"/>
        <v>42.208065578843851</v>
      </c>
      <c r="L269">
        <f t="shared" si="28"/>
        <v>4.2208065578843851E-9</v>
      </c>
      <c r="M269">
        <f t="shared" si="26"/>
        <v>48.828997897467524</v>
      </c>
      <c r="N269">
        <f t="shared" si="31"/>
        <v>168.82774691502192</v>
      </c>
      <c r="O269" s="2">
        <f t="shared" si="29"/>
        <v>5.9992250761169761E-6</v>
      </c>
      <c r="P269" s="2">
        <f t="shared" si="30"/>
        <v>0.36968501328547948</v>
      </c>
    </row>
    <row r="270" spans="1:16" x14ac:dyDescent="0.25">
      <c r="A270" s="1">
        <v>44590.333356481482</v>
      </c>
      <c r="B270">
        <v>88031430.220344543</v>
      </c>
      <c r="C270">
        <v>88074076.400260925</v>
      </c>
      <c r="D270">
        <v>35392.84036947228</v>
      </c>
      <c r="E270">
        <v>264094.29066103697</v>
      </c>
      <c r="F270">
        <v>1.0156404355931724E+19</v>
      </c>
      <c r="G270">
        <v>3243</v>
      </c>
      <c r="H270">
        <v>3.8761038895631321E-4</v>
      </c>
      <c r="I270">
        <v>2579.9102100762011</v>
      </c>
      <c r="J270">
        <v>270</v>
      </c>
      <c r="K270">
        <f t="shared" si="27"/>
        <v>38.761038895631323</v>
      </c>
      <c r="L270">
        <f t="shared" si="28"/>
        <v>3.8761038895631325E-9</v>
      </c>
      <c r="M270">
        <f t="shared" ref="M270:M325" si="32">1/(SQRT(H270)-SQRT(L270))</f>
        <v>50.95394704886165</v>
      </c>
      <c r="N270">
        <f t="shared" si="31"/>
        <v>106.17852110841685</v>
      </c>
      <c r="O270" s="2">
        <f t="shared" si="29"/>
        <v>5.0169277692358339E-6</v>
      </c>
      <c r="P270" s="2">
        <f t="shared" si="30"/>
        <v>0.19443183943150152</v>
      </c>
    </row>
    <row r="271" spans="1:16" x14ac:dyDescent="0.25">
      <c r="A271" s="1">
        <v>44591.333379629628</v>
      </c>
      <c r="B271">
        <v>55978370.491233826</v>
      </c>
      <c r="C271">
        <v>55991057.536224365</v>
      </c>
      <c r="D271">
        <v>21597.656323498115</v>
      </c>
      <c r="E271">
        <v>167935.11147370934</v>
      </c>
      <c r="F271">
        <v>9.9639175386706555E+18</v>
      </c>
      <c r="G271">
        <v>3242</v>
      </c>
      <c r="H271">
        <v>3.8187809242662884E-4</v>
      </c>
      <c r="I271">
        <v>2618.6367320668764</v>
      </c>
      <c r="J271">
        <v>271</v>
      </c>
      <c r="K271">
        <f t="shared" si="27"/>
        <v>38.187809242662887</v>
      </c>
      <c r="L271">
        <f t="shared" si="28"/>
        <v>3.8187809242662885E-9</v>
      </c>
      <c r="M271">
        <f t="shared" si="32"/>
        <v>51.334952387172073</v>
      </c>
      <c r="N271">
        <f t="shared" si="31"/>
        <v>64.792968970494343</v>
      </c>
      <c r="O271" s="2">
        <f t="shared" si="29"/>
        <v>5.1520852303260799E-6</v>
      </c>
      <c r="P271" s="2">
        <f t="shared" si="30"/>
        <v>0.12184389793857887</v>
      </c>
    </row>
    <row r="272" spans="1:16" x14ac:dyDescent="0.25">
      <c r="A272" s="1">
        <v>44592.333611111113</v>
      </c>
      <c r="B272">
        <v>71354790.596450806</v>
      </c>
      <c r="C272">
        <v>71338775.076263428</v>
      </c>
      <c r="D272">
        <v>27828.793855132535</v>
      </c>
      <c r="E272">
        <v>214064.37178935111</v>
      </c>
      <c r="F272">
        <v>1.0130029796425947E+19</v>
      </c>
      <c r="G272">
        <v>3244</v>
      </c>
      <c r="H272">
        <v>3.9409809603050799E-4</v>
      </c>
      <c r="I272">
        <v>2537.4393078077387</v>
      </c>
      <c r="J272">
        <v>272</v>
      </c>
      <c r="K272">
        <f t="shared" si="27"/>
        <v>39.409809603050796</v>
      </c>
      <c r="L272">
        <f t="shared" si="28"/>
        <v>3.9409809603050798E-9</v>
      </c>
      <c r="M272">
        <f t="shared" si="32"/>
        <v>50.532800521030474</v>
      </c>
      <c r="N272">
        <f t="shared" si="31"/>
        <v>83.486381565397608</v>
      </c>
      <c r="O272" s="2">
        <f t="shared" si="29"/>
        <v>4.9884157832249742E-6</v>
      </c>
      <c r="P272" s="2">
        <f t="shared" si="30"/>
        <v>0.15200964597208777</v>
      </c>
    </row>
    <row r="273" spans="1:16" x14ac:dyDescent="0.25">
      <c r="A273" s="1">
        <v>44593.333356481482</v>
      </c>
      <c r="B273">
        <v>79710464.087608337</v>
      </c>
      <c r="C273">
        <v>79781318.300682068</v>
      </c>
      <c r="D273">
        <v>29483.034174038097</v>
      </c>
      <c r="E273">
        <v>239131.39226281643</v>
      </c>
      <c r="F273">
        <v>1.165508194001287E+19</v>
      </c>
      <c r="G273">
        <v>3238</v>
      </c>
      <c r="H273">
        <v>3.5996412823856885E-4</v>
      </c>
      <c r="I273">
        <v>2778.054593643405</v>
      </c>
      <c r="J273">
        <v>273</v>
      </c>
      <c r="K273">
        <f t="shared" si="27"/>
        <v>35.996412823856886</v>
      </c>
      <c r="L273">
        <f t="shared" si="28"/>
        <v>3.5996412823856887E-9</v>
      </c>
      <c r="M273">
        <f t="shared" si="32"/>
        <v>52.874457425444518</v>
      </c>
      <c r="N273">
        <f t="shared" si="31"/>
        <v>88.449102522114288</v>
      </c>
      <c r="O273" s="2">
        <f t="shared" si="29"/>
        <v>4.5366010893430178E-6</v>
      </c>
      <c r="P273" s="2">
        <f t="shared" si="30"/>
        <v>0.14645927762143113</v>
      </c>
    </row>
    <row r="274" spans="1:16" x14ac:dyDescent="0.25">
      <c r="A274" s="1">
        <v>44594.333553240744</v>
      </c>
      <c r="B274">
        <v>71068236.189369202</v>
      </c>
      <c r="C274">
        <v>71072789.001724243</v>
      </c>
      <c r="D274">
        <v>25597.22229513526</v>
      </c>
      <c r="E274">
        <v>213204.70856812596</v>
      </c>
      <c r="F274">
        <v>1.0577568567528184E+19</v>
      </c>
      <c r="G274">
        <v>3240</v>
      </c>
      <c r="H274">
        <v>3.5659648652425566E-4</v>
      </c>
      <c r="I274">
        <v>2804.2901088201834</v>
      </c>
      <c r="J274">
        <v>274</v>
      </c>
      <c r="K274">
        <f t="shared" si="27"/>
        <v>35.659648652425567</v>
      </c>
      <c r="L274">
        <f t="shared" si="28"/>
        <v>3.5659648652425567E-9</v>
      </c>
      <c r="M274">
        <f t="shared" si="32"/>
        <v>53.123539806532079</v>
      </c>
      <c r="N274">
        <f t="shared" si="31"/>
        <v>76.791666885405775</v>
      </c>
      <c r="O274" s="2">
        <f t="shared" si="29"/>
        <v>5.0222827171846202E-6</v>
      </c>
      <c r="P274" s="2">
        <f t="shared" si="30"/>
        <v>0.14076935341916574</v>
      </c>
    </row>
    <row r="275" spans="1:16" x14ac:dyDescent="0.25">
      <c r="A275" s="1">
        <v>44595.333460648151</v>
      </c>
      <c r="B275">
        <v>107818849.33161926</v>
      </c>
      <c r="C275">
        <v>107775647.14266968</v>
      </c>
      <c r="D275">
        <v>40295.577238865197</v>
      </c>
      <c r="E275">
        <v>323456.54799483716</v>
      </c>
      <c r="F275">
        <v>1.0871227658893459E+19</v>
      </c>
      <c r="G275">
        <v>3243</v>
      </c>
      <c r="H275">
        <v>3.8310199833322165E-4</v>
      </c>
      <c r="I275">
        <v>2610.2709052699884</v>
      </c>
      <c r="J275">
        <v>275</v>
      </c>
      <c r="K275">
        <f t="shared" si="27"/>
        <v>38.310199833322166</v>
      </c>
      <c r="L275">
        <f t="shared" si="28"/>
        <v>3.8310199833322166E-9</v>
      </c>
      <c r="M275">
        <f t="shared" si="32"/>
        <v>51.252886237018437</v>
      </c>
      <c r="N275">
        <f t="shared" si="31"/>
        <v>120.88673171659559</v>
      </c>
      <c r="O275" s="2">
        <f t="shared" si="29"/>
        <v>4.714544469601815E-6</v>
      </c>
      <c r="P275" s="2">
        <f t="shared" si="30"/>
        <v>0.20802294344889063</v>
      </c>
    </row>
    <row r="276" spans="1:16" x14ac:dyDescent="0.25">
      <c r="A276" s="1">
        <v>44596.333402777775</v>
      </c>
      <c r="B276">
        <v>69982119.648124695</v>
      </c>
      <c r="C276">
        <v>70036922.209503174</v>
      </c>
      <c r="D276">
        <v>26039.571351651102</v>
      </c>
      <c r="E276">
        <v>209946.35894438624</v>
      </c>
      <c r="F276">
        <v>9.6650633440766771E+18</v>
      </c>
      <c r="G276">
        <v>3246</v>
      </c>
      <c r="H276">
        <v>3.5202616232719202E-4</v>
      </c>
      <c r="I276">
        <v>2840.6979566210375</v>
      </c>
      <c r="J276">
        <v>276</v>
      </c>
      <c r="K276">
        <f t="shared" si="27"/>
        <v>35.202616232719201</v>
      </c>
      <c r="L276">
        <f t="shared" si="28"/>
        <v>3.5202616232719201E-9</v>
      </c>
      <c r="M276">
        <f t="shared" si="32"/>
        <v>53.467276811929921</v>
      </c>
      <c r="N276">
        <f t="shared" si="31"/>
        <v>78.118714054953315</v>
      </c>
      <c r="O276" s="2">
        <f t="shared" si="29"/>
        <v>5.5320151465637151E-6</v>
      </c>
      <c r="P276" s="2">
        <f t="shared" si="30"/>
        <v>0.15773617692445976</v>
      </c>
    </row>
    <row r="277" spans="1:16" x14ac:dyDescent="0.25">
      <c r="A277" s="1">
        <v>44597.333344907405</v>
      </c>
      <c r="B277">
        <v>90197426.474876404</v>
      </c>
      <c r="C277">
        <v>90232880.321472168</v>
      </c>
      <c r="D277">
        <v>30872.773398401216</v>
      </c>
      <c r="E277">
        <v>270592.27942463756</v>
      </c>
      <c r="F277">
        <v>1.3096693483755246E+19</v>
      </c>
      <c r="G277">
        <v>3251</v>
      </c>
      <c r="H277">
        <v>3.3185842506189159E-4</v>
      </c>
      <c r="I277">
        <v>3013.3331700513554</v>
      </c>
      <c r="J277">
        <v>277</v>
      </c>
      <c r="K277">
        <f t="shared" si="27"/>
        <v>33.185842506189161</v>
      </c>
      <c r="L277">
        <f t="shared" si="28"/>
        <v>3.318584250618916E-9</v>
      </c>
      <c r="M277">
        <f t="shared" si="32"/>
        <v>55.067975675988897</v>
      </c>
      <c r="N277">
        <f t="shared" si="31"/>
        <v>92.618320195203651</v>
      </c>
      <c r="O277" s="2">
        <f t="shared" si="29"/>
        <v>4.2047235620420987E-6</v>
      </c>
      <c r="P277" s="2">
        <f t="shared" si="30"/>
        <v>0.1421435681185593</v>
      </c>
    </row>
    <row r="278" spans="1:16" x14ac:dyDescent="0.25">
      <c r="A278" s="1">
        <v>44598.333425925928</v>
      </c>
      <c r="B278">
        <v>43137746.612503052</v>
      </c>
      <c r="C278">
        <v>43140053.691726685</v>
      </c>
      <c r="D278">
        <v>14306.306627040729</v>
      </c>
      <c r="E278">
        <v>129413.23983749747</v>
      </c>
      <c r="F278">
        <v>1.3213111118233242E+19</v>
      </c>
      <c r="G278">
        <v>3254</v>
      </c>
      <c r="H278">
        <v>3.325227728215024E-4</v>
      </c>
      <c r="I278">
        <v>3007.312827073044</v>
      </c>
      <c r="J278">
        <v>278</v>
      </c>
      <c r="K278">
        <f t="shared" si="27"/>
        <v>33.252277282150239</v>
      </c>
      <c r="L278">
        <f t="shared" si="28"/>
        <v>3.3252277282150242E-9</v>
      </c>
      <c r="M278">
        <f t="shared" si="32"/>
        <v>55.012937975588514</v>
      </c>
      <c r="N278">
        <f t="shared" si="31"/>
        <v>42.918919881122186</v>
      </c>
      <c r="O278" s="2">
        <f t="shared" si="29"/>
        <v>4.1635113398595586E-6</v>
      </c>
      <c r="P278" s="2">
        <f t="shared" si="30"/>
        <v>6.5223094511145274E-2</v>
      </c>
    </row>
    <row r="279" spans="1:16" x14ac:dyDescent="0.25">
      <c r="A279" s="1">
        <v>44599.333402777775</v>
      </c>
      <c r="B279">
        <v>69517619.133422852</v>
      </c>
      <c r="C279">
        <v>69540141.278915405</v>
      </c>
      <c r="D279">
        <v>22925.336450787261</v>
      </c>
      <c r="E279">
        <v>208552.85740026832</v>
      </c>
      <c r="F279">
        <v>1.3969889813096434E+19</v>
      </c>
      <c r="G279">
        <v>3255</v>
      </c>
      <c r="H279">
        <v>3.2486493533348494E-4</v>
      </c>
      <c r="I279">
        <v>3078.2023272947754</v>
      </c>
      <c r="J279">
        <v>279</v>
      </c>
      <c r="K279">
        <f t="shared" si="27"/>
        <v>32.486493533348494</v>
      </c>
      <c r="L279">
        <f t="shared" si="28"/>
        <v>3.2486493533348495E-9</v>
      </c>
      <c r="M279">
        <f t="shared" si="32"/>
        <v>55.657554071131621</v>
      </c>
      <c r="N279">
        <f t="shared" si="31"/>
        <v>68.776009352361783</v>
      </c>
      <c r="O279" s="2">
        <f t="shared" si="29"/>
        <v>3.9841083083528694E-6</v>
      </c>
      <c r="P279" s="2">
        <f t="shared" si="30"/>
        <v>0.10001404065077622</v>
      </c>
    </row>
    <row r="280" spans="1:16" x14ac:dyDescent="0.25">
      <c r="A280" s="1">
        <v>44600.333564814813</v>
      </c>
      <c r="B280">
        <v>90803721.27166748</v>
      </c>
      <c r="C280">
        <v>90799034.83000946</v>
      </c>
      <c r="D280">
        <v>28940.022908255458</v>
      </c>
      <c r="E280">
        <v>272411.16381500661</v>
      </c>
      <c r="F280">
        <v>1.2603927411080315E+19</v>
      </c>
      <c r="G280">
        <v>3264</v>
      </c>
      <c r="H280">
        <v>3.2623216888206711E-4</v>
      </c>
      <c r="I280">
        <v>3065.3016329652637</v>
      </c>
      <c r="J280">
        <v>280</v>
      </c>
      <c r="K280">
        <f t="shared" si="27"/>
        <v>32.623216888206713</v>
      </c>
      <c r="L280">
        <f t="shared" si="28"/>
        <v>3.2623216888206711E-9</v>
      </c>
      <c r="M280">
        <f t="shared" si="32"/>
        <v>55.540801678021744</v>
      </c>
      <c r="N280">
        <f t="shared" si="31"/>
        <v>86.820068724766372</v>
      </c>
      <c r="O280" s="2">
        <f t="shared" si="29"/>
        <v>4.4066265907874819E-6</v>
      </c>
      <c r="P280" s="2">
        <f t="shared" si="30"/>
        <v>0.13964302256164152</v>
      </c>
    </row>
    <row r="281" spans="1:16" x14ac:dyDescent="0.25">
      <c r="A281" s="1">
        <v>44601.333391203705</v>
      </c>
      <c r="B281">
        <v>88563995.41594696</v>
      </c>
      <c r="C281">
        <v>88592847.552322388</v>
      </c>
      <c r="D281">
        <v>28657.595389055088</v>
      </c>
      <c r="E281">
        <v>265691.98624785244</v>
      </c>
      <c r="F281">
        <v>1.3291342888441467E+19</v>
      </c>
      <c r="G281">
        <v>3272</v>
      </c>
      <c r="H281">
        <v>3.1406852740762682E-4</v>
      </c>
      <c r="I281">
        <v>3184.018495116859</v>
      </c>
      <c r="J281">
        <v>281</v>
      </c>
      <c r="K281">
        <f t="shared" si="27"/>
        <v>31.406852740762684</v>
      </c>
      <c r="L281">
        <f t="shared" si="28"/>
        <v>3.1406852740762684E-9</v>
      </c>
      <c r="M281">
        <f t="shared" si="32"/>
        <v>56.606112047491386</v>
      </c>
      <c r="N281">
        <f t="shared" si="31"/>
        <v>85.972786167165268</v>
      </c>
      <c r="O281" s="2">
        <f t="shared" si="29"/>
        <v>4.2588707945167593E-6</v>
      </c>
      <c r="P281" s="2">
        <f t="shared" si="30"/>
        <v>0.13364365066765971</v>
      </c>
    </row>
    <row r="282" spans="1:16" x14ac:dyDescent="0.25">
      <c r="A282" s="1">
        <v>44602.333495370367</v>
      </c>
      <c r="B282">
        <v>62770966.103187561</v>
      </c>
      <c r="C282">
        <v>62781183.5625</v>
      </c>
      <c r="D282">
        <v>19537.278959332034</v>
      </c>
      <c r="E282">
        <v>188312.89830955863</v>
      </c>
      <c r="F282">
        <v>1.3458967645078376E+19</v>
      </c>
      <c r="G282">
        <v>3279</v>
      </c>
      <c r="H282">
        <v>3.0812703744891165E-4</v>
      </c>
      <c r="I282">
        <v>3245.4146454635707</v>
      </c>
      <c r="J282">
        <v>282</v>
      </c>
      <c r="K282">
        <f t="shared" si="27"/>
        <v>30.812703744891163</v>
      </c>
      <c r="L282">
        <f t="shared" si="28"/>
        <v>3.0812703744891165E-9</v>
      </c>
      <c r="M282">
        <f t="shared" si="32"/>
        <v>57.149262676876049</v>
      </c>
      <c r="N282">
        <f t="shared" si="31"/>
        <v>58.611836877996105</v>
      </c>
      <c r="O282" s="2">
        <f t="shared" si="29"/>
        <v>4.2461847137119888E-6</v>
      </c>
      <c r="P282" s="2">
        <f t="shared" si="30"/>
        <v>9.0839990314783611E-2</v>
      </c>
    </row>
    <row r="283" spans="1:16" x14ac:dyDescent="0.25">
      <c r="A283" s="1">
        <v>44603.333460648151</v>
      </c>
      <c r="B283">
        <v>154866236.29308319</v>
      </c>
      <c r="C283">
        <v>154827290.43452454</v>
      </c>
      <c r="D283">
        <v>49441.880039310083</v>
      </c>
      <c r="E283">
        <v>464598.70887923241</v>
      </c>
      <c r="F283">
        <v>1.380542603661603E+19</v>
      </c>
      <c r="G283">
        <v>3292</v>
      </c>
      <c r="H283">
        <v>3.2208321451664688E-4</v>
      </c>
      <c r="I283">
        <v>3104.7876912825427</v>
      </c>
      <c r="J283">
        <v>283</v>
      </c>
      <c r="K283">
        <f t="shared" si="27"/>
        <v>32.208321451664688</v>
      </c>
      <c r="L283">
        <f t="shared" si="28"/>
        <v>3.2208321451664687E-9</v>
      </c>
      <c r="M283">
        <f t="shared" si="32"/>
        <v>55.89738482890801</v>
      </c>
      <c r="N283">
        <f t="shared" si="31"/>
        <v>148.32564011793025</v>
      </c>
      <c r="O283" s="2">
        <f t="shared" si="29"/>
        <v>4.0489431242941564E-6</v>
      </c>
      <c r="P283" s="2">
        <f t="shared" si="30"/>
        <v>0.21920515945988844</v>
      </c>
    </row>
    <row r="284" spans="1:16" x14ac:dyDescent="0.25">
      <c r="A284" s="1">
        <v>44604.333483796298</v>
      </c>
      <c r="B284">
        <v>113392189.33626556</v>
      </c>
      <c r="C284">
        <v>113339413.81588745</v>
      </c>
      <c r="D284">
        <v>37998.834874233231</v>
      </c>
      <c r="E284">
        <v>340176.56800879538</v>
      </c>
      <c r="F284">
        <v>1.079686140555607E+19</v>
      </c>
      <c r="G284">
        <v>3294</v>
      </c>
      <c r="H284">
        <v>3.4312910561132634E-4</v>
      </c>
      <c r="I284">
        <v>2914.3549283537986</v>
      </c>
      <c r="J284">
        <v>284</v>
      </c>
      <c r="K284">
        <f t="shared" si="27"/>
        <v>34.312910561132632</v>
      </c>
      <c r="L284">
        <f t="shared" si="28"/>
        <v>3.4312910561132634E-9</v>
      </c>
      <c r="M284">
        <f t="shared" si="32"/>
        <v>54.15602208500755</v>
      </c>
      <c r="N284">
        <f t="shared" si="31"/>
        <v>113.99650462269969</v>
      </c>
      <c r="O284" s="2">
        <f t="shared" si="29"/>
        <v>5.0159041642545156E-6</v>
      </c>
      <c r="P284" s="2">
        <f t="shared" si="30"/>
        <v>0.20870537292032235</v>
      </c>
    </row>
    <row r="285" spans="1:16" x14ac:dyDescent="0.25">
      <c r="A285" s="1">
        <v>44605.333356481482</v>
      </c>
      <c r="B285">
        <v>62517725.141021729</v>
      </c>
      <c r="C285">
        <v>62525940.396347046</v>
      </c>
      <c r="D285">
        <v>21450.558121617883</v>
      </c>
      <c r="E285">
        <v>187553.17542307079</v>
      </c>
      <c r="F285">
        <v>1.0751998240670677E+19</v>
      </c>
      <c r="G285">
        <v>3300</v>
      </c>
      <c r="H285">
        <v>3.3995295572189775E-4</v>
      </c>
      <c r="I285">
        <v>2941.5834843279345</v>
      </c>
      <c r="J285">
        <v>285</v>
      </c>
      <c r="K285">
        <f t="shared" si="27"/>
        <v>33.995295572189775</v>
      </c>
      <c r="L285">
        <f t="shared" si="28"/>
        <v>3.3995295572189777E-9</v>
      </c>
      <c r="M285">
        <f t="shared" si="32"/>
        <v>54.408421341452545</v>
      </c>
      <c r="N285">
        <f t="shared" si="31"/>
        <v>64.35167436485365</v>
      </c>
      <c r="O285" s="2">
        <f t="shared" si="29"/>
        <v>5.0603078724144874E-6</v>
      </c>
      <c r="P285" s="2">
        <f t="shared" si="30"/>
        <v>0.11885833880290571</v>
      </c>
    </row>
    <row r="286" spans="1:16" x14ac:dyDescent="0.25">
      <c r="A286" s="1">
        <v>44606.333472222221</v>
      </c>
      <c r="B286">
        <v>59895664.506752014</v>
      </c>
      <c r="C286">
        <v>59891767.658416748</v>
      </c>
      <c r="D286">
        <v>20779.963052172214</v>
      </c>
      <c r="E286">
        <v>179686.99352025986</v>
      </c>
      <c r="F286">
        <v>1.0832437284677689E+19</v>
      </c>
      <c r="G286">
        <v>3301</v>
      </c>
      <c r="H286">
        <v>3.4230662425364228E-4</v>
      </c>
      <c r="I286">
        <v>2921.3574297032014</v>
      </c>
      <c r="J286">
        <v>286</v>
      </c>
      <c r="K286">
        <f t="shared" si="27"/>
        <v>34.23066242536423</v>
      </c>
      <c r="L286">
        <f t="shared" si="28"/>
        <v>3.4230662425364228E-9</v>
      </c>
      <c r="M286">
        <f t="shared" si="32"/>
        <v>54.221045066401132</v>
      </c>
      <c r="N286">
        <f t="shared" si="31"/>
        <v>62.339889156516641</v>
      </c>
      <c r="O286" s="2">
        <f t="shared" si="29"/>
        <v>5.0054335549300557E-6</v>
      </c>
      <c r="P286" s="2">
        <f t="shared" si="30"/>
        <v>0.11389393314304679</v>
      </c>
    </row>
    <row r="287" spans="1:16" x14ac:dyDescent="0.25">
      <c r="A287" s="1">
        <v>44607.333472222221</v>
      </c>
      <c r="B287">
        <v>63245924.300682068</v>
      </c>
      <c r="C287">
        <v>63290889.285934448</v>
      </c>
      <c r="D287">
        <v>21297.937216520309</v>
      </c>
      <c r="E287">
        <v>189737.77290205657</v>
      </c>
      <c r="F287">
        <v>1.3870379139238937E+19</v>
      </c>
      <c r="G287">
        <v>3309</v>
      </c>
      <c r="H287">
        <v>3.2208321451664688E-4</v>
      </c>
      <c r="I287">
        <v>3104.7876912825427</v>
      </c>
      <c r="J287">
        <v>287</v>
      </c>
      <c r="K287">
        <f t="shared" si="27"/>
        <v>32.208321451664688</v>
      </c>
      <c r="L287">
        <f t="shared" si="28"/>
        <v>3.2208321451664687E-9</v>
      </c>
      <c r="M287">
        <f t="shared" si="32"/>
        <v>55.89738482890801</v>
      </c>
      <c r="N287">
        <f t="shared" si="31"/>
        <v>63.893811649560931</v>
      </c>
      <c r="O287" s="2">
        <f t="shared" si="29"/>
        <v>4.0299824732819152E-6</v>
      </c>
      <c r="P287" s="2">
        <f t="shared" si="30"/>
        <v>9.3984193501100835E-2</v>
      </c>
    </row>
    <row r="288" spans="1:16" x14ac:dyDescent="0.25">
      <c r="A288" s="1">
        <v>44608.333599537036</v>
      </c>
      <c r="B288">
        <v>62733094.86631012</v>
      </c>
      <c r="C288">
        <v>62739823.116691589</v>
      </c>
      <c r="D288">
        <v>20003.464609779418</v>
      </c>
      <c r="E288">
        <v>188199.28459890187</v>
      </c>
      <c r="F288">
        <v>1.3911968664198566E+19</v>
      </c>
      <c r="G288">
        <v>3310</v>
      </c>
      <c r="H288">
        <v>3.2025265377452164E-4</v>
      </c>
      <c r="I288">
        <v>3122.5346245032647</v>
      </c>
      <c r="J288">
        <v>288</v>
      </c>
      <c r="K288">
        <f t="shared" si="27"/>
        <v>32.025265377452165</v>
      </c>
      <c r="L288">
        <f t="shared" si="28"/>
        <v>3.2025265377452165E-9</v>
      </c>
      <c r="M288">
        <f t="shared" si="32"/>
        <v>56.056911617162875</v>
      </c>
      <c r="N288">
        <f t="shared" si="31"/>
        <v>60.010393829338256</v>
      </c>
      <c r="O288" s="2">
        <f t="shared" si="29"/>
        <v>4.0294018028822359E-6</v>
      </c>
      <c r="P288" s="2">
        <f t="shared" si="30"/>
        <v>8.8259186016977131E-2</v>
      </c>
    </row>
    <row r="289" spans="1:16" x14ac:dyDescent="0.25">
      <c r="A289" s="1">
        <v>44609.333368055559</v>
      </c>
      <c r="B289">
        <v>90457001.441650391</v>
      </c>
      <c r="C289">
        <v>90438271.516517639</v>
      </c>
      <c r="D289">
        <v>29186.191247602925</v>
      </c>
      <c r="E289">
        <v>271371.00432497263</v>
      </c>
      <c r="F289">
        <v>1.356777918794179E+19</v>
      </c>
      <c r="G289">
        <v>3312</v>
      </c>
      <c r="H289">
        <v>3.2580836378541777E-4</v>
      </c>
      <c r="I289">
        <v>3069.2889169002883</v>
      </c>
      <c r="J289">
        <v>289</v>
      </c>
      <c r="K289">
        <f t="shared" si="27"/>
        <v>32.580836378541775</v>
      </c>
      <c r="L289">
        <f t="shared" si="28"/>
        <v>3.2580836378541778E-9</v>
      </c>
      <c r="M289">
        <f t="shared" si="32"/>
        <v>55.576913128520083</v>
      </c>
      <c r="N289">
        <f t="shared" si="31"/>
        <v>87.558573742808775</v>
      </c>
      <c r="O289" s="2">
        <f t="shared" si="29"/>
        <v>4.0962424549121078E-6</v>
      </c>
      <c r="P289" s="2">
        <f t="shared" si="30"/>
        <v>0.13091131867574873</v>
      </c>
    </row>
    <row r="290" spans="1:16" x14ac:dyDescent="0.25">
      <c r="A290" s="1">
        <v>44610.333553240744</v>
      </c>
      <c r="B290">
        <v>77810378.631813049</v>
      </c>
      <c r="C290">
        <v>77766924.024353027</v>
      </c>
      <c r="D290">
        <v>26527.486168766394</v>
      </c>
      <c r="E290">
        <v>233431.13589541614</v>
      </c>
      <c r="F290">
        <v>1.1658102028959719E+19</v>
      </c>
      <c r="G290">
        <v>3324</v>
      </c>
      <c r="H290">
        <v>3.4512493695015292E-4</v>
      </c>
      <c r="I290">
        <v>2897.5014348048458</v>
      </c>
      <c r="J290">
        <v>290</v>
      </c>
      <c r="K290">
        <f t="shared" si="27"/>
        <v>34.512493695015294</v>
      </c>
      <c r="L290">
        <f t="shared" si="28"/>
        <v>3.4512493695015293E-9</v>
      </c>
      <c r="M290">
        <f t="shared" si="32"/>
        <v>53.999204956420421</v>
      </c>
      <c r="N290">
        <f t="shared" si="31"/>
        <v>79.58245850629919</v>
      </c>
      <c r="O290" s="2">
        <f t="shared" si="29"/>
        <v>4.6319036170966587E-6</v>
      </c>
      <c r="P290" s="2">
        <f t="shared" si="30"/>
        <v>0.13454567125566178</v>
      </c>
    </row>
    <row r="291" spans="1:16" x14ac:dyDescent="0.25">
      <c r="A291" s="1">
        <v>44611.333460648151</v>
      </c>
      <c r="B291">
        <v>84694808.304130554</v>
      </c>
      <c r="C291">
        <v>84651631.241256714</v>
      </c>
      <c r="D291">
        <v>30266.845517164096</v>
      </c>
      <c r="E291">
        <v>254084.42491240799</v>
      </c>
      <c r="F291">
        <v>9.7263049763676877E+18</v>
      </c>
      <c r="G291">
        <v>3324</v>
      </c>
      <c r="H291">
        <v>3.680442858005025E-4</v>
      </c>
      <c r="I291">
        <v>2717.0643278022458</v>
      </c>
      <c r="J291">
        <v>291</v>
      </c>
      <c r="K291">
        <f t="shared" si="27"/>
        <v>36.804428580050249</v>
      </c>
      <c r="L291">
        <f t="shared" si="28"/>
        <v>3.6804428580050249E-9</v>
      </c>
      <c r="M291">
        <f t="shared" si="32"/>
        <v>52.290825279683233</v>
      </c>
      <c r="N291">
        <f t="shared" si="31"/>
        <v>90.800536551492286</v>
      </c>
      <c r="O291" s="2">
        <f t="shared" si="29"/>
        <v>5.376227190771409E-6</v>
      </c>
      <c r="P291" s="2">
        <f t="shared" si="30"/>
        <v>0.17817997444383959</v>
      </c>
    </row>
    <row r="292" spans="1:16" x14ac:dyDescent="0.25">
      <c r="A292" s="1">
        <v>44612.333495370367</v>
      </c>
      <c r="B292">
        <v>54346438.735595703</v>
      </c>
      <c r="C292">
        <v>54330622.154960632</v>
      </c>
      <c r="D292">
        <v>20170.584244936705</v>
      </c>
      <c r="E292">
        <v>163039.31620678306</v>
      </c>
      <c r="F292">
        <v>9.5850633100909445E+18</v>
      </c>
      <c r="G292">
        <v>3324</v>
      </c>
      <c r="H292">
        <v>3.7985959320770878E-4</v>
      </c>
      <c r="I292">
        <v>2632.5516529819374</v>
      </c>
      <c r="J292">
        <v>292</v>
      </c>
      <c r="K292">
        <f t="shared" si="27"/>
        <v>37.985959320770881</v>
      </c>
      <c r="L292">
        <f t="shared" si="28"/>
        <v>3.7985959320770881E-9</v>
      </c>
      <c r="M292">
        <f t="shared" si="32"/>
        <v>51.471163600700891</v>
      </c>
      <c r="N292">
        <f t="shared" si="31"/>
        <v>60.511752734810116</v>
      </c>
      <c r="O292" s="2">
        <f t="shared" si="29"/>
        <v>5.3699346509806754E-6</v>
      </c>
      <c r="P292" s="2">
        <f t="shared" si="30"/>
        <v>0.11860461759781449</v>
      </c>
    </row>
    <row r="293" spans="1:16" x14ac:dyDescent="0.25">
      <c r="A293" s="1">
        <v>44613.333379629628</v>
      </c>
      <c r="B293">
        <v>74071459.199897766</v>
      </c>
      <c r="C293">
        <v>74065733.293571472</v>
      </c>
      <c r="D293">
        <v>27866.831454772502</v>
      </c>
      <c r="E293">
        <v>222214.37759970129</v>
      </c>
      <c r="F293">
        <v>9.6362183218799288E+18</v>
      </c>
      <c r="G293">
        <v>3321</v>
      </c>
      <c r="H293">
        <v>3.8379216838900732E-4</v>
      </c>
      <c r="I293">
        <v>2605.5768782296036</v>
      </c>
      <c r="J293">
        <v>293</v>
      </c>
      <c r="K293">
        <f t="shared" si="27"/>
        <v>38.379216838900732</v>
      </c>
      <c r="L293">
        <f t="shared" si="28"/>
        <v>3.8379216838900728E-9</v>
      </c>
      <c r="M293">
        <f t="shared" si="32"/>
        <v>51.206781694749736</v>
      </c>
      <c r="N293">
        <f t="shared" si="31"/>
        <v>83.600494364317512</v>
      </c>
      <c r="O293" s="2">
        <f t="shared" si="29"/>
        <v>5.313991441899981E-6</v>
      </c>
      <c r="P293" s="2">
        <f t="shared" si="30"/>
        <v>0.16215209373056566</v>
      </c>
    </row>
    <row r="294" spans="1:16" x14ac:dyDescent="0.25">
      <c r="A294" s="1">
        <v>44614.333391203705</v>
      </c>
      <c r="B294">
        <v>156955923.43130493</v>
      </c>
      <c r="C294">
        <v>156966055.60031891</v>
      </c>
      <c r="D294">
        <v>59963.738637467846</v>
      </c>
      <c r="E294">
        <v>470867.77029390633</v>
      </c>
      <c r="F294">
        <v>1.003044421005789E+19</v>
      </c>
      <c r="G294">
        <v>3327</v>
      </c>
      <c r="H294">
        <v>3.8421455092326617E-4</v>
      </c>
      <c r="I294">
        <v>2602.7124625993565</v>
      </c>
      <c r="J294">
        <v>294</v>
      </c>
      <c r="K294">
        <f t="shared" si="27"/>
        <v>38.421455092326617</v>
      </c>
      <c r="L294">
        <f t="shared" si="28"/>
        <v>3.8421455092326614E-9</v>
      </c>
      <c r="M294">
        <f t="shared" si="32"/>
        <v>51.178627115742039</v>
      </c>
      <c r="N294">
        <f t="shared" si="31"/>
        <v>179.89121591240354</v>
      </c>
      <c r="O294" s="2">
        <f t="shared" si="29"/>
        <v>5.1023290737635902E-6</v>
      </c>
      <c r="P294" s="2">
        <f t="shared" si="30"/>
        <v>0.33502042608855709</v>
      </c>
    </row>
    <row r="295" spans="1:16" x14ac:dyDescent="0.25">
      <c r="A295" s="1">
        <v>44615.333518518521</v>
      </c>
      <c r="B295">
        <v>86307765.129165649</v>
      </c>
      <c r="C295">
        <v>86341251.738265991</v>
      </c>
      <c r="D295">
        <v>32756.79897502251</v>
      </c>
      <c r="E295">
        <v>258923.29538750648</v>
      </c>
      <c r="F295">
        <v>1.0767501153197525E+19</v>
      </c>
      <c r="G295">
        <v>3333</v>
      </c>
      <c r="H295">
        <v>3.6478338722131093E-4</v>
      </c>
      <c r="I295">
        <v>2741.3529097839883</v>
      </c>
      <c r="J295">
        <v>295</v>
      </c>
      <c r="K295">
        <f t="shared" si="27"/>
        <v>36.478338722131092</v>
      </c>
      <c r="L295">
        <f t="shared" si="28"/>
        <v>3.6478338722131092E-9</v>
      </c>
      <c r="M295">
        <f t="shared" si="32"/>
        <v>52.524026279736368</v>
      </c>
      <c r="N295">
        <f t="shared" si="31"/>
        <v>98.27039692506753</v>
      </c>
      <c r="O295" s="2">
        <f t="shared" si="29"/>
        <v>4.8780144559481934E-6</v>
      </c>
      <c r="P295" s="2">
        <f t="shared" si="30"/>
        <v>0.1749680121291699</v>
      </c>
    </row>
    <row r="296" spans="1:16" x14ac:dyDescent="0.25">
      <c r="A296" s="1">
        <v>44616.333333333336</v>
      </c>
      <c r="B296">
        <v>152896165.94574738</v>
      </c>
      <c r="C296">
        <v>152816474.01452637</v>
      </c>
      <c r="D296">
        <v>62207.758112870157</v>
      </c>
      <c r="E296">
        <v>458688.49783724546</v>
      </c>
      <c r="F296">
        <v>7.1572833521075814E+18</v>
      </c>
      <c r="G296">
        <v>3330</v>
      </c>
      <c r="H296">
        <v>4.2161664551963122E-4</v>
      </c>
      <c r="I296">
        <v>2371.8228647436981</v>
      </c>
      <c r="J296">
        <v>296</v>
      </c>
      <c r="K296">
        <f t="shared" si="27"/>
        <v>42.161664551963121</v>
      </c>
      <c r="L296">
        <f t="shared" si="28"/>
        <v>4.2161664551963118E-9</v>
      </c>
      <c r="M296">
        <f t="shared" si="32"/>
        <v>48.855859889604638</v>
      </c>
      <c r="N296">
        <f t="shared" si="31"/>
        <v>186.62327433861049</v>
      </c>
      <c r="O296" s="2">
        <f t="shared" si="29"/>
        <v>6.8260340531604375E-6</v>
      </c>
      <c r="P296" s="2">
        <f t="shared" si="30"/>
        <v>0.46497234139789501</v>
      </c>
    </row>
    <row r="297" spans="1:16" x14ac:dyDescent="0.25">
      <c r="A297" s="1">
        <v>44617.333368055559</v>
      </c>
      <c r="B297">
        <v>170762516.96333313</v>
      </c>
      <c r="C297">
        <v>170827062.77908325</v>
      </c>
      <c r="D297">
        <v>66825.839307202026</v>
      </c>
      <c r="E297">
        <v>512287.55088999867</v>
      </c>
      <c r="F297">
        <v>7.2773548496623995E+18</v>
      </c>
      <c r="G297">
        <v>3316</v>
      </c>
      <c r="H297">
        <v>3.6907620221461113E-4</v>
      </c>
      <c r="I297">
        <v>2709.4675679428337</v>
      </c>
      <c r="J297">
        <v>297</v>
      </c>
      <c r="K297">
        <f t="shared" si="27"/>
        <v>36.907620221461116</v>
      </c>
      <c r="L297">
        <f t="shared" si="28"/>
        <v>3.6907620221461115E-9</v>
      </c>
      <c r="M297">
        <f t="shared" si="32"/>
        <v>52.217673000387805</v>
      </c>
      <c r="N297">
        <f t="shared" si="31"/>
        <v>200.47751792160608</v>
      </c>
      <c r="O297" s="2">
        <f t="shared" si="29"/>
        <v>7.1753644118110041E-6</v>
      </c>
      <c r="P297" s="2">
        <f t="shared" si="30"/>
        <v>0.52505222532395668</v>
      </c>
    </row>
    <row r="298" spans="1:16" x14ac:dyDescent="0.25">
      <c r="A298" s="1">
        <v>44618.333449074074</v>
      </c>
      <c r="B298">
        <v>103767133.24059296</v>
      </c>
      <c r="C298">
        <v>103781626.14048767</v>
      </c>
      <c r="D298">
        <v>37662.56890197657</v>
      </c>
      <c r="E298">
        <v>311301.39972177148</v>
      </c>
      <c r="F298">
        <v>7.5664519404890266E+18</v>
      </c>
      <c r="G298">
        <v>3324</v>
      </c>
      <c r="H298">
        <v>3.6274641095655801E-4</v>
      </c>
      <c r="I298">
        <v>2756.7467790046821</v>
      </c>
      <c r="J298">
        <v>298</v>
      </c>
      <c r="K298">
        <f t="shared" si="27"/>
        <v>36.274641095655802</v>
      </c>
      <c r="L298">
        <f t="shared" si="28"/>
        <v>3.6274641095655802E-9</v>
      </c>
      <c r="M298">
        <f t="shared" si="32"/>
        <v>52.671292266315255</v>
      </c>
      <c r="N298">
        <f t="shared" si="31"/>
        <v>112.98770670592971</v>
      </c>
      <c r="O298" s="2">
        <f t="shared" si="29"/>
        <v>6.9611612788372589E-6</v>
      </c>
      <c r="P298" s="2">
        <f t="shared" si="30"/>
        <v>0.28708186185066764</v>
      </c>
    </row>
    <row r="299" spans="1:16" x14ac:dyDescent="0.25">
      <c r="A299" s="1">
        <v>44619.333449074074</v>
      </c>
      <c r="B299">
        <v>53187343.471336365</v>
      </c>
      <c r="C299">
        <v>53198916.196632385</v>
      </c>
      <c r="D299">
        <v>19185.823074737564</v>
      </c>
      <c r="E299">
        <v>159562.03041401505</v>
      </c>
      <c r="F299">
        <v>7.6424835138746173E+18</v>
      </c>
      <c r="G299">
        <v>3323</v>
      </c>
      <c r="H299">
        <v>3.5361377011717182E-4</v>
      </c>
      <c r="I299">
        <v>2827.9441710333981</v>
      </c>
      <c r="J299">
        <v>299</v>
      </c>
      <c r="K299">
        <f t="shared" si="27"/>
        <v>35.361377011717181</v>
      </c>
      <c r="L299">
        <f t="shared" si="28"/>
        <v>3.5361377011717181E-9</v>
      </c>
      <c r="M299">
        <f t="shared" si="32"/>
        <v>53.347116677850536</v>
      </c>
      <c r="N299">
        <f t="shared" si="31"/>
        <v>57.557469224212696</v>
      </c>
      <c r="O299" s="2">
        <f t="shared" si="29"/>
        <v>6.9803378157114793E-6</v>
      </c>
      <c r="P299" s="2">
        <f t="shared" si="30"/>
        <v>0.14664626133588388</v>
      </c>
    </row>
    <row r="300" spans="1:16" x14ac:dyDescent="0.25">
      <c r="A300" s="1">
        <v>44620.333402777775</v>
      </c>
      <c r="B300">
        <v>131446859.20440674</v>
      </c>
      <c r="C300">
        <v>131408333.10742187</v>
      </c>
      <c r="D300">
        <v>49488.400560723618</v>
      </c>
      <c r="E300">
        <v>394340.57761320472</v>
      </c>
      <c r="F300">
        <v>9.3777098648245309E+18</v>
      </c>
      <c r="G300">
        <v>3332</v>
      </c>
      <c r="H300">
        <v>3.7849462533567826E-4</v>
      </c>
      <c r="I300">
        <v>2642.045442820021</v>
      </c>
      <c r="J300">
        <v>300</v>
      </c>
      <c r="K300">
        <f t="shared" si="27"/>
        <v>37.849462533567824</v>
      </c>
      <c r="L300">
        <f t="shared" si="28"/>
        <v>3.7849462533567824E-9</v>
      </c>
      <c r="M300">
        <f t="shared" si="32"/>
        <v>51.56389048807867</v>
      </c>
      <c r="N300">
        <f t="shared" si="31"/>
        <v>148.46520168217086</v>
      </c>
      <c r="O300" s="2">
        <f t="shared" si="29"/>
        <v>5.4985589479040141E-6</v>
      </c>
      <c r="P300" s="2">
        <f t="shared" si="30"/>
        <v>0.29796580205408424</v>
      </c>
    </row>
    <row r="301" spans="1:16" x14ac:dyDescent="0.25">
      <c r="A301" s="1">
        <v>44621.333854166667</v>
      </c>
      <c r="B301">
        <v>88922869.613647461</v>
      </c>
      <c r="C301">
        <v>88980539.54158783</v>
      </c>
      <c r="D301">
        <v>31288.968667326495</v>
      </c>
      <c r="E301">
        <v>266768.60884097219</v>
      </c>
      <c r="F301">
        <v>7.9475060064762132E+18</v>
      </c>
      <c r="G301">
        <v>3331</v>
      </c>
      <c r="H301">
        <v>3.3981700852810673E-4</v>
      </c>
      <c r="I301">
        <v>2942.7602942284411</v>
      </c>
      <c r="J301">
        <v>301</v>
      </c>
      <c r="K301">
        <f t="shared" si="27"/>
        <v>33.981700852810675</v>
      </c>
      <c r="L301">
        <f t="shared" si="28"/>
        <v>3.3981700852810672E-9</v>
      </c>
      <c r="M301">
        <f t="shared" si="32"/>
        <v>54.419303569805045</v>
      </c>
      <c r="N301">
        <f t="shared" si="31"/>
        <v>93.866906001979487</v>
      </c>
      <c r="O301" s="2">
        <f t="shared" si="29"/>
        <v>6.8473434968731308E-6</v>
      </c>
      <c r="P301" s="2">
        <f t="shared" si="30"/>
        <v>0.23459971616025332</v>
      </c>
    </row>
    <row r="302" spans="1:16" x14ac:dyDescent="0.25">
      <c r="A302" s="1">
        <v>44622.333483796298</v>
      </c>
      <c r="B302">
        <v>113666361.6975708</v>
      </c>
      <c r="C302">
        <v>113713570.3602829</v>
      </c>
      <c r="D302">
        <v>38102.246144244447</v>
      </c>
      <c r="E302">
        <v>340999.08509269357</v>
      </c>
      <c r="F302">
        <v>8.2449231969546506E+18</v>
      </c>
      <c r="G302">
        <v>3327</v>
      </c>
      <c r="H302">
        <v>3.3462417368467325E-4</v>
      </c>
      <c r="I302">
        <v>2988.4272525461088</v>
      </c>
      <c r="J302">
        <v>302</v>
      </c>
      <c r="K302">
        <f t="shared" si="27"/>
        <v>33.462417368467328</v>
      </c>
      <c r="L302">
        <f t="shared" si="28"/>
        <v>3.3462417368467326E-9</v>
      </c>
      <c r="M302">
        <f t="shared" si="32"/>
        <v>54.839928504262204</v>
      </c>
      <c r="N302">
        <f t="shared" si="31"/>
        <v>114.30673843273334</v>
      </c>
      <c r="O302" s="2">
        <f t="shared" si="29"/>
        <v>6.6513571071854146E-6</v>
      </c>
      <c r="P302" s="2">
        <f t="shared" si="30"/>
        <v>0.27750765203191696</v>
      </c>
    </row>
    <row r="303" spans="1:16" x14ac:dyDescent="0.25">
      <c r="A303" s="1">
        <v>44623.333495370367</v>
      </c>
      <c r="B303">
        <v>69799968.271644592</v>
      </c>
      <c r="C303">
        <v>69786764.26386261</v>
      </c>
      <c r="D303">
        <v>23625.795561619103</v>
      </c>
      <c r="E303">
        <v>209399.90481492877</v>
      </c>
      <c r="F303">
        <v>8.1715774834862879E+18</v>
      </c>
      <c r="G303">
        <v>3330</v>
      </c>
      <c r="H303">
        <v>3.4275188996226304E-4</v>
      </c>
      <c r="I303">
        <v>2917.5623221511628</v>
      </c>
      <c r="J303">
        <v>303</v>
      </c>
      <c r="K303">
        <f t="shared" si="27"/>
        <v>34.275188996226305</v>
      </c>
      <c r="L303">
        <f t="shared" si="28"/>
        <v>3.4275188996226305E-9</v>
      </c>
      <c r="M303">
        <f t="shared" si="32"/>
        <v>54.185814599743964</v>
      </c>
      <c r="N303">
        <f t="shared" si="31"/>
        <v>70.877386684857314</v>
      </c>
      <c r="O303" s="2">
        <f t="shared" si="29"/>
        <v>6.6310103170711598E-6</v>
      </c>
      <c r="P303" s="2">
        <f t="shared" si="30"/>
        <v>0.17154586905933078</v>
      </c>
    </row>
    <row r="304" spans="1:16" x14ac:dyDescent="0.25">
      <c r="A304" s="1">
        <v>44624.333356481482</v>
      </c>
      <c r="B304">
        <v>55186445.267738342</v>
      </c>
      <c r="C304">
        <v>55150212.909851074</v>
      </c>
      <c r="D304">
        <v>19790.062458734959</v>
      </c>
      <c r="E304">
        <v>165559.33580321074</v>
      </c>
      <c r="F304">
        <v>7.9820367496259072E+18</v>
      </c>
      <c r="G304">
        <v>3337</v>
      </c>
      <c r="H304">
        <v>3.6642852900105598E-4</v>
      </c>
      <c r="I304">
        <v>2729.045150294829</v>
      </c>
      <c r="J304">
        <v>304</v>
      </c>
      <c r="K304">
        <f t="shared" si="27"/>
        <v>36.642852900105595</v>
      </c>
      <c r="L304">
        <f t="shared" si="28"/>
        <v>3.6642852900105597E-9</v>
      </c>
      <c r="M304">
        <f t="shared" si="32"/>
        <v>52.405985967671043</v>
      </c>
      <c r="N304">
        <f t="shared" si="31"/>
        <v>59.370187376204882</v>
      </c>
      <c r="O304" s="2">
        <f t="shared" si="29"/>
        <v>6.5654904395331359E-6</v>
      </c>
      <c r="P304" s="2">
        <f t="shared" si="30"/>
        <v>0.14227495512829388</v>
      </c>
    </row>
    <row r="305" spans="1:16" x14ac:dyDescent="0.25">
      <c r="A305" s="1">
        <v>44625.333437499998</v>
      </c>
      <c r="B305">
        <v>54321649.018104553</v>
      </c>
      <c r="C305">
        <v>54308376.02116394</v>
      </c>
      <c r="D305">
        <v>20443.404260316864</v>
      </c>
      <c r="E305">
        <v>162964.94705432653</v>
      </c>
      <c r="F305">
        <v>1.0168480294410013E+19</v>
      </c>
      <c r="G305">
        <v>3355</v>
      </c>
      <c r="H305">
        <v>3.7559155304298141E-4</v>
      </c>
      <c r="I305">
        <v>2662.4666926030773</v>
      </c>
      <c r="J305">
        <v>305</v>
      </c>
      <c r="K305">
        <f t="shared" si="27"/>
        <v>37.559155304298137</v>
      </c>
      <c r="L305">
        <f t="shared" si="28"/>
        <v>3.7559155304298144E-9</v>
      </c>
      <c r="M305">
        <f t="shared" si="32"/>
        <v>51.76278414657039</v>
      </c>
      <c r="N305">
        <f t="shared" si="31"/>
        <v>61.330212780950589</v>
      </c>
      <c r="O305" s="2">
        <f t="shared" si="29"/>
        <v>5.0905132967633611E-6</v>
      </c>
      <c r="P305" s="2">
        <f t="shared" si="30"/>
        <v>0.11395382623398566</v>
      </c>
    </row>
    <row r="306" spans="1:16" x14ac:dyDescent="0.25">
      <c r="A306" s="1">
        <v>44626.333425925928</v>
      </c>
      <c r="B306">
        <v>31102287.811103821</v>
      </c>
      <c r="C306">
        <v>31093071.919754028</v>
      </c>
      <c r="D306">
        <v>11770.602577717975</v>
      </c>
      <c r="E306">
        <v>93306.863433301449</v>
      </c>
      <c r="F306">
        <v>1.2206202758180708E+19</v>
      </c>
      <c r="G306">
        <v>3366</v>
      </c>
      <c r="H306">
        <v>3.8260431418396534E-4</v>
      </c>
      <c r="I306">
        <v>2613.6662942048688</v>
      </c>
      <c r="J306">
        <v>306</v>
      </c>
      <c r="K306">
        <f t="shared" si="27"/>
        <v>38.260431418396536</v>
      </c>
      <c r="L306">
        <f t="shared" si="28"/>
        <v>3.8260431418396535E-9</v>
      </c>
      <c r="M306">
        <f t="shared" si="32"/>
        <v>51.28620977590024</v>
      </c>
      <c r="N306">
        <f t="shared" si="31"/>
        <v>35.311807733153927</v>
      </c>
      <c r="O306" s="2">
        <f t="shared" si="29"/>
        <v>4.201651471136489E-6</v>
      </c>
      <c r="P306" s="2">
        <f t="shared" si="30"/>
        <v>5.4154286752330694E-2</v>
      </c>
    </row>
    <row r="307" spans="1:16" x14ac:dyDescent="0.25">
      <c r="A307" s="1">
        <v>44627.333333333336</v>
      </c>
      <c r="B307">
        <v>69960164.775337219</v>
      </c>
      <c r="C307">
        <v>69943253.329017639</v>
      </c>
      <c r="D307">
        <v>27228.125861573964</v>
      </c>
      <c r="E307">
        <v>209880.49432602525</v>
      </c>
      <c r="F307">
        <v>1.2282178824478964E+19</v>
      </c>
      <c r="G307">
        <v>3376</v>
      </c>
      <c r="H307">
        <v>3.8998191956941293E-4</v>
      </c>
      <c r="I307">
        <v>2564.2214416097049</v>
      </c>
      <c r="J307">
        <v>307</v>
      </c>
      <c r="K307">
        <f t="shared" si="27"/>
        <v>38.998191956941291</v>
      </c>
      <c r="L307">
        <f t="shared" si="28"/>
        <v>3.8998191956941291E-9</v>
      </c>
      <c r="M307">
        <f t="shared" si="32"/>
        <v>50.798782015440182</v>
      </c>
      <c r="N307">
        <f t="shared" si="31"/>
        <v>81.684377584721901</v>
      </c>
      <c r="O307" s="2">
        <f t="shared" si="29"/>
        <v>4.1359747925340254E-6</v>
      </c>
      <c r="P307" s="2">
        <f t="shared" si="30"/>
        <v>0.12331325222149803</v>
      </c>
    </row>
    <row r="308" spans="1:16" x14ac:dyDescent="0.25">
      <c r="A308" s="1">
        <v>44628.333368055559</v>
      </c>
      <c r="B308">
        <v>131723133.56208038</v>
      </c>
      <c r="C308">
        <v>131730255.93927765</v>
      </c>
      <c r="D308">
        <v>51841.40848974511</v>
      </c>
      <c r="E308">
        <v>395169.40068623424</v>
      </c>
      <c r="F308">
        <v>1.2944387205021319E+19</v>
      </c>
      <c r="G308">
        <v>3390</v>
      </c>
      <c r="H308">
        <v>3.8838634663602843E-4</v>
      </c>
      <c r="I308">
        <v>2574.7558034967124</v>
      </c>
      <c r="J308">
        <v>308</v>
      </c>
      <c r="K308">
        <f t="shared" si="27"/>
        <v>38.838634663602839</v>
      </c>
      <c r="L308">
        <f t="shared" si="28"/>
        <v>3.8838634663602839E-9</v>
      </c>
      <c r="M308">
        <f t="shared" si="32"/>
        <v>50.903021115277447</v>
      </c>
      <c r="N308">
        <f t="shared" si="31"/>
        <v>155.52422546923535</v>
      </c>
      <c r="O308" s="2">
        <f t="shared" si="29"/>
        <v>3.9324396210530085E-6</v>
      </c>
      <c r="P308" s="2">
        <f t="shared" si="30"/>
        <v>0.2232302135881129</v>
      </c>
    </row>
    <row r="309" spans="1:16" x14ac:dyDescent="0.25">
      <c r="A309" s="1">
        <v>44629.333333333336</v>
      </c>
      <c r="B309">
        <v>118022909.83753204</v>
      </c>
      <c r="C309">
        <v>118071381.0737381</v>
      </c>
      <c r="D309">
        <v>45168.634209061041</v>
      </c>
      <c r="E309">
        <v>354068.72951260209</v>
      </c>
      <c r="F309">
        <v>1.264742813663164E+19</v>
      </c>
      <c r="G309">
        <v>3396</v>
      </c>
      <c r="H309">
        <v>3.6511182362247588E-4</v>
      </c>
      <c r="I309">
        <v>2738.8869253218045</v>
      </c>
      <c r="J309">
        <v>309</v>
      </c>
      <c r="K309">
        <f t="shared" si="27"/>
        <v>36.511182362247588</v>
      </c>
      <c r="L309">
        <f t="shared" si="28"/>
        <v>3.651118236224759E-9</v>
      </c>
      <c r="M309">
        <f t="shared" si="32"/>
        <v>52.500396966350706</v>
      </c>
      <c r="N309">
        <f t="shared" si="31"/>
        <v>135.50590262718313</v>
      </c>
      <c r="O309" s="2">
        <f t="shared" si="29"/>
        <v>4.1510729611730383E-6</v>
      </c>
      <c r="P309" s="2">
        <f t="shared" si="30"/>
        <v>0.20531063429339194</v>
      </c>
    </row>
    <row r="310" spans="1:16" x14ac:dyDescent="0.25">
      <c r="A310" s="1">
        <v>44630.33357638889</v>
      </c>
      <c r="B310">
        <v>73833453.797286987</v>
      </c>
      <c r="C310">
        <v>73785863.017677307</v>
      </c>
      <c r="D310">
        <v>27606.358564922586</v>
      </c>
      <c r="E310">
        <v>221500.36139184237</v>
      </c>
      <c r="F310">
        <v>1.4809137671428542E+19</v>
      </c>
      <c r="G310">
        <v>3415</v>
      </c>
      <c r="H310">
        <v>3.8413771953798139E-4</v>
      </c>
      <c r="I310">
        <v>2603.2330311190012</v>
      </c>
      <c r="J310">
        <v>310</v>
      </c>
      <c r="K310">
        <f t="shared" si="27"/>
        <v>38.41377195379814</v>
      </c>
      <c r="L310">
        <f t="shared" si="28"/>
        <v>3.8413771953798139E-9</v>
      </c>
      <c r="M310">
        <f t="shared" si="32"/>
        <v>51.183744978453618</v>
      </c>
      <c r="N310">
        <f t="shared" si="31"/>
        <v>82.819075694767761</v>
      </c>
      <c r="O310" s="2">
        <f t="shared" si="29"/>
        <v>3.4562272371336695E-6</v>
      </c>
      <c r="P310" s="2">
        <f t="shared" si="30"/>
        <v>0.10447816398722935</v>
      </c>
    </row>
    <row r="311" spans="1:16" x14ac:dyDescent="0.25">
      <c r="A311" s="1">
        <v>44631.333414351851</v>
      </c>
      <c r="B311">
        <v>89397729.211929321</v>
      </c>
      <c r="C311">
        <v>89402499.521362305</v>
      </c>
      <c r="D311">
        <v>34407.373087810352</v>
      </c>
      <c r="E311">
        <v>268193.18763580918</v>
      </c>
      <c r="F311">
        <v>1.3459899388060844E+19</v>
      </c>
      <c r="G311">
        <v>3423</v>
      </c>
      <c r="H311">
        <v>3.7690836070858682E-4</v>
      </c>
      <c r="I311">
        <v>2653.1648120514024</v>
      </c>
      <c r="J311">
        <v>311</v>
      </c>
      <c r="K311">
        <f t="shared" si="27"/>
        <v>37.69083607085868</v>
      </c>
      <c r="L311">
        <f t="shared" si="28"/>
        <v>3.7690836070858681E-9</v>
      </c>
      <c r="M311">
        <f t="shared" si="32"/>
        <v>51.672283010884485</v>
      </c>
      <c r="N311">
        <f t="shared" si="31"/>
        <v>103.22211926343105</v>
      </c>
      <c r="O311" s="2">
        <f t="shared" si="29"/>
        <v>3.8389798854454044E-6</v>
      </c>
      <c r="P311" s="2">
        <f t="shared" si="30"/>
        <v>0.14463768844865582</v>
      </c>
    </row>
    <row r="312" spans="1:16" x14ac:dyDescent="0.25">
      <c r="A312" s="1">
        <v>44632.334016203706</v>
      </c>
      <c r="B312">
        <v>42294265.076042175</v>
      </c>
      <c r="C312">
        <v>42275477.050804138</v>
      </c>
      <c r="D312">
        <v>16370.632920343429</v>
      </c>
      <c r="E312">
        <v>126882.79522812366</v>
      </c>
      <c r="F312">
        <v>1.3722156279373658E+19</v>
      </c>
      <c r="G312">
        <v>3432</v>
      </c>
      <c r="H312">
        <v>3.8714555868463174E-4</v>
      </c>
      <c r="I312">
        <v>2583.0078056367388</v>
      </c>
      <c r="J312">
        <v>312</v>
      </c>
      <c r="K312">
        <f t="shared" si="27"/>
        <v>38.714555868463172</v>
      </c>
      <c r="L312">
        <f t="shared" si="28"/>
        <v>3.871455586846317E-9</v>
      </c>
      <c r="M312">
        <f t="shared" si="32"/>
        <v>50.984527061202186</v>
      </c>
      <c r="N312">
        <f t="shared" si="31"/>
        <v>49.11189876103029</v>
      </c>
      <c r="O312" s="2">
        <f t="shared" si="29"/>
        <v>3.7154894626757124E-6</v>
      </c>
      <c r="P312" s="2">
        <f t="shared" si="30"/>
        <v>6.660328095359061E-2</v>
      </c>
    </row>
    <row r="313" spans="1:16" x14ac:dyDescent="0.25">
      <c r="A313" s="1">
        <v>44633.333425925928</v>
      </c>
      <c r="B313">
        <v>23839795.303916931</v>
      </c>
      <c r="C313">
        <v>23836848.369499207</v>
      </c>
      <c r="D313">
        <v>9225.7393310256302</v>
      </c>
      <c r="E313">
        <v>71519.385911732912</v>
      </c>
      <c r="F313">
        <v>1.3704574631932559E+19</v>
      </c>
      <c r="G313">
        <v>3434</v>
      </c>
      <c r="H313">
        <v>3.8850287419199802E-4</v>
      </c>
      <c r="I313">
        <v>2573.9835312152677</v>
      </c>
      <c r="J313">
        <v>313</v>
      </c>
      <c r="K313">
        <f t="shared" si="27"/>
        <v>38.850287419199802</v>
      </c>
      <c r="L313">
        <f t="shared" si="28"/>
        <v>3.8850287419199804E-9</v>
      </c>
      <c r="M313">
        <f t="shared" si="32"/>
        <v>50.895386616430464</v>
      </c>
      <c r="N313">
        <f t="shared" si="31"/>
        <v>27.677217993076891</v>
      </c>
      <c r="O313" s="2">
        <f t="shared" si="29"/>
        <v>3.713751647412746E-6</v>
      </c>
      <c r="P313" s="2">
        <f t="shared" si="30"/>
        <v>3.7517004579920715E-2</v>
      </c>
    </row>
    <row r="314" spans="1:16" x14ac:dyDescent="0.25">
      <c r="A314" s="1">
        <v>44634.333749999998</v>
      </c>
      <c r="B314">
        <v>54471747.2918396</v>
      </c>
      <c r="C314">
        <v>54465322.157623291</v>
      </c>
      <c r="D314">
        <v>21333.778584958985</v>
      </c>
      <c r="E314">
        <v>163415.24187552929</v>
      </c>
      <c r="F314">
        <v>1.3651031794369348E+19</v>
      </c>
      <c r="G314">
        <v>3429</v>
      </c>
      <c r="H314">
        <v>3.8718427324050021E-4</v>
      </c>
      <c r="I314">
        <v>2582.7495306836704</v>
      </c>
      <c r="J314">
        <v>314</v>
      </c>
      <c r="K314">
        <f t="shared" si="27"/>
        <v>38.718427324050019</v>
      </c>
      <c r="L314">
        <f t="shared" si="28"/>
        <v>3.8718427324050025E-9</v>
      </c>
      <c r="M314">
        <f t="shared" si="32"/>
        <v>50.981978026025168</v>
      </c>
      <c r="N314">
        <f t="shared" si="31"/>
        <v>64.001335754876962</v>
      </c>
      <c r="O314" s="2">
        <f t="shared" si="29"/>
        <v>3.73466114459229E-6</v>
      </c>
      <c r="P314" s="2">
        <f t="shared" si="30"/>
        <v>8.7243505173696653E-2</v>
      </c>
    </row>
    <row r="315" spans="1:16" x14ac:dyDescent="0.25">
      <c r="A315" s="1">
        <v>44635.333379629628</v>
      </c>
      <c r="B315">
        <v>54207570.196868896</v>
      </c>
      <c r="C315">
        <v>54195581.493263245</v>
      </c>
      <c r="D315">
        <v>21208.209629282355</v>
      </c>
      <c r="E315">
        <v>162622.71059060097</v>
      </c>
      <c r="F315">
        <v>1.35183639703879E+19</v>
      </c>
      <c r="G315">
        <v>3449</v>
      </c>
      <c r="H315">
        <v>3.9425575891638236E-4</v>
      </c>
      <c r="I315">
        <v>2536.4245857778069</v>
      </c>
      <c r="J315">
        <v>315</v>
      </c>
      <c r="K315">
        <f t="shared" si="27"/>
        <v>39.425575891638239</v>
      </c>
      <c r="L315">
        <f t="shared" si="28"/>
        <v>3.9425575891638237E-9</v>
      </c>
      <c r="M315">
        <f t="shared" si="32"/>
        <v>50.522695476708179</v>
      </c>
      <c r="N315">
        <f t="shared" si="31"/>
        <v>63.624628887847066</v>
      </c>
      <c r="O315" s="2">
        <f t="shared" si="29"/>
        <v>3.7373380083106659E-6</v>
      </c>
      <c r="P315" s="2">
        <f t="shared" si="30"/>
        <v>8.679216148963223E-2</v>
      </c>
    </row>
    <row r="316" spans="1:16" x14ac:dyDescent="0.25">
      <c r="A316" s="1">
        <v>44636.333379629628</v>
      </c>
      <c r="B316">
        <v>88842905.992103577</v>
      </c>
      <c r="C316">
        <v>88876616.031898499</v>
      </c>
      <c r="D316">
        <v>33699.919463425875</v>
      </c>
      <c r="E316">
        <v>266528.71797630191</v>
      </c>
      <c r="F316">
        <v>1.2566293917082184E+19</v>
      </c>
      <c r="G316">
        <v>3462</v>
      </c>
      <c r="H316">
        <v>3.7096320426272742E-4</v>
      </c>
      <c r="I316">
        <v>2695.6851474998839</v>
      </c>
      <c r="J316">
        <v>316</v>
      </c>
      <c r="K316">
        <f t="shared" si="27"/>
        <v>37.09632042627274</v>
      </c>
      <c r="L316">
        <f t="shared" si="28"/>
        <v>3.7096320426272742E-9</v>
      </c>
      <c r="M316">
        <f t="shared" si="32"/>
        <v>52.084694203086713</v>
      </c>
      <c r="N316">
        <f t="shared" si="31"/>
        <v>101.09975839027763</v>
      </c>
      <c r="O316" s="2">
        <f t="shared" si="29"/>
        <v>4.1447935681565267E-6</v>
      </c>
      <c r="P316" s="2">
        <f t="shared" si="30"/>
        <v>0.15294873433614356</v>
      </c>
    </row>
    <row r="317" spans="1:16" x14ac:dyDescent="0.25">
      <c r="A317" s="1">
        <v>44637.333587962959</v>
      </c>
      <c r="B317">
        <v>78736043.955749512</v>
      </c>
      <c r="C317">
        <v>78760809.5</v>
      </c>
      <c r="D317">
        <v>29045.274526428431</v>
      </c>
      <c r="E317">
        <v>236208.13186725974</v>
      </c>
      <c r="F317">
        <v>1.3096801515230058E+19</v>
      </c>
      <c r="G317">
        <v>3468</v>
      </c>
      <c r="H317">
        <v>3.6097338964202129E-4</v>
      </c>
      <c r="I317">
        <v>2770.2873084126891</v>
      </c>
      <c r="J317">
        <v>317</v>
      </c>
      <c r="K317">
        <f t="shared" si="27"/>
        <v>36.09733896420213</v>
      </c>
      <c r="L317">
        <f t="shared" si="28"/>
        <v>3.6097338964202131E-9</v>
      </c>
      <c r="M317">
        <f t="shared" si="32"/>
        <v>52.800488673632081</v>
      </c>
      <c r="N317">
        <f t="shared" si="31"/>
        <v>87.135823579285301</v>
      </c>
      <c r="O317" s="2">
        <f t="shared" si="29"/>
        <v>4.0315559957315724E-6</v>
      </c>
      <c r="P317" s="2">
        <f t="shared" si="30"/>
        <v>0.12822192747783781</v>
      </c>
    </row>
    <row r="318" spans="1:16" x14ac:dyDescent="0.25">
      <c r="A318" s="1">
        <v>44638.33384259259</v>
      </c>
      <c r="B318">
        <v>42513052.300926208</v>
      </c>
      <c r="C318">
        <v>42517348.472732544</v>
      </c>
      <c r="D318">
        <v>15176.694178989157</v>
      </c>
      <c r="E318">
        <v>127539.15690279007</v>
      </c>
      <c r="F318">
        <v>1.3112784814521858E+19</v>
      </c>
      <c r="G318">
        <v>3469</v>
      </c>
      <c r="H318">
        <v>3.5824052655486119E-4</v>
      </c>
      <c r="I318">
        <v>2791.420640252044</v>
      </c>
      <c r="J318">
        <v>318</v>
      </c>
      <c r="K318">
        <f t="shared" si="27"/>
        <v>35.82405265548612</v>
      </c>
      <c r="L318">
        <f t="shared" si="28"/>
        <v>3.582405265548612E-9</v>
      </c>
      <c r="M318">
        <f t="shared" si="32"/>
        <v>53.001502163842176</v>
      </c>
      <c r="N318">
        <f t="shared" si="31"/>
        <v>45.53008253696747</v>
      </c>
      <c r="O318" s="2">
        <f t="shared" si="29"/>
        <v>4.0419714739118756E-6</v>
      </c>
      <c r="P318" s="2">
        <f t="shared" si="30"/>
        <v>6.717142260903565E-2</v>
      </c>
    </row>
    <row r="319" spans="1:16" x14ac:dyDescent="0.25">
      <c r="A319" s="1">
        <v>44639.333356481482</v>
      </c>
      <c r="B319">
        <v>52073128.004089355</v>
      </c>
      <c r="C319">
        <v>52112454.421203613</v>
      </c>
      <c r="D319">
        <v>17922.348128965124</v>
      </c>
      <c r="E319">
        <v>156219.38401228189</v>
      </c>
      <c r="F319">
        <v>1.262359864638542E+19</v>
      </c>
      <c r="G319">
        <v>3467</v>
      </c>
      <c r="H319">
        <v>3.3944343400079785E-4</v>
      </c>
      <c r="I319">
        <v>2945.9989495559062</v>
      </c>
      <c r="J319">
        <v>319</v>
      </c>
      <c r="K319">
        <f t="shared" si="27"/>
        <v>33.944343400079788</v>
      </c>
      <c r="L319">
        <f t="shared" si="28"/>
        <v>3.3944343400079783E-9</v>
      </c>
      <c r="M319">
        <f t="shared" si="32"/>
        <v>54.44924092194298</v>
      </c>
      <c r="N319">
        <f t="shared" si="31"/>
        <v>53.767044386895371</v>
      </c>
      <c r="O319" s="2">
        <f t="shared" si="29"/>
        <v>4.3132899300100699E-6</v>
      </c>
      <c r="P319" s="2">
        <f t="shared" si="30"/>
        <v>8.464819065894609E-2</v>
      </c>
    </row>
    <row r="320" spans="1:16" x14ac:dyDescent="0.25">
      <c r="A320" s="1">
        <v>44640.333379629628</v>
      </c>
      <c r="B320">
        <v>42618172.937759399</v>
      </c>
      <c r="C320">
        <v>42603042.862014771</v>
      </c>
      <c r="D320">
        <v>14488.521563332528</v>
      </c>
      <c r="E320">
        <v>127854.51881325245</v>
      </c>
      <c r="F320">
        <v>1.2850399601682231E+19</v>
      </c>
      <c r="G320">
        <v>3465</v>
      </c>
      <c r="H320">
        <v>3.4533206368796653E-4</v>
      </c>
      <c r="I320">
        <v>2895.7635422570411</v>
      </c>
      <c r="J320">
        <v>320</v>
      </c>
      <c r="K320">
        <f t="shared" si="27"/>
        <v>34.533206368796655</v>
      </c>
      <c r="L320">
        <f t="shared" si="28"/>
        <v>3.4533206368796652E-9</v>
      </c>
      <c r="M320">
        <f t="shared" si="32"/>
        <v>53.983008434345884</v>
      </c>
      <c r="N320">
        <f t="shared" si="31"/>
        <v>43.465564689997585</v>
      </c>
      <c r="O320" s="2">
        <f t="shared" si="29"/>
        <v>4.2008816929925693E-6</v>
      </c>
      <c r="P320" s="2">
        <f t="shared" si="30"/>
        <v>6.6646698668355209E-2</v>
      </c>
    </row>
    <row r="321" spans="1:16" x14ac:dyDescent="0.25">
      <c r="A321" s="1">
        <v>44641.333333333336</v>
      </c>
      <c r="B321">
        <v>53510900.5076828</v>
      </c>
      <c r="C321">
        <v>53513373.571144104</v>
      </c>
      <c r="D321">
        <v>18644.051470451057</v>
      </c>
      <c r="E321">
        <v>160532.70152303576</v>
      </c>
      <c r="F321">
        <v>1.3150508812704326E+19</v>
      </c>
      <c r="G321">
        <v>3473</v>
      </c>
      <c r="H321">
        <v>3.4316341852188746E-4</v>
      </c>
      <c r="I321">
        <v>2914.0635220015988</v>
      </c>
      <c r="J321">
        <v>321</v>
      </c>
      <c r="K321">
        <f t="shared" si="27"/>
        <v>34.316341852188742</v>
      </c>
      <c r="L321">
        <f t="shared" si="28"/>
        <v>3.4316341852188745E-9</v>
      </c>
      <c r="M321">
        <f t="shared" si="32"/>
        <v>54.153314486971468</v>
      </c>
      <c r="N321">
        <f t="shared" si="31"/>
        <v>55.932154411353174</v>
      </c>
      <c r="O321" s="2">
        <f t="shared" si="29"/>
        <v>4.1179634383922482E-6</v>
      </c>
      <c r="P321" s="2">
        <f t="shared" si="30"/>
        <v>8.4069196917208655E-2</v>
      </c>
    </row>
    <row r="322" spans="1:16" x14ac:dyDescent="0.25">
      <c r="A322" s="1">
        <v>44642.333344907405</v>
      </c>
      <c r="B322">
        <v>81339313.047431946</v>
      </c>
      <c r="C322">
        <v>81368672.026504517</v>
      </c>
      <c r="D322">
        <v>27511.53282399103</v>
      </c>
      <c r="E322">
        <v>244017.93914231658</v>
      </c>
      <c r="F322">
        <v>1.5818836573343431E+19</v>
      </c>
      <c r="G322">
        <v>3475</v>
      </c>
      <c r="H322">
        <v>3.3132790263858282E-4</v>
      </c>
      <c r="I322">
        <v>3018.1581208112561</v>
      </c>
      <c r="J322">
        <v>322</v>
      </c>
      <c r="K322">
        <f t="shared" ref="K322:K367" si="33">(1+$U$16)*H322</f>
        <v>33.132790263858283</v>
      </c>
      <c r="L322">
        <f t="shared" ref="L322:L367" si="34">H322/(1+$U$16)</f>
        <v>3.3132790263858283E-9</v>
      </c>
      <c r="M322">
        <f t="shared" si="32"/>
        <v>55.112045478647069</v>
      </c>
      <c r="N322">
        <f t="shared" si="31"/>
        <v>82.534598471973098</v>
      </c>
      <c r="O322" s="2">
        <f t="shared" si="29"/>
        <v>3.4839506194480344E-6</v>
      </c>
      <c r="P322" s="2">
        <f t="shared" si="30"/>
        <v>0.10495445989739879</v>
      </c>
    </row>
    <row r="323" spans="1:16" x14ac:dyDescent="0.25">
      <c r="A323" s="1">
        <v>44643.333379629628</v>
      </c>
      <c r="B323">
        <v>68566157.094787598</v>
      </c>
      <c r="C323">
        <v>68560768.324264526</v>
      </c>
      <c r="D323">
        <v>22985.485156901181</v>
      </c>
      <c r="E323">
        <v>205698.47128435969</v>
      </c>
      <c r="F323">
        <v>1.3179001969380065E+19</v>
      </c>
      <c r="G323">
        <v>3487</v>
      </c>
      <c r="H323">
        <v>3.3852821858577968E-4</v>
      </c>
      <c r="I323">
        <v>2953.9634957982385</v>
      </c>
      <c r="J323">
        <v>323</v>
      </c>
      <c r="K323">
        <f t="shared" si="33"/>
        <v>33.852821858577968</v>
      </c>
      <c r="L323">
        <f t="shared" si="34"/>
        <v>3.3852821858577969E-9</v>
      </c>
      <c r="M323">
        <f t="shared" si="32"/>
        <v>54.522793356350164</v>
      </c>
      <c r="N323">
        <f t="shared" si="31"/>
        <v>68.956455470703546</v>
      </c>
      <c r="O323" s="2">
        <f t="shared" ref="O323:O367" si="35">M323/(F323/POWER(10,$U$21))</f>
        <v>4.1370957742496561E-6</v>
      </c>
      <c r="P323" s="2">
        <f t="shared" ref="P323:P367" si="36">O323*N323*365</f>
        <v>0.10412700309530501</v>
      </c>
    </row>
    <row r="324" spans="1:16" x14ac:dyDescent="0.25">
      <c r="A324" s="1">
        <v>44644.333402777775</v>
      </c>
      <c r="B324">
        <v>72590490.341110229</v>
      </c>
      <c r="C324">
        <v>72621579.959579468</v>
      </c>
      <c r="D324">
        <v>24042.440741432831</v>
      </c>
      <c r="E324">
        <v>217771.47102332115</v>
      </c>
      <c r="F324">
        <v>1.6131336645876691E+19</v>
      </c>
      <c r="G324">
        <v>3506</v>
      </c>
      <c r="H324">
        <v>3.2740866228392693E-4</v>
      </c>
      <c r="I324">
        <v>3054.2869361617736</v>
      </c>
      <c r="J324">
        <v>324</v>
      </c>
      <c r="K324">
        <f t="shared" si="33"/>
        <v>32.74086622839269</v>
      </c>
      <c r="L324">
        <f t="shared" si="34"/>
        <v>3.2740866228392694E-9</v>
      </c>
      <c r="M324">
        <f t="shared" si="32"/>
        <v>55.440923146488906</v>
      </c>
      <c r="N324">
        <f t="shared" si="31"/>
        <v>72.127322224298496</v>
      </c>
      <c r="O324" s="2">
        <f t="shared" si="35"/>
        <v>3.4368462058387507E-6</v>
      </c>
      <c r="P324" s="2">
        <f t="shared" si="36"/>
        <v>9.0480037509219596E-2</v>
      </c>
    </row>
    <row r="325" spans="1:16" x14ac:dyDescent="0.25">
      <c r="A325" s="1">
        <v>44645.333344907405</v>
      </c>
      <c r="B325">
        <v>67393716.987213135</v>
      </c>
      <c r="C325">
        <v>67444502.6015625</v>
      </c>
      <c r="D325">
        <v>21742.370018957183</v>
      </c>
      <c r="E325">
        <v>202181.1509616673</v>
      </c>
      <c r="F325">
        <v>1.687307523344965E+19</v>
      </c>
      <c r="G325">
        <v>3553</v>
      </c>
      <c r="H325">
        <v>3.1542186199408053E-4</v>
      </c>
      <c r="I325">
        <v>3170.3572912735099</v>
      </c>
      <c r="J325">
        <v>325</v>
      </c>
      <c r="K325">
        <f t="shared" si="33"/>
        <v>31.542186199408054</v>
      </c>
      <c r="L325">
        <f t="shared" si="34"/>
        <v>3.1542186199408052E-9</v>
      </c>
      <c r="M325">
        <f t="shared" si="32"/>
        <v>56.484545715437584</v>
      </c>
      <c r="N325">
        <f t="shared" ref="N325:N367" si="37">D325*0.003</f>
        <v>65.227110056871553</v>
      </c>
      <c r="O325" s="2">
        <f t="shared" si="35"/>
        <v>3.3476141683681388E-6</v>
      </c>
      <c r="P325" s="2">
        <f t="shared" si="36"/>
        <v>7.9699647192653267E-2</v>
      </c>
    </row>
    <row r="326" spans="1:16" x14ac:dyDescent="0.25">
      <c r="A326" s="1">
        <v>44646.333460648151</v>
      </c>
      <c r="B326">
        <v>60034209.592468262</v>
      </c>
      <c r="C326">
        <v>60014488.38558197</v>
      </c>
      <c r="D326">
        <v>19214.124772701412</v>
      </c>
      <c r="E326">
        <v>180102.62877738476</v>
      </c>
      <c r="F326">
        <v>1.7263561261993015E+19</v>
      </c>
      <c r="G326">
        <v>3617</v>
      </c>
      <c r="H326">
        <v>3.1948500733132906E-4</v>
      </c>
      <c r="I326">
        <v>3130.0373321209645</v>
      </c>
      <c r="J326">
        <v>326</v>
      </c>
      <c r="K326">
        <f t="shared" si="33"/>
        <v>31.948500733132907</v>
      </c>
      <c r="L326">
        <f t="shared" si="34"/>
        <v>3.1948500733132906E-9</v>
      </c>
      <c r="M326">
        <f>1/(SQRT(H326)-SQRT(L326))</f>
        <v>56.124216921000432</v>
      </c>
      <c r="N326">
        <f t="shared" si="37"/>
        <v>57.642374318104238</v>
      </c>
      <c r="O326" s="2">
        <f t="shared" si="35"/>
        <v>3.2510219687152248E-6</v>
      </c>
      <c r="P326" s="2">
        <f t="shared" si="36"/>
        <v>6.8399768211528045E-2</v>
      </c>
    </row>
    <row r="327" spans="1:16" x14ac:dyDescent="0.25">
      <c r="A327" s="1">
        <v>44647.333368055559</v>
      </c>
      <c r="B327">
        <v>19888098.949775696</v>
      </c>
      <c r="C327">
        <v>19897455.750541687</v>
      </c>
      <c r="D327">
        <v>6328.2904954385012</v>
      </c>
      <c r="E327">
        <v>59664.296849310398</v>
      </c>
      <c r="F327">
        <v>2.598521669735678E+19</v>
      </c>
      <c r="G327">
        <v>3898</v>
      </c>
      <c r="H327">
        <v>3.1716137453555957E-4</v>
      </c>
      <c r="I327">
        <v>3152.9690570434886</v>
      </c>
      <c r="J327">
        <v>327</v>
      </c>
      <c r="K327">
        <f t="shared" si="33"/>
        <v>31.716137453555959</v>
      </c>
      <c r="L327">
        <f t="shared" si="34"/>
        <v>3.1716137453555959E-9</v>
      </c>
      <c r="M327">
        <f>1/(SQRT(H327)-SQRT(L327))</f>
        <v>56.329434346039861</v>
      </c>
      <c r="N327">
        <f t="shared" si="37"/>
        <v>18.984871486315505</v>
      </c>
      <c r="O327" s="2">
        <f t="shared" si="35"/>
        <v>2.1677492630557781E-6</v>
      </c>
      <c r="P327" s="2">
        <f t="shared" si="36"/>
        <v>1.5021371028389217E-2</v>
      </c>
    </row>
    <row r="328" spans="1:16" x14ac:dyDescent="0.25">
      <c r="A328" s="1">
        <v>44648.333854166667</v>
      </c>
      <c r="B328">
        <v>73028990.608634949</v>
      </c>
      <c r="C328">
        <v>73095071.911972046</v>
      </c>
      <c r="D328">
        <v>22476.691836601123</v>
      </c>
      <c r="E328">
        <v>219086.9718259275</v>
      </c>
      <c r="F328">
        <v>1.6558746370988585E+19</v>
      </c>
      <c r="G328">
        <v>3946</v>
      </c>
      <c r="H328">
        <v>2.9869222997603445E-4</v>
      </c>
      <c r="I328">
        <v>3347.9277317666915</v>
      </c>
      <c r="J328">
        <v>328</v>
      </c>
      <c r="K328">
        <f t="shared" si="33"/>
        <v>29.869222997603444</v>
      </c>
      <c r="L328">
        <f t="shared" si="34"/>
        <v>2.9869222997603444E-9</v>
      </c>
      <c r="M328">
        <f t="shared" ref="M328:M329" si="38">1/(SQRT(H328)-SQRT(L328))</f>
        <v>58.044833955401359</v>
      </c>
      <c r="N328">
        <f t="shared" si="37"/>
        <v>67.430075509803373</v>
      </c>
      <c r="O328" s="2">
        <f t="shared" si="35"/>
        <v>3.5053881891142213E-6</v>
      </c>
      <c r="P328" s="2">
        <f t="shared" si="36"/>
        <v>8.6274535453347873E-2</v>
      </c>
    </row>
    <row r="329" spans="1:16" x14ac:dyDescent="0.25">
      <c r="A329" s="1">
        <v>44649.333425925928</v>
      </c>
      <c r="B329">
        <v>81710435.770202637</v>
      </c>
      <c r="C329">
        <v>81744957.130134583</v>
      </c>
      <c r="D329">
        <v>24120.069047227502</v>
      </c>
      <c r="E329">
        <v>245131.30731058121</v>
      </c>
      <c r="F329">
        <v>1.6366016071134286E+19</v>
      </c>
      <c r="G329">
        <v>3975</v>
      </c>
      <c r="H329">
        <v>2.88823389400942E-4</v>
      </c>
      <c r="I329">
        <v>3462.323470665352</v>
      </c>
      <c r="J329">
        <v>329</v>
      </c>
      <c r="K329">
        <f t="shared" si="33"/>
        <v>28.882338940094201</v>
      </c>
      <c r="L329">
        <f t="shared" si="34"/>
        <v>2.8882338940094199E-9</v>
      </c>
      <c r="M329">
        <f t="shared" si="38"/>
        <v>59.028174936952581</v>
      </c>
      <c r="N329">
        <f t="shared" si="37"/>
        <v>72.360207141682508</v>
      </c>
      <c r="O329" s="2">
        <f t="shared" si="35"/>
        <v>3.6067528395663792E-6</v>
      </c>
      <c r="P329" s="2">
        <f t="shared" si="36"/>
        <v>9.5259664641654293E-2</v>
      </c>
    </row>
    <row r="330" spans="1:16" x14ac:dyDescent="0.25">
      <c r="A330" s="1">
        <v>44650.333506944444</v>
      </c>
      <c r="B330">
        <v>84746452.750183105</v>
      </c>
      <c r="C330">
        <v>84723959.334922791</v>
      </c>
      <c r="D330">
        <v>24919.847291747108</v>
      </c>
      <c r="E330">
        <v>254239.35825055838</v>
      </c>
      <c r="F330">
        <v>2.0649283296834277E+19</v>
      </c>
      <c r="G330">
        <v>4012</v>
      </c>
      <c r="H330">
        <v>2.9330546893382449E-4</v>
      </c>
      <c r="I330">
        <v>3409.414777143551</v>
      </c>
      <c r="J330">
        <v>330</v>
      </c>
      <c r="K330">
        <f t="shared" si="33"/>
        <v>29.330546893382451</v>
      </c>
      <c r="L330">
        <f t="shared" si="34"/>
        <v>2.9330546893382451E-9</v>
      </c>
      <c r="M330">
        <f>1/(SQRT(H330)-SQRT(L330))</f>
        <v>58.575425947463081</v>
      </c>
      <c r="N330">
        <f t="shared" si="37"/>
        <v>74.759541875241325</v>
      </c>
      <c r="O330" s="2">
        <f t="shared" si="35"/>
        <v>2.8366808235152267E-6</v>
      </c>
      <c r="P330" s="2">
        <f t="shared" si="36"/>
        <v>7.7405169966482432E-2</v>
      </c>
    </row>
    <row r="331" spans="1:16" x14ac:dyDescent="0.25">
      <c r="A331" s="1">
        <v>44651.333379629628</v>
      </c>
      <c r="B331">
        <v>53199012.017875671</v>
      </c>
      <c r="C331">
        <v>53202269.187828064</v>
      </c>
      <c r="D331">
        <v>15647.321860441938</v>
      </c>
      <c r="E331">
        <v>159597.03605365753</v>
      </c>
      <c r="F331">
        <v>2.0748409262353011E+19</v>
      </c>
      <c r="G331">
        <v>4031</v>
      </c>
      <c r="H331">
        <v>2.9312954723019127E-4</v>
      </c>
      <c r="I331">
        <v>3411.460937490247</v>
      </c>
      <c r="J331">
        <v>331</v>
      </c>
      <c r="K331">
        <f t="shared" si="33"/>
        <v>29.312954723019129</v>
      </c>
      <c r="L331">
        <f t="shared" si="34"/>
        <v>2.9312954723019128E-9</v>
      </c>
      <c r="M331">
        <f>1/(SQRT(H331)-SQRT(L331))</f>
        <v>58.593000332568671</v>
      </c>
      <c r="N331">
        <f t="shared" si="37"/>
        <v>46.941965581325817</v>
      </c>
      <c r="O331" s="2">
        <f t="shared" si="35"/>
        <v>2.8239755439412335E-6</v>
      </c>
      <c r="P331" s="2">
        <f t="shared" si="36"/>
        <v>4.8385481416961265E-2</v>
      </c>
    </row>
    <row r="332" spans="1:16" x14ac:dyDescent="0.25">
      <c r="A332" s="1">
        <v>44652.333541666667</v>
      </c>
      <c r="B332">
        <v>94639607.796478271</v>
      </c>
      <c r="C332">
        <v>94605046.731010437</v>
      </c>
      <c r="D332">
        <v>28570.723353153095</v>
      </c>
      <c r="E332">
        <v>283918.82338941097</v>
      </c>
      <c r="F332">
        <v>2.726289537348685E+19</v>
      </c>
      <c r="G332">
        <v>4045</v>
      </c>
      <c r="H332">
        <v>3.0375239279486577E-4</v>
      </c>
      <c r="I332">
        <v>3292.1551359608011</v>
      </c>
      <c r="J332">
        <v>332</v>
      </c>
      <c r="K332">
        <f t="shared" si="33"/>
        <v>30.375239279486578</v>
      </c>
      <c r="L332">
        <f t="shared" si="34"/>
        <v>3.0375239279486578E-9</v>
      </c>
      <c r="M332">
        <f>1/(SQRT(H332)-SQRT(L332))</f>
        <v>57.559323623337399</v>
      </c>
      <c r="N332">
        <f t="shared" si="37"/>
        <v>85.712170059459282</v>
      </c>
      <c r="O332" s="2">
        <f t="shared" si="35"/>
        <v>2.1112696518402005E-6</v>
      </c>
      <c r="P332" s="2">
        <f t="shared" si="36"/>
        <v>6.605094875556447E-2</v>
      </c>
    </row>
    <row r="333" spans="1:16" x14ac:dyDescent="0.25">
      <c r="A333" s="1">
        <v>44653.333506944444</v>
      </c>
      <c r="B333">
        <v>86073356.385490417</v>
      </c>
      <c r="C333">
        <v>86130247.753822327</v>
      </c>
      <c r="D333">
        <v>25185.139653170481</v>
      </c>
      <c r="E333">
        <v>258220.06915646791</v>
      </c>
      <c r="F333">
        <v>1.6524496208572463E+19</v>
      </c>
      <c r="G333">
        <v>4038</v>
      </c>
      <c r="H333">
        <v>2.8675143258829333E-4</v>
      </c>
      <c r="I333">
        <v>3487.3409034917063</v>
      </c>
      <c r="J333">
        <v>333</v>
      </c>
      <c r="K333">
        <f t="shared" si="33"/>
        <v>28.675143258829333</v>
      </c>
      <c r="L333">
        <f t="shared" si="34"/>
        <v>2.8675143258829333E-9</v>
      </c>
      <c r="M333">
        <f t="shared" ref="M333:M334" si="39">1/(SQRT(H333)-SQRT(L333))</f>
        <v>59.241048666036789</v>
      </c>
      <c r="N333">
        <f t="shared" si="37"/>
        <v>75.555418959511442</v>
      </c>
      <c r="O333" s="2">
        <f t="shared" si="35"/>
        <v>3.5850441622119851E-6</v>
      </c>
      <c r="P333" s="2">
        <f t="shared" si="36"/>
        <v>9.8867372487461178E-2</v>
      </c>
    </row>
    <row r="334" spans="1:16" x14ac:dyDescent="0.25">
      <c r="A334" s="1">
        <v>44654.333356481482</v>
      </c>
      <c r="B334">
        <v>76474712.240394592</v>
      </c>
      <c r="C334">
        <v>76476387.254081726</v>
      </c>
      <c r="D334">
        <v>22019.834679203108</v>
      </c>
      <c r="E334">
        <v>229424.13672119379</v>
      </c>
      <c r="F334">
        <v>1.6437512953547737E+19</v>
      </c>
      <c r="G334">
        <v>4049</v>
      </c>
      <c r="H334">
        <v>2.8695221881894326E-4</v>
      </c>
      <c r="I334">
        <v>3484.9007410218519</v>
      </c>
      <c r="J334">
        <v>334</v>
      </c>
      <c r="K334">
        <f t="shared" si="33"/>
        <v>28.695221881894327</v>
      </c>
      <c r="L334">
        <f t="shared" si="34"/>
        <v>2.8695221881894326E-9</v>
      </c>
      <c r="M334">
        <f t="shared" si="39"/>
        <v>59.220318963381104</v>
      </c>
      <c r="N334">
        <f t="shared" si="37"/>
        <v>66.059504037609329</v>
      </c>
      <c r="O334" s="2">
        <f t="shared" si="35"/>
        <v>3.6027542080567291E-6</v>
      </c>
      <c r="P334" s="2">
        <f t="shared" si="36"/>
        <v>8.6868596996077685E-2</v>
      </c>
    </row>
    <row r="335" spans="1:16" x14ac:dyDescent="0.25">
      <c r="A335" s="1">
        <v>44655.333368055559</v>
      </c>
      <c r="B335">
        <v>53755366.707267761</v>
      </c>
      <c r="C335">
        <v>53752394.375518799</v>
      </c>
      <c r="D335">
        <v>15325.24636027962</v>
      </c>
      <c r="E335">
        <v>161266.10012179613</v>
      </c>
      <c r="F335">
        <v>1.8295782221302938E+19</v>
      </c>
      <c r="G335">
        <v>4044</v>
      </c>
      <c r="H335">
        <v>2.8781432488336463E-4</v>
      </c>
      <c r="I335">
        <v>3474.4622263163765</v>
      </c>
      <c r="J335">
        <v>335</v>
      </c>
      <c r="K335">
        <f t="shared" si="33"/>
        <v>28.781432488336463</v>
      </c>
      <c r="L335">
        <f t="shared" si="34"/>
        <v>2.8781432488336463E-9</v>
      </c>
      <c r="M335">
        <f>1/(SQRT(H335)-SQRT(L335))</f>
        <v>59.131559509067095</v>
      </c>
      <c r="N335">
        <f t="shared" si="37"/>
        <v>45.975739080838864</v>
      </c>
      <c r="O335" s="2">
        <f t="shared" si="35"/>
        <v>3.2319776653340612E-6</v>
      </c>
      <c r="P335" s="2">
        <f t="shared" si="36"/>
        <v>5.4236285077621606E-2</v>
      </c>
    </row>
    <row r="336" spans="1:16" x14ac:dyDescent="0.25">
      <c r="A336" s="1">
        <v>44656.333368055559</v>
      </c>
      <c r="B336">
        <v>54125455.38999939</v>
      </c>
      <c r="C336">
        <v>54140565.347381592</v>
      </c>
      <c r="D336">
        <v>15572.590259632096</v>
      </c>
      <c r="E336">
        <v>162376.36616998911</v>
      </c>
      <c r="F336">
        <v>1.9787754051840283E+19</v>
      </c>
      <c r="G336">
        <v>4057</v>
      </c>
      <c r="H336">
        <v>2.8449513320055503E-4</v>
      </c>
      <c r="I336">
        <v>3514.998617902716</v>
      </c>
      <c r="J336">
        <v>336</v>
      </c>
      <c r="K336">
        <f t="shared" si="33"/>
        <v>28.449513320055502</v>
      </c>
      <c r="L336">
        <f t="shared" si="34"/>
        <v>2.8449513320055504E-9</v>
      </c>
      <c r="M336">
        <f>1/(SQRT(H336)-SQRT(L336))</f>
        <v>59.475501825973211</v>
      </c>
      <c r="N336">
        <f t="shared" si="37"/>
        <v>46.717770778896288</v>
      </c>
      <c r="O336" s="2">
        <f t="shared" si="35"/>
        <v>3.0056721783663934E-6</v>
      </c>
      <c r="P336" s="2">
        <f t="shared" si="36"/>
        <v>5.1252680910880873E-2</v>
      </c>
    </row>
    <row r="337" spans="1:16" x14ac:dyDescent="0.25">
      <c r="A337" s="1">
        <v>44657.333333333336</v>
      </c>
      <c r="B337">
        <v>130707852.96398163</v>
      </c>
      <c r="C337">
        <v>130640177.44491577</v>
      </c>
      <c r="D337">
        <v>38451.023577844724</v>
      </c>
      <c r="E337">
        <v>392123.55889198184</v>
      </c>
      <c r="F337">
        <v>2.2823927713462219E+19</v>
      </c>
      <c r="G337">
        <v>4068</v>
      </c>
      <c r="H337">
        <v>3.0226772071955391E-4</v>
      </c>
      <c r="I337">
        <v>3308.3254725958877</v>
      </c>
      <c r="J337">
        <v>337</v>
      </c>
      <c r="K337">
        <f t="shared" si="33"/>
        <v>30.226772071955391</v>
      </c>
      <c r="L337">
        <f t="shared" si="34"/>
        <v>3.0226772071955392E-9</v>
      </c>
      <c r="M337">
        <f t="shared" ref="M337:M367" si="40">1/(SQRT(H337)-SQRT(L337))</f>
        <v>57.700509789458444</v>
      </c>
      <c r="N337">
        <f t="shared" si="37"/>
        <v>115.35307073353418</v>
      </c>
      <c r="O337" s="2">
        <f t="shared" si="35"/>
        <v>2.5280710013563965E-6</v>
      </c>
      <c r="P337" s="2">
        <f t="shared" si="36"/>
        <v>0.10644157485918426</v>
      </c>
    </row>
    <row r="338" spans="1:16" x14ac:dyDescent="0.25">
      <c r="A338" s="1">
        <v>44658.333506944444</v>
      </c>
      <c r="B338">
        <v>151202642.21041107</v>
      </c>
      <c r="C338">
        <v>151176855.08113098</v>
      </c>
      <c r="D338">
        <v>46929.298671970144</v>
      </c>
      <c r="E338">
        <v>453607.92663121223</v>
      </c>
      <c r="F338">
        <v>1.8404043424766743E+19</v>
      </c>
      <c r="G338">
        <v>4076</v>
      </c>
      <c r="H338">
        <v>3.0772675255569048E-4</v>
      </c>
      <c r="I338">
        <v>3249.6362168545165</v>
      </c>
      <c r="J338">
        <v>338</v>
      </c>
      <c r="K338">
        <f t="shared" si="33"/>
        <v>30.772675255569048</v>
      </c>
      <c r="L338">
        <f t="shared" si="34"/>
        <v>3.0772675255569048E-9</v>
      </c>
      <c r="M338">
        <f t="shared" si="40"/>
        <v>57.186419914579162</v>
      </c>
      <c r="N338">
        <f t="shared" si="37"/>
        <v>140.78789601591043</v>
      </c>
      <c r="O338" s="2">
        <f t="shared" si="35"/>
        <v>3.1072747762386874E-6</v>
      </c>
      <c r="P338" s="2">
        <f t="shared" si="36"/>
        <v>0.15967533750283308</v>
      </c>
    </row>
    <row r="339" spans="1:16" x14ac:dyDescent="0.25">
      <c r="A339" s="1">
        <v>44659.333437499998</v>
      </c>
      <c r="B339">
        <v>86143395.110275269</v>
      </c>
      <c r="C339">
        <v>86149482.161605835</v>
      </c>
      <c r="D339">
        <v>26609.364042501897</v>
      </c>
      <c r="E339">
        <v>258430.18533083797</v>
      </c>
      <c r="F339">
        <v>1.9995104995343991E+19</v>
      </c>
      <c r="G339">
        <v>4083</v>
      </c>
      <c r="H339">
        <v>3.0616141937530976E-4</v>
      </c>
      <c r="I339">
        <v>3266.2508621771972</v>
      </c>
      <c r="J339">
        <v>339</v>
      </c>
      <c r="K339">
        <f t="shared" si="33"/>
        <v>30.616141937530976</v>
      </c>
      <c r="L339">
        <f t="shared" si="34"/>
        <v>3.0616141937530975E-9</v>
      </c>
      <c r="M339">
        <f t="shared" si="40"/>
        <v>57.332424061450865</v>
      </c>
      <c r="N339">
        <f t="shared" si="37"/>
        <v>79.828092127505698</v>
      </c>
      <c r="O339" s="2">
        <f t="shared" si="35"/>
        <v>2.8673229810396669E-6</v>
      </c>
      <c r="P339" s="2">
        <f t="shared" si="36"/>
        <v>8.3545916927758312E-2</v>
      </c>
    </row>
    <row r="340" spans="1:16" x14ac:dyDescent="0.25">
      <c r="A340" s="1">
        <v>44660.333414351851</v>
      </c>
      <c r="B340">
        <v>84101673.996009827</v>
      </c>
      <c r="C340">
        <v>84086939.145950317</v>
      </c>
      <c r="D340">
        <v>25978.56825437583</v>
      </c>
      <c r="E340">
        <v>252305.02198800445</v>
      </c>
      <c r="F340">
        <v>1.8663267009913307E+19</v>
      </c>
      <c r="G340">
        <v>4112</v>
      </c>
      <c r="H340">
        <v>3.116907723984772E-4</v>
      </c>
      <c r="I340">
        <v>3208.3080044524463</v>
      </c>
      <c r="J340">
        <v>340</v>
      </c>
      <c r="K340">
        <f t="shared" si="33"/>
        <v>31.16907723984772</v>
      </c>
      <c r="L340">
        <f t="shared" si="34"/>
        <v>3.1169077239847721E-9</v>
      </c>
      <c r="M340">
        <f t="shared" si="40"/>
        <v>56.821613692186808</v>
      </c>
      <c r="N340">
        <f t="shared" si="37"/>
        <v>77.93570476312749</v>
      </c>
      <c r="O340" s="2">
        <f t="shared" si="35"/>
        <v>3.0445695098293917E-6</v>
      </c>
      <c r="P340" s="2">
        <f t="shared" si="36"/>
        <v>8.660744471384238E-2</v>
      </c>
    </row>
    <row r="341" spans="1:16" x14ac:dyDescent="0.25">
      <c r="A341" s="1">
        <v>44661.333344907405</v>
      </c>
      <c r="B341">
        <v>21964318.367538452</v>
      </c>
      <c r="C341">
        <v>21980218.610374451</v>
      </c>
      <c r="D341">
        <v>6790.5662525296211</v>
      </c>
      <c r="E341">
        <v>65892.955102622509</v>
      </c>
      <c r="F341">
        <v>1.8749748246262358E+19</v>
      </c>
      <c r="G341">
        <v>4208</v>
      </c>
      <c r="H341">
        <v>3.0788064670772092E-4</v>
      </c>
      <c r="I341">
        <v>3248.0118860778084</v>
      </c>
      <c r="J341">
        <v>341</v>
      </c>
      <c r="K341">
        <f t="shared" si="33"/>
        <v>30.788064670772091</v>
      </c>
      <c r="L341">
        <f t="shared" si="34"/>
        <v>3.0788064670772092E-9</v>
      </c>
      <c r="M341">
        <f t="shared" si="40"/>
        <v>57.172125811131153</v>
      </c>
      <c r="N341">
        <f t="shared" si="37"/>
        <v>20.371698757588863</v>
      </c>
      <c r="O341" s="2">
        <f t="shared" si="35"/>
        <v>3.0492209847419181E-6</v>
      </c>
      <c r="P341" s="2">
        <f t="shared" si="36"/>
        <v>2.2673001141465501E-2</v>
      </c>
    </row>
    <row r="342" spans="1:16" x14ac:dyDescent="0.25">
      <c r="A342" s="1">
        <v>44662.333391203705</v>
      </c>
      <c r="B342">
        <v>90637419.807273865</v>
      </c>
      <c r="C342">
        <v>90569005.428268433</v>
      </c>
      <c r="D342">
        <v>28446.637614334002</v>
      </c>
      <c r="E342">
        <v>271912.25942182541</v>
      </c>
      <c r="F342">
        <v>1.5418743248437242E+19</v>
      </c>
      <c r="G342">
        <v>4233</v>
      </c>
      <c r="H342">
        <v>3.2770344797460727E-4</v>
      </c>
      <c r="I342">
        <v>3051.5394518445437</v>
      </c>
      <c r="J342">
        <v>342</v>
      </c>
      <c r="K342">
        <f t="shared" si="33"/>
        <v>32.77034479746073</v>
      </c>
      <c r="L342">
        <f t="shared" si="34"/>
        <v>3.2770344797460728E-9</v>
      </c>
      <c r="M342">
        <f t="shared" si="40"/>
        <v>55.415981590401003</v>
      </c>
      <c r="N342">
        <f t="shared" si="37"/>
        <v>85.339912843002011</v>
      </c>
      <c r="O342" s="2">
        <f t="shared" si="35"/>
        <v>3.5940660465967393E-6</v>
      </c>
      <c r="P342" s="2">
        <f t="shared" si="36"/>
        <v>0.11195180835652388</v>
      </c>
    </row>
    <row r="343" spans="1:16" x14ac:dyDescent="0.25">
      <c r="A343" s="1">
        <v>44663.333634259259</v>
      </c>
      <c r="B343">
        <v>96430750.662017822</v>
      </c>
      <c r="C343">
        <v>96424664.307991028</v>
      </c>
      <c r="D343">
        <v>32064.225110135972</v>
      </c>
      <c r="E343">
        <v>289292.25198605657</v>
      </c>
      <c r="F343">
        <v>1.7510013076572598E+19</v>
      </c>
      <c r="G343">
        <v>4238</v>
      </c>
      <c r="H343">
        <v>3.2960955503639089E-4</v>
      </c>
      <c r="I343">
        <v>3033.8926305992372</v>
      </c>
      <c r="J343">
        <v>343</v>
      </c>
      <c r="K343">
        <f t="shared" si="33"/>
        <v>32.960955503639092</v>
      </c>
      <c r="L343">
        <f t="shared" si="34"/>
        <v>3.2960955503639091E-9</v>
      </c>
      <c r="M343">
        <f t="shared" si="40"/>
        <v>55.255516054413079</v>
      </c>
      <c r="N343">
        <f t="shared" si="37"/>
        <v>96.192675330407923</v>
      </c>
      <c r="O343" s="2">
        <f t="shared" si="35"/>
        <v>3.1556524722612471E-6</v>
      </c>
      <c r="P343" s="2">
        <f t="shared" si="36"/>
        <v>0.11079598860773621</v>
      </c>
    </row>
    <row r="344" spans="1:16" x14ac:dyDescent="0.25">
      <c r="A344" s="1">
        <v>44664.333333333336</v>
      </c>
      <c r="B344">
        <v>81378480.956962585</v>
      </c>
      <c r="C344">
        <v>81379617.151863098</v>
      </c>
      <c r="D344">
        <v>26816.597720660269</v>
      </c>
      <c r="E344">
        <v>244135.44287088513</v>
      </c>
      <c r="F344">
        <v>1.9562233303561839E+19</v>
      </c>
      <c r="G344">
        <v>4240</v>
      </c>
      <c r="H344">
        <v>3.3079822833007353E-4</v>
      </c>
      <c r="I344">
        <v>3022.9907972850169</v>
      </c>
      <c r="J344">
        <v>344</v>
      </c>
      <c r="K344">
        <f t="shared" si="33"/>
        <v>33.079822833007356</v>
      </c>
      <c r="L344">
        <f t="shared" si="34"/>
        <v>3.3079822833007354E-9</v>
      </c>
      <c r="M344">
        <f t="shared" si="40"/>
        <v>55.156150549489361</v>
      </c>
      <c r="N344">
        <f t="shared" si="37"/>
        <v>80.449793161980807</v>
      </c>
      <c r="O344" s="2">
        <f t="shared" si="35"/>
        <v>2.8195221728311907E-6</v>
      </c>
      <c r="P344" s="2">
        <f t="shared" si="36"/>
        <v>8.2792941101259121E-2</v>
      </c>
    </row>
    <row r="345" spans="1:16" x14ac:dyDescent="0.25">
      <c r="A345" s="1">
        <v>44665.333680555559</v>
      </c>
      <c r="B345">
        <v>69023960.642654419</v>
      </c>
      <c r="C345">
        <v>69042837.611709595</v>
      </c>
      <c r="D345">
        <v>22377.817513825372</v>
      </c>
      <c r="E345">
        <v>207071.88192796707</v>
      </c>
      <c r="F345">
        <v>2.6413040364673896E+19</v>
      </c>
      <c r="G345">
        <v>4248</v>
      </c>
      <c r="H345">
        <v>3.2489742182701824E-4</v>
      </c>
      <c r="I345">
        <v>3077.8945378409917</v>
      </c>
      <c r="J345">
        <v>345</v>
      </c>
      <c r="K345">
        <f t="shared" si="33"/>
        <v>32.489742182701825</v>
      </c>
      <c r="L345">
        <f t="shared" si="34"/>
        <v>3.2489742182701825E-9</v>
      </c>
      <c r="M345">
        <f t="shared" si="40"/>
        <v>55.654771402126507</v>
      </c>
      <c r="N345">
        <f t="shared" si="37"/>
        <v>67.133452541476117</v>
      </c>
      <c r="O345" s="2">
        <f t="shared" si="35"/>
        <v>2.1070944743098165E-6</v>
      </c>
      <c r="P345" s="2">
        <f t="shared" si="36"/>
        <v>5.163163231539189E-2</v>
      </c>
    </row>
    <row r="346" spans="1:16" x14ac:dyDescent="0.25">
      <c r="A346" s="1">
        <v>44666.333391203705</v>
      </c>
      <c r="B346">
        <v>45585800.312065125</v>
      </c>
      <c r="C346">
        <v>45567194.805534363</v>
      </c>
      <c r="D346">
        <v>15014.309242311865</v>
      </c>
      <c r="E346">
        <v>136757.40093618631</v>
      </c>
      <c r="F346">
        <v>1.9715253650693685E+19</v>
      </c>
      <c r="G346">
        <v>4263</v>
      </c>
      <c r="H346">
        <v>3.2993931295528708E-4</v>
      </c>
      <c r="I346">
        <v>3030.8604059423456</v>
      </c>
      <c r="J346">
        <v>346</v>
      </c>
      <c r="K346">
        <f t="shared" si="33"/>
        <v>32.993931295528711</v>
      </c>
      <c r="L346">
        <f t="shared" si="34"/>
        <v>3.2993931295528706E-9</v>
      </c>
      <c r="M346">
        <f t="shared" si="40"/>
        <v>55.227896582779728</v>
      </c>
      <c r="N346">
        <f t="shared" si="37"/>
        <v>45.042927726935595</v>
      </c>
      <c r="O346" s="2">
        <f t="shared" si="35"/>
        <v>2.8012775063046944E-6</v>
      </c>
      <c r="P346" s="2">
        <f t="shared" si="36"/>
        <v>4.6054875194744042E-2</v>
      </c>
    </row>
    <row r="347" spans="1:16" x14ac:dyDescent="0.25">
      <c r="A347" s="1">
        <v>44667.33357638889</v>
      </c>
      <c r="B347">
        <v>25890393.653953552</v>
      </c>
      <c r="C347">
        <v>25894330.859733582</v>
      </c>
      <c r="D347">
        <v>8558.3014644850045</v>
      </c>
      <c r="E347">
        <v>77671.180961877108</v>
      </c>
      <c r="F347">
        <v>1.977151353596323E+19</v>
      </c>
      <c r="G347">
        <v>4296</v>
      </c>
      <c r="H347">
        <v>3.2908262774849388E-4</v>
      </c>
      <c r="I347">
        <v>3038.7505011788844</v>
      </c>
      <c r="J347">
        <v>347</v>
      </c>
      <c r="K347">
        <f t="shared" si="33"/>
        <v>32.908262774849391</v>
      </c>
      <c r="L347">
        <f t="shared" si="34"/>
        <v>3.290826277484939E-9</v>
      </c>
      <c r="M347">
        <f t="shared" si="40"/>
        <v>55.299735941895804</v>
      </c>
      <c r="N347">
        <f t="shared" si="37"/>
        <v>25.674904393455016</v>
      </c>
      <c r="O347" s="2">
        <f t="shared" si="35"/>
        <v>2.79693994297952E-6</v>
      </c>
      <c r="P347" s="2">
        <f t="shared" si="36"/>
        <v>2.6211075455035666E-2</v>
      </c>
    </row>
    <row r="348" spans="1:16" x14ac:dyDescent="0.25">
      <c r="A348" s="1">
        <v>44668.333449074074</v>
      </c>
      <c r="B348">
        <v>30322160.341773987</v>
      </c>
      <c r="C348">
        <v>30325394.643890381</v>
      </c>
      <c r="D348">
        <v>9958.3848242089152</v>
      </c>
      <c r="E348">
        <v>90966.481025308371</v>
      </c>
      <c r="F348">
        <v>1.9731162585477362E+19</v>
      </c>
      <c r="G348">
        <v>4351</v>
      </c>
      <c r="H348">
        <v>3.2842515306001933E-4</v>
      </c>
      <c r="I348">
        <v>3044.8337792728412</v>
      </c>
      <c r="J348">
        <v>348</v>
      </c>
      <c r="K348">
        <f t="shared" si="33"/>
        <v>32.842515306001935</v>
      </c>
      <c r="L348">
        <f t="shared" si="34"/>
        <v>3.2842515306001933E-9</v>
      </c>
      <c r="M348">
        <f t="shared" si="40"/>
        <v>55.355060569355977</v>
      </c>
      <c r="N348">
        <f t="shared" si="37"/>
        <v>29.875154472626747</v>
      </c>
      <c r="O348" s="2">
        <f t="shared" si="35"/>
        <v>2.8054637089706364E-6</v>
      </c>
      <c r="P348" s="2">
        <f t="shared" si="36"/>
        <v>3.0591986510588837E-2</v>
      </c>
    </row>
    <row r="349" spans="1:16" x14ac:dyDescent="0.25">
      <c r="A349" s="1">
        <v>44669.333819444444</v>
      </c>
      <c r="B349">
        <v>93680419.278251648</v>
      </c>
      <c r="C349">
        <v>93672212.274131775</v>
      </c>
      <c r="D349">
        <v>30829.878365628421</v>
      </c>
      <c r="E349">
        <v>281041.25783476233</v>
      </c>
      <c r="F349">
        <v>1.024486142499005E+19</v>
      </c>
      <c r="G349">
        <v>4378</v>
      </c>
      <c r="H349">
        <v>3.4312910561132634E-4</v>
      </c>
      <c r="I349">
        <v>2914.3549283537986</v>
      </c>
      <c r="J349">
        <v>349</v>
      </c>
      <c r="K349">
        <f t="shared" si="33"/>
        <v>34.312910561132632</v>
      </c>
      <c r="L349">
        <f t="shared" si="34"/>
        <v>3.4312910561132634E-9</v>
      </c>
      <c r="M349">
        <f t="shared" si="40"/>
        <v>54.15602208500755</v>
      </c>
      <c r="N349">
        <f t="shared" si="37"/>
        <v>92.489635096885266</v>
      </c>
      <c r="O349" s="2">
        <f t="shared" si="35"/>
        <v>5.2861644329230296E-6</v>
      </c>
      <c r="P349" s="2">
        <f t="shared" si="36"/>
        <v>0.17845412810406233</v>
      </c>
    </row>
    <row r="350" spans="1:16" x14ac:dyDescent="0.25">
      <c r="A350" s="1">
        <v>44670.333379629628</v>
      </c>
      <c r="B350">
        <v>50987209.712905884</v>
      </c>
      <c r="C350">
        <v>51025537.688903809</v>
      </c>
      <c r="D350">
        <v>17006.264632217586</v>
      </c>
      <c r="E350">
        <v>152961.62913870811</v>
      </c>
      <c r="F350">
        <v>1.8908320609299862E+19</v>
      </c>
      <c r="G350">
        <v>4404</v>
      </c>
      <c r="H350">
        <v>3.2793290921738434E-4</v>
      </c>
      <c r="I350">
        <v>3049.4042284030338</v>
      </c>
      <c r="J350">
        <v>350</v>
      </c>
      <c r="K350">
        <f t="shared" si="33"/>
        <v>32.793290921738432</v>
      </c>
      <c r="L350">
        <f t="shared" si="34"/>
        <v>3.2793290921738434E-9</v>
      </c>
      <c r="M350">
        <f t="shared" si="40"/>
        <v>55.396590360052969</v>
      </c>
      <c r="N350">
        <f t="shared" si="37"/>
        <v>51.01879389665276</v>
      </c>
      <c r="O350" s="2">
        <f t="shared" si="35"/>
        <v>2.9297467239267526E-6</v>
      </c>
      <c r="P350" s="2">
        <f t="shared" si="36"/>
        <v>5.4557332661255613E-2</v>
      </c>
    </row>
    <row r="351" spans="1:16" x14ac:dyDescent="0.25">
      <c r="A351" s="1">
        <v>44671.333495370367</v>
      </c>
      <c r="B351">
        <v>52839730.544082642</v>
      </c>
      <c r="C351">
        <v>52875473.695976257</v>
      </c>
      <c r="D351">
        <v>17055.075346060097</v>
      </c>
      <c r="E351">
        <v>158519.19163227081</v>
      </c>
      <c r="F351">
        <v>1.7844228088095654E+19</v>
      </c>
      <c r="G351">
        <v>4400</v>
      </c>
      <c r="H351">
        <v>3.1706624514971023E-4</v>
      </c>
      <c r="I351">
        <v>3153.9150423528263</v>
      </c>
      <c r="J351">
        <v>351</v>
      </c>
      <c r="K351">
        <f t="shared" si="33"/>
        <v>31.706624514971022</v>
      </c>
      <c r="L351">
        <f t="shared" si="34"/>
        <v>3.1706624514971024E-9</v>
      </c>
      <c r="M351">
        <f t="shared" si="40"/>
        <v>56.337883972423626</v>
      </c>
      <c r="N351">
        <f t="shared" si="37"/>
        <v>51.165226038180293</v>
      </c>
      <c r="O351" s="2">
        <f t="shared" si="35"/>
        <v>3.1572048784787775E-6</v>
      </c>
      <c r="P351" s="2">
        <f t="shared" si="36"/>
        <v>5.8961771958517449E-2</v>
      </c>
    </row>
    <row r="352" spans="1:16" x14ac:dyDescent="0.25">
      <c r="A352" s="1">
        <v>44672.333425925928</v>
      </c>
      <c r="B352">
        <v>61528142.399162292</v>
      </c>
      <c r="C352">
        <v>61524732.208641052</v>
      </c>
      <c r="D352">
        <v>19884.76740732789</v>
      </c>
      <c r="E352">
        <v>184584.42719745636</v>
      </c>
      <c r="F352">
        <v>5.7705584623952175E+19</v>
      </c>
      <c r="G352">
        <v>4404</v>
      </c>
      <c r="H352">
        <v>3.1751042653864676E-4</v>
      </c>
      <c r="I352">
        <v>3149.502871138885</v>
      </c>
      <c r="J352">
        <v>352</v>
      </c>
      <c r="K352">
        <f t="shared" si="33"/>
        <v>31.751042653864676</v>
      </c>
      <c r="L352">
        <f t="shared" si="34"/>
        <v>3.1751042653864677E-9</v>
      </c>
      <c r="M352">
        <f t="shared" si="40"/>
        <v>56.298463223519242</v>
      </c>
      <c r="N352">
        <f t="shared" si="37"/>
        <v>59.65430222198367</v>
      </c>
      <c r="O352" s="2">
        <f t="shared" si="35"/>
        <v>9.7561550741401092E-7</v>
      </c>
      <c r="P352" s="2">
        <f t="shared" si="36"/>
        <v>2.1242876751081215E-2</v>
      </c>
    </row>
    <row r="353" spans="1:16" x14ac:dyDescent="0.25">
      <c r="A353" s="1">
        <v>44673.333414351851</v>
      </c>
      <c r="B353">
        <v>83381767.600028992</v>
      </c>
      <c r="C353">
        <v>83343115.363571167</v>
      </c>
      <c r="D353">
        <v>27304.158934634179</v>
      </c>
      <c r="E353">
        <v>250145.30280008912</v>
      </c>
      <c r="F353">
        <v>1.7844100172404931E+19</v>
      </c>
      <c r="G353">
        <v>4410</v>
      </c>
      <c r="H353">
        <v>3.3242303593769757E-4</v>
      </c>
      <c r="I353">
        <v>3008.2151111435583</v>
      </c>
      <c r="J353">
        <v>353</v>
      </c>
      <c r="K353">
        <f t="shared" si="33"/>
        <v>33.242303593769755</v>
      </c>
      <c r="L353">
        <f t="shared" si="34"/>
        <v>3.3242303593769756E-9</v>
      </c>
      <c r="M353">
        <f t="shared" si="40"/>
        <v>55.021190122579931</v>
      </c>
      <c r="N353">
        <f t="shared" si="37"/>
        <v>81.912476803902535</v>
      </c>
      <c r="O353" s="2">
        <f t="shared" si="35"/>
        <v>3.0834387607657368E-6</v>
      </c>
      <c r="P353" s="2">
        <f t="shared" si="36"/>
        <v>9.2188818678129253E-2</v>
      </c>
    </row>
    <row r="354" spans="1:16" x14ac:dyDescent="0.25">
      <c r="A354" s="1">
        <v>44674.333865740744</v>
      </c>
      <c r="B354">
        <v>40815862.143714905</v>
      </c>
      <c r="C354">
        <v>40802496.970687866</v>
      </c>
      <c r="D354">
        <v>13749.657731797546</v>
      </c>
      <c r="E354">
        <v>122447.58643114567</v>
      </c>
      <c r="F354">
        <v>1.1435387379082781E+19</v>
      </c>
      <c r="G354">
        <v>4440</v>
      </c>
      <c r="H354">
        <v>3.3781809072776063E-4</v>
      </c>
      <c r="I354">
        <v>2960.1730263932955</v>
      </c>
      <c r="J354">
        <v>354</v>
      </c>
      <c r="K354">
        <f t="shared" si="33"/>
        <v>33.781809072776063</v>
      </c>
      <c r="L354">
        <f t="shared" si="34"/>
        <v>3.3781809072776065E-9</v>
      </c>
      <c r="M354">
        <f t="shared" si="40"/>
        <v>54.580069490323709</v>
      </c>
      <c r="N354">
        <f t="shared" si="37"/>
        <v>41.248973195392637</v>
      </c>
      <c r="O354" s="2">
        <f t="shared" si="35"/>
        <v>4.7729095378228907E-6</v>
      </c>
      <c r="P354" s="2">
        <f t="shared" si="36"/>
        <v>7.1860330420236956E-2</v>
      </c>
    </row>
    <row r="355" spans="1:16" x14ac:dyDescent="0.25">
      <c r="A355" s="1">
        <v>44675.333368055559</v>
      </c>
      <c r="B355">
        <v>13024161.332176208</v>
      </c>
      <c r="C355">
        <v>13019311.857833862</v>
      </c>
      <c r="D355">
        <v>4414.2526909895241</v>
      </c>
      <c r="E355">
        <v>39072.483996540308</v>
      </c>
      <c r="F355">
        <v>1.1438186659059927E+19</v>
      </c>
      <c r="G355">
        <v>4496</v>
      </c>
      <c r="H355">
        <v>3.3978303022508423E-4</v>
      </c>
      <c r="I355">
        <v>2943.0545702578638</v>
      </c>
      <c r="J355">
        <v>355</v>
      </c>
      <c r="K355">
        <f t="shared" si="33"/>
        <v>33.97830302250842</v>
      </c>
      <c r="L355">
        <f t="shared" si="34"/>
        <v>3.3978303022508421E-9</v>
      </c>
      <c r="M355">
        <f t="shared" si="40"/>
        <v>54.422024466962803</v>
      </c>
      <c r="N355">
        <f t="shared" si="37"/>
        <v>13.242758072968572</v>
      </c>
      <c r="O355" s="2">
        <f t="shared" si="35"/>
        <v>4.7579241438463814E-6</v>
      </c>
      <c r="P355" s="2">
        <f t="shared" si="36"/>
        <v>2.2997934003770214E-2</v>
      </c>
    </row>
    <row r="356" spans="1:16" x14ac:dyDescent="0.25">
      <c r="A356" s="1">
        <v>44676.333333333336</v>
      </c>
      <c r="B356">
        <v>48882315.635559082</v>
      </c>
      <c r="C356">
        <v>48864930.196746826</v>
      </c>
      <c r="D356">
        <v>16950.917583666742</v>
      </c>
      <c r="E356">
        <v>146646.94690668583</v>
      </c>
      <c r="F356">
        <v>1.0727660927808721E+19</v>
      </c>
      <c r="G356">
        <v>4506</v>
      </c>
      <c r="H356">
        <v>3.5023548853079179E-4</v>
      </c>
      <c r="I356">
        <v>2855.2217943273404</v>
      </c>
      <c r="J356">
        <v>356</v>
      </c>
      <c r="K356">
        <f t="shared" si="33"/>
        <v>35.023548853079177</v>
      </c>
      <c r="L356">
        <f t="shared" si="34"/>
        <v>3.5023548853079177E-9</v>
      </c>
      <c r="M356">
        <f t="shared" si="40"/>
        <v>53.603785517110978</v>
      </c>
      <c r="N356">
        <f t="shared" si="37"/>
        <v>50.852752751000224</v>
      </c>
      <c r="O356" s="2">
        <f t="shared" si="35"/>
        <v>4.9967822321972215E-6</v>
      </c>
      <c r="P356" s="2">
        <f t="shared" si="36"/>
        <v>9.2746547962648446E-2</v>
      </c>
    </row>
    <row r="357" spans="1:16" x14ac:dyDescent="0.25">
      <c r="A357" s="1">
        <v>44677.333807870367</v>
      </c>
      <c r="B357">
        <v>61576437.105278015</v>
      </c>
      <c r="C357">
        <v>61607823.382965088</v>
      </c>
      <c r="D357">
        <v>20822.889395330101</v>
      </c>
      <c r="E357">
        <v>184729.31131583452</v>
      </c>
      <c r="F357">
        <v>1.8844883791511581E+19</v>
      </c>
      <c r="G357">
        <v>4519</v>
      </c>
      <c r="H357">
        <v>3.3328841707079939E-4</v>
      </c>
      <c r="I357">
        <v>3000.4043008418539</v>
      </c>
      <c r="J357">
        <v>357</v>
      </c>
      <c r="K357">
        <f t="shared" si="33"/>
        <v>33.328841707079938</v>
      </c>
      <c r="L357">
        <f t="shared" si="34"/>
        <v>3.3328841707079937E-9</v>
      </c>
      <c r="M357">
        <f t="shared" si="40"/>
        <v>54.949712619678969</v>
      </c>
      <c r="N357">
        <f t="shared" si="37"/>
        <v>62.468668185990303</v>
      </c>
      <c r="O357" s="2">
        <f t="shared" si="35"/>
        <v>2.9158955410714876E-6</v>
      </c>
      <c r="P357" s="2">
        <f t="shared" si="36"/>
        <v>6.6485520522374247E-2</v>
      </c>
    </row>
    <row r="358" spans="1:16" x14ac:dyDescent="0.25">
      <c r="A358" s="1">
        <v>44678.333344907405</v>
      </c>
      <c r="B358">
        <v>74149126.527984619</v>
      </c>
      <c r="C358">
        <v>74122862.109039307</v>
      </c>
      <c r="D358">
        <v>25860.403796393424</v>
      </c>
      <c r="E358">
        <v>222447.37958395481</v>
      </c>
      <c r="F358">
        <v>9.3429366811147571E+18</v>
      </c>
      <c r="G358">
        <v>4525</v>
      </c>
      <c r="H358">
        <v>3.4692417061557096E-4</v>
      </c>
      <c r="I358">
        <v>2882.4742831427184</v>
      </c>
      <c r="J358">
        <v>358</v>
      </c>
      <c r="K358">
        <f t="shared" si="33"/>
        <v>34.692417061557094</v>
      </c>
      <c r="L358">
        <f t="shared" si="34"/>
        <v>3.4692417061557098E-9</v>
      </c>
      <c r="M358">
        <f t="shared" si="40"/>
        <v>53.85899638396991</v>
      </c>
      <c r="N358">
        <f t="shared" si="37"/>
        <v>77.581211389180268</v>
      </c>
      <c r="O358" s="2">
        <f t="shared" si="35"/>
        <v>5.7646753073728092E-6</v>
      </c>
      <c r="P358" s="2">
        <f t="shared" si="36"/>
        <v>0.16323913016811634</v>
      </c>
    </row>
    <row r="359" spans="1:16" x14ac:dyDescent="0.25">
      <c r="A359" s="1">
        <v>44679.333344907405</v>
      </c>
      <c r="B359">
        <v>45719101.409324646</v>
      </c>
      <c r="C359">
        <v>45728483.471763611</v>
      </c>
      <c r="D359">
        <v>15873.945105597377</v>
      </c>
      <c r="E359">
        <v>137157.30422797799</v>
      </c>
      <c r="F359">
        <v>9.5387425621590569E+18</v>
      </c>
      <c r="G359">
        <v>4547</v>
      </c>
      <c r="H359">
        <v>3.4097429476556186E-4</v>
      </c>
      <c r="I359">
        <v>2932.7723976599282</v>
      </c>
      <c r="J359">
        <v>359</v>
      </c>
      <c r="K359">
        <f t="shared" si="33"/>
        <v>34.097429476556187</v>
      </c>
      <c r="L359">
        <f t="shared" si="34"/>
        <v>3.4097429476556187E-9</v>
      </c>
      <c r="M359">
        <f t="shared" si="40"/>
        <v>54.326873962564896</v>
      </c>
      <c r="N359">
        <f t="shared" si="37"/>
        <v>47.621835316792129</v>
      </c>
      <c r="O359" s="2">
        <f t="shared" si="35"/>
        <v>5.6953915684949794E-6</v>
      </c>
      <c r="P359" s="2">
        <f t="shared" si="36"/>
        <v>9.8997124758922736E-2</v>
      </c>
    </row>
    <row r="360" spans="1:16" x14ac:dyDescent="0.25">
      <c r="A360" s="1">
        <v>44680.333402777775</v>
      </c>
      <c r="B360">
        <v>59981339.722160339</v>
      </c>
      <c r="C360">
        <v>59967621.015014648</v>
      </c>
      <c r="D360">
        <v>20605.751968797296</v>
      </c>
      <c r="E360">
        <v>179944.01916646957</v>
      </c>
      <c r="F360">
        <v>9.2541682747617423E+18</v>
      </c>
      <c r="G360">
        <v>4567</v>
      </c>
      <c r="H360">
        <v>3.523431126322795E-4</v>
      </c>
      <c r="I360">
        <v>2838.1426063055851</v>
      </c>
      <c r="J360">
        <v>360</v>
      </c>
      <c r="K360">
        <f t="shared" si="33"/>
        <v>35.234311263227951</v>
      </c>
      <c r="L360">
        <f t="shared" si="34"/>
        <v>3.523431126322795E-9</v>
      </c>
      <c r="M360">
        <f t="shared" si="40"/>
        <v>53.443223152506746</v>
      </c>
      <c r="N360">
        <f t="shared" si="37"/>
        <v>61.817255906391892</v>
      </c>
      <c r="O360" s="2">
        <f t="shared" si="35"/>
        <v>5.7750433713485393E-6</v>
      </c>
      <c r="P360" s="2">
        <f t="shared" si="36"/>
        <v>0.13030402689436515</v>
      </c>
    </row>
    <row r="361" spans="1:16" x14ac:dyDescent="0.25">
      <c r="A361" s="1">
        <v>44681.333854166667</v>
      </c>
      <c r="B361">
        <v>46814739.021759033</v>
      </c>
      <c r="C361">
        <v>46814636.478614807</v>
      </c>
      <c r="D361">
        <v>16511.534501306713</v>
      </c>
      <c r="E361">
        <v>140444.21706527472</v>
      </c>
      <c r="F361">
        <v>1.0945424278153746E+19</v>
      </c>
      <c r="G361">
        <v>4576</v>
      </c>
      <c r="H361">
        <v>3.5269561434160101E-4</v>
      </c>
      <c r="I361">
        <v>2835.3060240535247</v>
      </c>
      <c r="J361">
        <v>361</v>
      </c>
      <c r="K361">
        <f t="shared" si="33"/>
        <v>35.269561434160103</v>
      </c>
      <c r="L361">
        <f t="shared" si="34"/>
        <v>3.52695614341601E-9</v>
      </c>
      <c r="M361">
        <f t="shared" si="40"/>
        <v>53.416509555543833</v>
      </c>
      <c r="N361">
        <f t="shared" si="37"/>
        <v>49.534603503920138</v>
      </c>
      <c r="O361" s="2">
        <f t="shared" si="35"/>
        <v>4.8802593849339594E-6</v>
      </c>
      <c r="P361" s="2">
        <f t="shared" si="36"/>
        <v>8.8235725474580931E-2</v>
      </c>
    </row>
    <row r="362" spans="1:16" x14ac:dyDescent="0.25">
      <c r="A362" s="1">
        <v>44682.333796296298</v>
      </c>
      <c r="B362">
        <v>43375012.407348633</v>
      </c>
      <c r="C362">
        <v>43359429.992401123</v>
      </c>
      <c r="D362">
        <v>15606.867791779339</v>
      </c>
      <c r="E362">
        <v>130125.03722205758</v>
      </c>
      <c r="F362">
        <v>1.091957962914714E+19</v>
      </c>
      <c r="G362">
        <v>4571</v>
      </c>
      <c r="H362">
        <v>3.6242010236274682E-4</v>
      </c>
      <c r="I362">
        <v>2759.2288437662282</v>
      </c>
      <c r="J362">
        <v>362</v>
      </c>
      <c r="K362">
        <f t="shared" si="33"/>
        <v>36.24201023627468</v>
      </c>
      <c r="L362">
        <f t="shared" si="34"/>
        <v>3.6242010236274682E-9</v>
      </c>
      <c r="M362">
        <f t="shared" si="40"/>
        <v>52.694998496045031</v>
      </c>
      <c r="N362">
        <f t="shared" si="37"/>
        <v>46.820603375338017</v>
      </c>
      <c r="O362" s="2">
        <f t="shared" si="35"/>
        <v>4.8257350819063269E-6</v>
      </c>
      <c r="P362" s="2">
        <f t="shared" si="36"/>
        <v>8.2469497316502507E-2</v>
      </c>
    </row>
    <row r="363" spans="1:16" x14ac:dyDescent="0.25">
      <c r="A363" s="1">
        <v>44683.333344907405</v>
      </c>
      <c r="B363">
        <v>40522911.430183411</v>
      </c>
      <c r="C363">
        <v>40531571.647361755</v>
      </c>
      <c r="D363">
        <v>14412.937375303358</v>
      </c>
      <c r="E363">
        <v>121568.73429054022</v>
      </c>
      <c r="F363">
        <v>1.1402554087079231E+19</v>
      </c>
      <c r="G363">
        <v>4576</v>
      </c>
      <c r="H363">
        <v>3.5731035743732123E-4</v>
      </c>
      <c r="I363">
        <v>2798.6874132956482</v>
      </c>
      <c r="J363">
        <v>363</v>
      </c>
      <c r="K363">
        <f t="shared" si="33"/>
        <v>35.731035743732122</v>
      </c>
      <c r="L363">
        <f t="shared" si="34"/>
        <v>3.5731035743732125E-9</v>
      </c>
      <c r="M363">
        <f t="shared" si="40"/>
        <v>53.070445472989071</v>
      </c>
      <c r="N363">
        <f t="shared" si="37"/>
        <v>43.238812125910073</v>
      </c>
      <c r="O363" s="2">
        <f t="shared" si="35"/>
        <v>4.654259481489826E-6</v>
      </c>
      <c r="P363" s="2">
        <f t="shared" si="36"/>
        <v>7.3454297726461587E-2</v>
      </c>
    </row>
    <row r="364" spans="1:16" x14ac:dyDescent="0.25">
      <c r="A364" s="1">
        <v>44684.33388888889</v>
      </c>
      <c r="B364">
        <v>47786509.384414673</v>
      </c>
      <c r="C364">
        <v>47794057.14150238</v>
      </c>
      <c r="D364">
        <v>16901.29445091635</v>
      </c>
      <c r="E364">
        <v>143359.52815324068</v>
      </c>
      <c r="F364">
        <v>1.2101337287816585E+19</v>
      </c>
      <c r="G364">
        <v>4580</v>
      </c>
      <c r="H364">
        <v>3.5202616232719202E-4</v>
      </c>
      <c r="I364">
        <v>2840.6979566210375</v>
      </c>
      <c r="J364">
        <v>364</v>
      </c>
      <c r="K364">
        <f t="shared" si="33"/>
        <v>35.202616232719201</v>
      </c>
      <c r="L364">
        <f t="shared" si="34"/>
        <v>3.5202616232719201E-9</v>
      </c>
      <c r="M364">
        <f t="shared" si="40"/>
        <v>53.467276811929921</v>
      </c>
      <c r="N364">
        <f t="shared" si="37"/>
        <v>50.703883352749052</v>
      </c>
      <c r="O364" s="2">
        <f t="shared" si="35"/>
        <v>4.4182948991728243E-6</v>
      </c>
      <c r="P364" s="2">
        <f t="shared" si="36"/>
        <v>8.176901885278233E-2</v>
      </c>
    </row>
    <row r="365" spans="1:16" x14ac:dyDescent="0.25">
      <c r="A365" s="1">
        <v>44685.333495370367</v>
      </c>
      <c r="B365">
        <v>32433292.498291016</v>
      </c>
      <c r="C365">
        <v>32440431.649475098</v>
      </c>
      <c r="D365">
        <v>11518.501063004136</v>
      </c>
      <c r="E365">
        <v>97299.877494871616</v>
      </c>
      <c r="F365">
        <v>1.2419920699953211E+19</v>
      </c>
      <c r="G365">
        <v>4598</v>
      </c>
      <c r="H365">
        <v>3.4786208459543406E-4</v>
      </c>
      <c r="I365">
        <v>2874.702487806358</v>
      </c>
      <c r="J365">
        <v>365</v>
      </c>
      <c r="K365">
        <f t="shared" si="33"/>
        <v>34.78620845954341</v>
      </c>
      <c r="L365">
        <f t="shared" si="34"/>
        <v>3.4786208459543407E-9</v>
      </c>
      <c r="M365">
        <f t="shared" si="40"/>
        <v>53.786339426119689</v>
      </c>
      <c r="N365">
        <f t="shared" si="37"/>
        <v>34.555503189012406</v>
      </c>
      <c r="O365" s="2">
        <f t="shared" si="35"/>
        <v>4.3306507928285169E-6</v>
      </c>
      <c r="P365" s="2">
        <f t="shared" si="36"/>
        <v>5.4621453307960997E-2</v>
      </c>
    </row>
    <row r="366" spans="1:16" x14ac:dyDescent="0.25">
      <c r="A366" s="1">
        <v>44686.333402777775</v>
      </c>
      <c r="B366">
        <v>45047673.894691467</v>
      </c>
      <c r="C366">
        <v>45063498.643440247</v>
      </c>
      <c r="D366">
        <v>15613.931312926114</v>
      </c>
      <c r="E366">
        <v>135143.02168408036</v>
      </c>
      <c r="F366">
        <v>1.2359003003684248E+19</v>
      </c>
      <c r="G366">
        <v>4609</v>
      </c>
      <c r="H366">
        <v>3.4134955408193811E-4</v>
      </c>
      <c r="I366">
        <v>2929.5482828138056</v>
      </c>
      <c r="J366">
        <v>366</v>
      </c>
      <c r="K366">
        <f t="shared" si="33"/>
        <v>34.134955408193811</v>
      </c>
      <c r="L366">
        <f t="shared" si="34"/>
        <v>3.413495540819381E-9</v>
      </c>
      <c r="M366">
        <f t="shared" si="40"/>
        <v>54.297003890386989</v>
      </c>
      <c r="N366">
        <f t="shared" si="37"/>
        <v>46.841793938778345</v>
      </c>
      <c r="O366" s="2">
        <f t="shared" si="35"/>
        <v>4.3933158584232832E-6</v>
      </c>
      <c r="P366" s="2">
        <f t="shared" si="36"/>
        <v>7.511364059410415E-2</v>
      </c>
    </row>
    <row r="367" spans="1:16" x14ac:dyDescent="0.25">
      <c r="A367" s="1">
        <v>44687.333425925928</v>
      </c>
      <c r="B367">
        <v>77215182.927406311</v>
      </c>
      <c r="C367">
        <v>77163149.705039978</v>
      </c>
      <c r="D367">
        <v>27990.000624690205</v>
      </c>
      <c r="E367">
        <v>231645.54878219962</v>
      </c>
      <c r="F367">
        <v>9.8735818721449923E+18</v>
      </c>
      <c r="G367">
        <v>4848</v>
      </c>
      <c r="H367">
        <v>3.7390527234394623E-4</v>
      </c>
      <c r="I367">
        <v>2674.474188960151</v>
      </c>
      <c r="J367">
        <v>367</v>
      </c>
      <c r="K367">
        <f t="shared" si="33"/>
        <v>37.390527234394625</v>
      </c>
      <c r="L367">
        <f t="shared" si="34"/>
        <v>3.739052723439462E-9</v>
      </c>
      <c r="M367">
        <f t="shared" si="40"/>
        <v>51.879375697730225</v>
      </c>
      <c r="N367">
        <f t="shared" si="37"/>
        <v>83.970001874070618</v>
      </c>
      <c r="O367" s="2">
        <f t="shared" si="35"/>
        <v>5.2543622334353179E-6</v>
      </c>
      <c r="P367" s="2">
        <f t="shared" si="36"/>
        <v>0.16104121440484248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tHistoricalActiveLiquidity">
                <anchor moveWithCells="1" sizeWithCells="1">
                  <from>
                    <xdr:col>21</xdr:col>
                    <xdr:colOff>85725</xdr:colOff>
                    <xdr:row>1</xdr:row>
                    <xdr:rowOff>57150</xdr:rowOff>
                  </from>
                  <to>
                    <xdr:col>22</xdr:col>
                    <xdr:colOff>466725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386"/>
  <sheetViews>
    <sheetView topLeftCell="K1" zoomScaleNormal="100" workbookViewId="0">
      <selection activeCell="AC24" sqref="AC24"/>
    </sheetView>
  </sheetViews>
  <sheetFormatPr defaultRowHeight="15" x14ac:dyDescent="0.25"/>
  <cols>
    <col min="1" max="1" width="10.7109375" style="6" bestFit="1" customWidth="1"/>
    <col min="14" max="14" width="11.140625" bestFit="1" customWidth="1"/>
    <col min="17" max="17" width="15.7109375" bestFit="1" customWidth="1"/>
    <col min="19" max="19" width="16.85546875" style="9" bestFit="1" customWidth="1"/>
    <col min="21" max="21" width="14.7109375" bestFit="1" customWidth="1"/>
    <col min="22" max="22" width="22.28515625" bestFit="1" customWidth="1"/>
    <col min="23" max="23" width="22.28515625" style="9" bestFit="1" customWidth="1"/>
    <col min="24" max="24" width="12" bestFit="1" customWidth="1"/>
    <col min="25" max="25" width="17.28515625" bestFit="1" customWidth="1"/>
    <col min="28" max="28" width="13.28515625" customWidth="1"/>
  </cols>
  <sheetData>
    <row r="1" spans="1:32" x14ac:dyDescent="0.25">
      <c r="A1" s="6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61</v>
      </c>
      <c r="K1" t="s">
        <v>78</v>
      </c>
      <c r="L1" t="s">
        <v>79</v>
      </c>
      <c r="M1" t="s">
        <v>80</v>
      </c>
      <c r="N1" t="s">
        <v>15</v>
      </c>
      <c r="O1" t="s">
        <v>63</v>
      </c>
      <c r="P1" t="s">
        <v>64</v>
      </c>
      <c r="Q1" s="9" t="s">
        <v>65</v>
      </c>
      <c r="R1" t="s">
        <v>66</v>
      </c>
      <c r="S1" s="9" t="s">
        <v>67</v>
      </c>
      <c r="T1" t="s">
        <v>68</v>
      </c>
      <c r="U1" s="9" t="s">
        <v>69</v>
      </c>
      <c r="V1" t="s">
        <v>70</v>
      </c>
      <c r="W1" s="9" t="s">
        <v>71</v>
      </c>
      <c r="X1" t="s">
        <v>72</v>
      </c>
      <c r="Y1" s="9" t="s">
        <v>73</v>
      </c>
      <c r="Z1" t="s">
        <v>61</v>
      </c>
      <c r="AA1" s="9" t="s">
        <v>62</v>
      </c>
      <c r="AB1" t="s">
        <v>74</v>
      </c>
      <c r="AC1" s="9" t="s">
        <v>75</v>
      </c>
      <c r="AD1" t="s">
        <v>76</v>
      </c>
      <c r="AE1" s="9" t="s">
        <v>81</v>
      </c>
      <c r="AF1" t="s">
        <v>77</v>
      </c>
    </row>
    <row r="2" spans="1:32" x14ac:dyDescent="0.25">
      <c r="A2" s="6">
        <v>44322.33353009259</v>
      </c>
      <c r="B2">
        <v>12381176.305271488</v>
      </c>
      <c r="C2">
        <v>12380929.273025</v>
      </c>
      <c r="D2">
        <v>3573.8383232071124</v>
      </c>
      <c r="E2">
        <v>37143.528915814459</v>
      </c>
      <c r="F2">
        <v>2.694445744720002E+18</v>
      </c>
      <c r="G2">
        <v>354</v>
      </c>
      <c r="H2">
        <v>2.8506466433217143E-4</v>
      </c>
      <c r="I2">
        <v>3507.9759967540199</v>
      </c>
      <c r="J2">
        <v>-9.0974001514161195E-3</v>
      </c>
      <c r="K2">
        <v>0.26954533817100929</v>
      </c>
      <c r="L2">
        <f>SQRT(MAX(0,8*(N2/(365/15)-LN(COSH(K2/2))),0))*SQRT(365/15)</f>
        <v>0</v>
      </c>
      <c r="N2" s="2">
        <v>8.6294560258137226E-2</v>
      </c>
      <c r="O2" s="9">
        <v>0.98148064098092314</v>
      </c>
      <c r="P2">
        <f>SQRT(MAX(0,8*(N2-LN(COSH(LN(3)/2))),0))</f>
        <v>0</v>
      </c>
      <c r="R2">
        <f>SQRT(MAX(0,8*(N2-LN(COSH(LN(2)/2))),0))</f>
        <v>0.46821398894048938</v>
      </c>
      <c r="T2">
        <v>0.99900000000000011</v>
      </c>
      <c r="U2">
        <v>0.80833333333333335</v>
      </c>
      <c r="V2">
        <v>1.4482458212096496</v>
      </c>
      <c r="W2" s="9">
        <v>1.68012859289977</v>
      </c>
      <c r="X2">
        <f>IF(EXP(2*N2-O2*O2/4)-1&lt;0,0,2*LN(EXP(N2-O2*O2/8)+SQRT(EXP(2*N2-O2*O2/4)-1)))</f>
        <v>0</v>
      </c>
      <c r="Z2">
        <v>-9.0974001514161178E-3</v>
      </c>
      <c r="AA2">
        <v>0.49950283050830668</v>
      </c>
      <c r="AD2">
        <f>LN(N2/365+1)</f>
        <v>2.3639550914184791E-4</v>
      </c>
    </row>
    <row r="3" spans="1:32" x14ac:dyDescent="0.25">
      <c r="A3" s="6">
        <v>44323.333483796298</v>
      </c>
      <c r="B3">
        <v>55465469.960961416</v>
      </c>
      <c r="C3">
        <v>55457377.533581004</v>
      </c>
      <c r="D3">
        <v>15944.306614182387</v>
      </c>
      <c r="E3">
        <v>166396.40988288427</v>
      </c>
      <c r="F3">
        <v>6.6394017356407562E+18</v>
      </c>
      <c r="G3">
        <v>684</v>
      </c>
      <c r="H3">
        <v>2.8940158527358242E-4</v>
      </c>
      <c r="I3">
        <v>3455.4060892743955</v>
      </c>
      <c r="J3">
        <f>LN(I3/I2)</f>
        <v>-1.5099245050327436E-2</v>
      </c>
      <c r="K3">
        <v>0.30270831363437123</v>
      </c>
      <c r="L3">
        <f t="shared" ref="L3:L30" si="0">SQRT(MAX(0,8*(N3/(365/15)-LN(COSH(K3/2))),0))*SQRT(365/15)</f>
        <v>0</v>
      </c>
      <c r="N3" s="2">
        <v>0.15506575279273618</v>
      </c>
      <c r="O3" s="9">
        <v>0.93082046305761601</v>
      </c>
      <c r="P3">
        <f t="shared" ref="P3:P66" si="1">SQRT(MAX(0,8*(N3-LN(COSH(LN(3)/2))),0))</f>
        <v>0.29966269793680744</v>
      </c>
      <c r="R3">
        <f t="shared" ref="R3:R66" si="2">SQRT(MAX(0,8*(N3-LN(COSH(LN(2)/2))),0))</f>
        <v>0.87715100166183269</v>
      </c>
      <c r="T3">
        <v>0.87809999999999999</v>
      </c>
      <c r="U3">
        <v>0.81453333333333333</v>
      </c>
      <c r="V3">
        <v>1.4555834908709242</v>
      </c>
      <c r="W3" s="9">
        <v>1.6861549062462413</v>
      </c>
      <c r="X3">
        <f t="shared" ref="X3:X66" si="3">IF(EXP(2*N3-O3*O3/4)-1&lt;0,0,2*LN(EXP(N3-O3*O3/8)+SQRT(EXP(2*N3-O3*O3/4)-1)))</f>
        <v>0.61641445764610014</v>
      </c>
      <c r="Z3">
        <f>LN(I3/I2)</f>
        <v>-1.5099245050327436E-2</v>
      </c>
      <c r="AA3">
        <v>0.56981004914079203</v>
      </c>
      <c r="AD3">
        <f t="shared" ref="AD3:AD66" si="4">LN(N3/365+1)</f>
        <v>4.2474746090863044E-4</v>
      </c>
    </row>
    <row r="4" spans="1:32" x14ac:dyDescent="0.25">
      <c r="A4" s="6">
        <v>44324.333356481482</v>
      </c>
      <c r="B4">
        <v>41550245.505310476</v>
      </c>
      <c r="C4">
        <v>41557677.298431993</v>
      </c>
      <c r="D4">
        <v>11827.306425057566</v>
      </c>
      <c r="E4">
        <v>124650.73651593144</v>
      </c>
      <c r="F4">
        <v>7.1521649565926994E+18</v>
      </c>
      <c r="G4">
        <v>897</v>
      </c>
      <c r="H4">
        <v>2.8251072003584115E-4</v>
      </c>
      <c r="I4">
        <v>3539.6886881783935</v>
      </c>
      <c r="J4">
        <f t="shared" ref="J4:J67" si="5">LN(I4/I3)</f>
        <v>2.4098795080324895E-2</v>
      </c>
      <c r="K4">
        <v>0.33227065497630137</v>
      </c>
      <c r="L4">
        <f t="shared" si="0"/>
        <v>0</v>
      </c>
      <c r="N4" s="2">
        <v>0.1080738232149801</v>
      </c>
      <c r="O4" s="9">
        <v>0.97874531600459458</v>
      </c>
      <c r="P4">
        <f t="shared" si="1"/>
        <v>0</v>
      </c>
      <c r="R4">
        <f t="shared" si="2"/>
        <v>0.62726265877565812</v>
      </c>
      <c r="T4">
        <v>0.99750000000000005</v>
      </c>
      <c r="U4">
        <v>0.82778666666666656</v>
      </c>
      <c r="V4">
        <v>1.4679479000588271</v>
      </c>
      <c r="W4" s="9">
        <v>1.6958892397419729</v>
      </c>
      <c r="X4">
        <f t="shared" si="3"/>
        <v>0</v>
      </c>
      <c r="Z4">
        <f t="shared" ref="Z4:Z67" si="6">LN(I4/I3)</f>
        <v>2.4098795080324895E-2</v>
      </c>
      <c r="AA4">
        <v>0.62517381432516717</v>
      </c>
      <c r="AD4">
        <f t="shared" si="4"/>
        <v>2.960488395598995E-4</v>
      </c>
    </row>
    <row r="5" spans="1:32" x14ac:dyDescent="0.25">
      <c r="A5" s="6">
        <v>44325.333356481482</v>
      </c>
      <c r="B5">
        <v>68791868.626536638</v>
      </c>
      <c r="C5">
        <v>68801080.397799015</v>
      </c>
      <c r="D5">
        <v>18028.903744930289</v>
      </c>
      <c r="E5">
        <v>206375.60587960994</v>
      </c>
      <c r="F5">
        <v>7.810432353184342E+18</v>
      </c>
      <c r="G5">
        <v>884</v>
      </c>
      <c r="H5">
        <v>2.5799005472301257E-4</v>
      </c>
      <c r="I5">
        <v>3876.1184072526985</v>
      </c>
      <c r="J5">
        <f t="shared" si="5"/>
        <v>9.0795460302633968E-2</v>
      </c>
      <c r="K5">
        <v>0.33940913499344594</v>
      </c>
      <c r="L5">
        <f t="shared" si="0"/>
        <v>0</v>
      </c>
      <c r="N5" s="2">
        <v>0.15786375084575516</v>
      </c>
      <c r="O5" s="9">
        <v>0.9746623165488677</v>
      </c>
      <c r="P5">
        <f t="shared" si="1"/>
        <v>0.33493539221604829</v>
      </c>
      <c r="R5">
        <f t="shared" si="2"/>
        <v>0.88981900639428257</v>
      </c>
      <c r="T5">
        <v>0.99950000000000006</v>
      </c>
      <c r="U5">
        <v>0.83998333333333319</v>
      </c>
      <c r="V5">
        <v>1.4959369348906149</v>
      </c>
      <c r="W5" s="9">
        <v>1.7209597891742143</v>
      </c>
      <c r="X5">
        <f t="shared" si="3"/>
        <v>0.56306763626769651</v>
      </c>
      <c r="Z5">
        <f t="shared" si="6"/>
        <v>9.0795460302633968E-2</v>
      </c>
      <c r="AA5">
        <v>0.63977854541290258</v>
      </c>
      <c r="AD5">
        <f t="shared" si="4"/>
        <v>4.324099243267617E-4</v>
      </c>
    </row>
    <row r="6" spans="1:32" x14ac:dyDescent="0.25">
      <c r="A6" s="6">
        <v>44326.333333333336</v>
      </c>
      <c r="B6">
        <v>78964908.256811738</v>
      </c>
      <c r="C6">
        <v>78433212.669763982</v>
      </c>
      <c r="D6">
        <v>19861.079596177937</v>
      </c>
      <c r="E6">
        <v>236894.72477043513</v>
      </c>
      <c r="F6">
        <v>3.8391785077355663E+18</v>
      </c>
      <c r="G6">
        <v>886</v>
      </c>
      <c r="H6">
        <v>2.4653976685184927E-4</v>
      </c>
      <c r="I6">
        <v>4056.1407709974847</v>
      </c>
      <c r="J6">
        <f t="shared" si="5"/>
        <v>4.5397730151316783E-2</v>
      </c>
      <c r="K6">
        <v>0.32724901485126656</v>
      </c>
      <c r="L6">
        <f t="shared" si="0"/>
        <v>0.54862537548576396</v>
      </c>
      <c r="N6" s="2">
        <v>0.36191843953556774</v>
      </c>
      <c r="O6" s="9">
        <v>0.97553550090400021</v>
      </c>
      <c r="P6">
        <f t="shared" si="1"/>
        <v>1.3208403485953246</v>
      </c>
      <c r="R6">
        <f t="shared" si="2"/>
        <v>1.5569892015229292</v>
      </c>
      <c r="T6">
        <v>1.1794</v>
      </c>
      <c r="U6">
        <v>0.85493666666666668</v>
      </c>
      <c r="V6">
        <v>1.5068405576913972</v>
      </c>
      <c r="W6" s="9">
        <v>1.7301884331987238</v>
      </c>
      <c r="X6">
        <f t="shared" si="3"/>
        <v>1.4512382265279309</v>
      </c>
      <c r="Z6">
        <f t="shared" si="6"/>
        <v>4.5397730151316783E-2</v>
      </c>
      <c r="AA6">
        <v>0.61538832366729945</v>
      </c>
      <c r="AD6">
        <f t="shared" si="4"/>
        <v>9.9106610030328291E-4</v>
      </c>
    </row>
    <row r="7" spans="1:32" x14ac:dyDescent="0.25">
      <c r="A7" s="6">
        <v>44327.333668981482</v>
      </c>
      <c r="B7">
        <v>181207775.5013724</v>
      </c>
      <c r="C7">
        <v>180323683.73273301</v>
      </c>
      <c r="D7">
        <v>46060.942261178119</v>
      </c>
      <c r="E7">
        <v>543623.32650411734</v>
      </c>
      <c r="F7">
        <v>5.1307031032282307E+18</v>
      </c>
      <c r="G7">
        <v>882</v>
      </c>
      <c r="H7">
        <v>2.5041574746709753E-4</v>
      </c>
      <c r="I7">
        <v>3993.3590843019624</v>
      </c>
      <c r="J7">
        <f t="shared" si="5"/>
        <v>-1.5599220051994227E-2</v>
      </c>
      <c r="K7">
        <v>0.34907977318433964</v>
      </c>
      <c r="L7">
        <f t="shared" si="0"/>
        <v>1.4266075853156845</v>
      </c>
      <c r="N7" s="2">
        <v>0.62318181352012814</v>
      </c>
      <c r="O7" s="9">
        <v>0.98135772682401656</v>
      </c>
      <c r="P7">
        <f t="shared" si="1"/>
        <v>1.9582456991792174</v>
      </c>
      <c r="R7">
        <f t="shared" si="2"/>
        <v>2.1246934756654881</v>
      </c>
      <c r="T7">
        <v>1.1657</v>
      </c>
      <c r="U7">
        <v>0.86870333333333327</v>
      </c>
      <c r="V7">
        <v>1.5436918689379804</v>
      </c>
      <c r="W7" s="9">
        <v>1.7631777168415006</v>
      </c>
      <c r="X7">
        <f t="shared" si="3"/>
        <v>2.1771121156955289</v>
      </c>
      <c r="Z7">
        <f t="shared" si="6"/>
        <v>-1.5599220051994227E-2</v>
      </c>
      <c r="AA7">
        <v>0.65858161535509563</v>
      </c>
      <c r="AD7">
        <f t="shared" si="4"/>
        <v>1.7058915735421655E-3</v>
      </c>
    </row>
    <row r="8" spans="1:32" x14ac:dyDescent="0.25">
      <c r="A8" s="6">
        <v>44328.333414351851</v>
      </c>
      <c r="B8">
        <v>89049229.425067127</v>
      </c>
      <c r="C8">
        <v>88950163.721996009</v>
      </c>
      <c r="D8">
        <v>21482.241701090039</v>
      </c>
      <c r="E8">
        <v>267147.68827520125</v>
      </c>
      <c r="F8">
        <v>4.6596504014095442E+18</v>
      </c>
      <c r="G8">
        <v>898</v>
      </c>
      <c r="H8">
        <v>2.3498594557270716E-4</v>
      </c>
      <c r="I8">
        <v>4255.5736580875191</v>
      </c>
      <c r="J8">
        <f t="shared" si="5"/>
        <v>6.3596820211977004E-2</v>
      </c>
      <c r="K8">
        <v>0.30848417770983916</v>
      </c>
      <c r="L8">
        <f t="shared" si="0"/>
        <v>0.58002504641118324</v>
      </c>
      <c r="N8" s="2">
        <v>0.33036571880245558</v>
      </c>
      <c r="O8" s="9">
        <v>1.0603042978050383</v>
      </c>
      <c r="P8">
        <f t="shared" si="1"/>
        <v>1.2215553448831213</v>
      </c>
      <c r="R8">
        <f t="shared" si="2"/>
        <v>1.4737006506730299</v>
      </c>
      <c r="T8">
        <v>1.2394000000000001</v>
      </c>
      <c r="U8">
        <v>0.88359333333333334</v>
      </c>
      <c r="V8">
        <v>1.5885802134752456</v>
      </c>
      <c r="W8" s="9">
        <v>1.8045172770469671</v>
      </c>
      <c r="X8">
        <f t="shared" si="3"/>
        <v>1.2716828042351578</v>
      </c>
      <c r="Z8">
        <f t="shared" si="6"/>
        <v>6.3596820211977004E-2</v>
      </c>
      <c r="AA8">
        <v>0.5707664977233563</v>
      </c>
      <c r="AD8">
        <f t="shared" si="4"/>
        <v>9.0470219189264464E-4</v>
      </c>
    </row>
    <row r="9" spans="1:32" x14ac:dyDescent="0.25">
      <c r="A9" s="6">
        <v>44329.333564814813</v>
      </c>
      <c r="B9">
        <v>347320646.02655989</v>
      </c>
      <c r="C9">
        <v>347113336.87308103</v>
      </c>
      <c r="D9">
        <v>88628.802762505657</v>
      </c>
      <c r="E9">
        <v>1041961.9380796796</v>
      </c>
      <c r="F9">
        <v>5.2025275014002924E+18</v>
      </c>
      <c r="G9">
        <v>897</v>
      </c>
      <c r="H9">
        <v>2.6707227287819149E-4</v>
      </c>
      <c r="I9">
        <v>3744.3048251440473</v>
      </c>
      <c r="J9">
        <f t="shared" si="5"/>
        <v>-0.12799360042662056</v>
      </c>
      <c r="K9">
        <v>0.26260489026080719</v>
      </c>
      <c r="L9">
        <f t="shared" si="0"/>
        <v>2.7363075554053982</v>
      </c>
      <c r="N9" s="2">
        <v>1.1450797956175622</v>
      </c>
      <c r="O9" s="9">
        <v>1.0504498774513007</v>
      </c>
      <c r="P9">
        <f t="shared" si="1"/>
        <v>2.8301784528777287</v>
      </c>
      <c r="R9">
        <f t="shared" si="2"/>
        <v>2.9477968421034317</v>
      </c>
      <c r="T9">
        <v>1.1383000000000001</v>
      </c>
      <c r="U9">
        <v>0.89256333333333338</v>
      </c>
      <c r="V9">
        <v>1.5765790829725623</v>
      </c>
      <c r="W9" s="9">
        <v>1.7936455660839896</v>
      </c>
      <c r="X9">
        <f t="shared" si="3"/>
        <v>3.3302770225231551</v>
      </c>
      <c r="Z9">
        <f t="shared" si="6"/>
        <v>-0.12799360042662056</v>
      </c>
      <c r="AA9">
        <v>0.47986272798582869</v>
      </c>
      <c r="AD9">
        <f t="shared" si="4"/>
        <v>3.1322941601716584E-3</v>
      </c>
    </row>
    <row r="10" spans="1:32" x14ac:dyDescent="0.25">
      <c r="A10" s="6">
        <v>44330.333379629628</v>
      </c>
      <c r="B10">
        <v>258405996.34802628</v>
      </c>
      <c r="C10">
        <v>258422742.15137196</v>
      </c>
      <c r="D10">
        <v>68860.666952140891</v>
      </c>
      <c r="E10">
        <v>775217.98904407863</v>
      </c>
      <c r="F10">
        <v>6.9339861088393943E+18</v>
      </c>
      <c r="G10">
        <v>956</v>
      </c>
      <c r="H10">
        <v>2.4904230994198673E-4</v>
      </c>
      <c r="I10">
        <v>4015.3819655501325</v>
      </c>
      <c r="J10">
        <f t="shared" si="5"/>
        <v>6.9896505232974845E-2</v>
      </c>
      <c r="K10">
        <v>0.28170769467220497</v>
      </c>
      <c r="L10">
        <f t="shared" si="0"/>
        <v>1.8987775661302935</v>
      </c>
      <c r="N10" s="2">
        <v>0.69125986868045619</v>
      </c>
      <c r="O10" s="9">
        <v>1.0755419176759473</v>
      </c>
      <c r="P10">
        <f t="shared" si="1"/>
        <v>2.0926898144819566</v>
      </c>
      <c r="R10">
        <f t="shared" si="2"/>
        <v>2.2492102629185462</v>
      </c>
      <c r="T10">
        <v>1.0346</v>
      </c>
      <c r="U10">
        <v>0.90315666666666672</v>
      </c>
      <c r="V10">
        <v>1.5868659405180117</v>
      </c>
      <c r="W10" s="9">
        <v>1.8026925427536724</v>
      </c>
      <c r="X10">
        <f t="shared" si="3"/>
        <v>2.2859482810841154</v>
      </c>
      <c r="Z10">
        <f t="shared" si="6"/>
        <v>6.9896505232974845E-2</v>
      </c>
      <c r="AA10">
        <v>0.51587605715216112</v>
      </c>
      <c r="AD10">
        <f t="shared" si="4"/>
        <v>1.8920715570808916E-3</v>
      </c>
    </row>
    <row r="11" spans="1:32" x14ac:dyDescent="0.25">
      <c r="A11" s="6">
        <v>44331.333564814813</v>
      </c>
      <c r="B11">
        <v>174371652.95625043</v>
      </c>
      <c r="C11">
        <v>174355524.66437507</v>
      </c>
      <c r="D11">
        <v>43463.925764977059</v>
      </c>
      <c r="E11">
        <v>523114.95886875177</v>
      </c>
      <c r="F11">
        <v>8.8321560234631854E+18</v>
      </c>
      <c r="G11">
        <v>997</v>
      </c>
      <c r="H11">
        <v>2.567547313732212E-4</v>
      </c>
      <c r="I11">
        <v>3894.7675653399751</v>
      </c>
      <c r="J11">
        <f t="shared" si="5"/>
        <v>-3.049847510165574E-2</v>
      </c>
      <c r="K11">
        <v>0.21176600185963021</v>
      </c>
      <c r="L11">
        <f t="shared" si="0"/>
        <v>1.2687326856055341</v>
      </c>
      <c r="N11" s="2">
        <v>0.33735926757637097</v>
      </c>
      <c r="O11" s="9">
        <v>1.1670464870976345</v>
      </c>
      <c r="P11">
        <f t="shared" si="1"/>
        <v>1.2442450927385025</v>
      </c>
      <c r="R11">
        <f t="shared" si="2"/>
        <v>1.4925622258336282</v>
      </c>
      <c r="T11">
        <v>1.1039000000000001</v>
      </c>
      <c r="U11">
        <v>0.91703333333333348</v>
      </c>
      <c r="V11">
        <v>1.6090455696335846</v>
      </c>
      <c r="W11" s="9">
        <v>1.8228284734398248</v>
      </c>
      <c r="X11">
        <f t="shared" si="3"/>
        <v>1.1886896525762984</v>
      </c>
      <c r="Z11">
        <f t="shared" si="6"/>
        <v>-3.049847510165574E-2</v>
      </c>
      <c r="AA11">
        <v>0.36755950359404416</v>
      </c>
      <c r="AD11">
        <f t="shared" si="4"/>
        <v>9.2384508964199323E-4</v>
      </c>
    </row>
    <row r="12" spans="1:32" x14ac:dyDescent="0.25">
      <c r="A12" s="6">
        <v>44332.333460648151</v>
      </c>
      <c r="B12">
        <v>225422374.8891139</v>
      </c>
      <c r="C12">
        <v>225326519.71170783</v>
      </c>
      <c r="D12">
        <v>59898.840552644746</v>
      </c>
      <c r="E12">
        <v>676267.12466734182</v>
      </c>
      <c r="F12">
        <v>1.5754029013113139E+19</v>
      </c>
      <c r="G12">
        <v>1072</v>
      </c>
      <c r="H12">
        <v>2.6309628205821781E-4</v>
      </c>
      <c r="I12">
        <v>3800.8898954289307</v>
      </c>
      <c r="J12">
        <f t="shared" si="5"/>
        <v>-2.4398780081324661E-2</v>
      </c>
      <c r="K12">
        <v>0.22196066823723143</v>
      </c>
      <c r="L12">
        <f t="shared" si="0"/>
        <v>0.92927263026234785</v>
      </c>
      <c r="N12" s="2">
        <v>0.25748923355276249</v>
      </c>
      <c r="O12" s="9">
        <v>1.158503403707581</v>
      </c>
      <c r="P12">
        <f t="shared" si="1"/>
        <v>0.95351223307043986</v>
      </c>
      <c r="R12">
        <f t="shared" si="2"/>
        <v>1.2604688515772877</v>
      </c>
      <c r="T12">
        <v>1.2813999999999999</v>
      </c>
      <c r="U12">
        <v>0.93888000000000027</v>
      </c>
      <c r="V12">
        <v>1.6505028550550733</v>
      </c>
      <c r="W12" s="9">
        <v>1.8601529233573777</v>
      </c>
      <c r="X12">
        <f t="shared" si="3"/>
        <v>0.85994538796817455</v>
      </c>
      <c r="Z12">
        <f t="shared" si="6"/>
        <v>-2.4398780081324661E-2</v>
      </c>
      <c r="AA12">
        <v>0.38876530347163885</v>
      </c>
      <c r="AD12">
        <f t="shared" si="4"/>
        <v>7.0520124208235495E-4</v>
      </c>
    </row>
    <row r="13" spans="1:32" x14ac:dyDescent="0.25">
      <c r="A13" s="6">
        <v>44333.333611111113</v>
      </c>
      <c r="B13">
        <v>423437736.98131561</v>
      </c>
      <c r="C13">
        <v>423496356.87030101</v>
      </c>
      <c r="D13">
        <v>121674.37789062876</v>
      </c>
      <c r="E13">
        <v>1270313.2109439466</v>
      </c>
      <c r="F13">
        <v>8.9647826175849544E+18</v>
      </c>
      <c r="G13">
        <v>1124</v>
      </c>
      <c r="H13">
        <v>2.8500765995010481E-4</v>
      </c>
      <c r="I13">
        <v>3508.6776270331334</v>
      </c>
      <c r="J13">
        <f t="shared" si="5"/>
        <v>-7.9996000266637737E-2</v>
      </c>
      <c r="K13">
        <v>0.19777205260706254</v>
      </c>
      <c r="L13">
        <f t="shared" si="0"/>
        <v>2.4728031171135481</v>
      </c>
      <c r="N13" s="2">
        <v>0.88312211442924038</v>
      </c>
      <c r="O13" s="9">
        <v>1.2003294014149333</v>
      </c>
      <c r="P13">
        <f t="shared" si="1"/>
        <v>2.4319228247678422</v>
      </c>
      <c r="R13">
        <f t="shared" si="2"/>
        <v>2.5678482768279727</v>
      </c>
      <c r="T13">
        <v>1.3352000000000002</v>
      </c>
      <c r="U13">
        <v>0.96359666666666688</v>
      </c>
      <c r="V13">
        <v>1.6250770284862386</v>
      </c>
      <c r="W13" s="9">
        <v>1.8364806658829271</v>
      </c>
      <c r="X13">
        <f t="shared" si="3"/>
        <v>2.6566864946530351</v>
      </c>
      <c r="Z13">
        <f t="shared" si="6"/>
        <v>-7.9996000266637737E-2</v>
      </c>
      <c r="AA13">
        <v>0.33633352965654428</v>
      </c>
      <c r="AD13">
        <f t="shared" si="4"/>
        <v>2.4165903343170373E-3</v>
      </c>
    </row>
    <row r="14" spans="1:32" x14ac:dyDescent="0.25">
      <c r="A14" s="6">
        <v>44334.333333333336</v>
      </c>
      <c r="B14">
        <v>244379443.04402685</v>
      </c>
      <c r="C14">
        <v>244456497.52119517</v>
      </c>
      <c r="D14">
        <v>72649.233415204915</v>
      </c>
      <c r="E14">
        <v>733138.32913208101</v>
      </c>
      <c r="F14">
        <v>9.0331852578955336E+18</v>
      </c>
      <c r="G14">
        <v>1190</v>
      </c>
      <c r="H14">
        <v>2.8194629143346513E-4</v>
      </c>
      <c r="I14">
        <v>3546.7747950002181</v>
      </c>
      <c r="J14">
        <f t="shared" si="5"/>
        <v>1.0799460035996217E-2</v>
      </c>
      <c r="K14">
        <v>0.23511194935042484</v>
      </c>
      <c r="L14">
        <f t="shared" si="0"/>
        <v>1.6932429782632745</v>
      </c>
      <c r="N14" s="2">
        <v>0.52613425787243051</v>
      </c>
      <c r="O14" s="9">
        <v>1.1831143539145246</v>
      </c>
      <c r="P14">
        <f t="shared" si="1"/>
        <v>1.7488126752663709</v>
      </c>
      <c r="R14">
        <f t="shared" si="2"/>
        <v>1.9333757835335352</v>
      </c>
      <c r="T14">
        <v>1.228</v>
      </c>
      <c r="U14">
        <v>0.97706666666666697</v>
      </c>
      <c r="V14">
        <v>1.7511871040151188</v>
      </c>
      <c r="W14" s="9">
        <v>1.9577609770151922</v>
      </c>
      <c r="X14">
        <f t="shared" si="3"/>
        <v>1.7757021152046835</v>
      </c>
      <c r="Z14">
        <f t="shared" si="6"/>
        <v>1.0799460035996217E-2</v>
      </c>
      <c r="AA14">
        <v>0.41269953262803122</v>
      </c>
      <c r="AD14">
        <f t="shared" si="4"/>
        <v>1.4404258086583319E-3</v>
      </c>
    </row>
    <row r="15" spans="1:32" x14ac:dyDescent="0.25">
      <c r="A15" s="6">
        <v>44335.333333333336</v>
      </c>
      <c r="B15">
        <v>448058600.71194649</v>
      </c>
      <c r="C15">
        <v>447996822.46187401</v>
      </c>
      <c r="D15">
        <v>144772.18600559328</v>
      </c>
      <c r="E15">
        <v>1344175.8021358382</v>
      </c>
      <c r="F15">
        <v>4.9918639722591642E+18</v>
      </c>
      <c r="G15">
        <v>1184</v>
      </c>
      <c r="H15">
        <v>3.6948238908986815E-4</v>
      </c>
      <c r="I15">
        <v>2706.488941092055</v>
      </c>
      <c r="J15">
        <f t="shared" si="5"/>
        <v>-0.27038648090123624</v>
      </c>
      <c r="K15">
        <v>0.1196197097798572</v>
      </c>
      <c r="L15">
        <f t="shared" si="0"/>
        <v>3.5931676109359332</v>
      </c>
      <c r="N15" s="2">
        <v>1.6573535893419924</v>
      </c>
      <c r="O15" s="9">
        <v>1.6491718875190111</v>
      </c>
      <c r="P15">
        <f t="shared" si="1"/>
        <v>3.4796695855970028</v>
      </c>
      <c r="R15">
        <f t="shared" si="2"/>
        <v>3.5759888942934941</v>
      </c>
      <c r="T15">
        <v>2.2383000000000002</v>
      </c>
      <c r="U15">
        <v>1.0249800000000002</v>
      </c>
      <c r="V15">
        <v>1.8129361179346024</v>
      </c>
      <c r="W15" s="9">
        <v>2.0167030555839687</v>
      </c>
      <c r="X15">
        <f t="shared" si="3"/>
        <v>3.9841864128945099</v>
      </c>
      <c r="Z15">
        <f t="shared" si="6"/>
        <v>-0.27038648090123624</v>
      </c>
      <c r="AA15">
        <v>0.12746813539876845</v>
      </c>
      <c r="AD15">
        <f t="shared" si="4"/>
        <v>4.5304169114984919E-3</v>
      </c>
    </row>
    <row r="16" spans="1:32" x14ac:dyDescent="0.25">
      <c r="A16" s="6">
        <v>44336.333425925928</v>
      </c>
      <c r="B16">
        <v>615492956.4127779</v>
      </c>
      <c r="C16">
        <v>615506102.56020689</v>
      </c>
      <c r="D16">
        <v>243228.23860237771</v>
      </c>
      <c r="E16">
        <v>1846478.8692383347</v>
      </c>
      <c r="F16">
        <v>5.6002302417163643E+18</v>
      </c>
      <c r="G16">
        <v>1203</v>
      </c>
      <c r="H16">
        <v>3.6383622961006027E-4</v>
      </c>
      <c r="I16">
        <v>2748.4893438780005</v>
      </c>
      <c r="J16">
        <f t="shared" si="5"/>
        <v>1.5399230051328011E-2</v>
      </c>
      <c r="K16">
        <v>0.14734066690413658</v>
      </c>
      <c r="L16">
        <f t="shared" si="0"/>
        <v>4.4138023542523035</v>
      </c>
      <c r="N16" s="2">
        <v>2.5011791287024892</v>
      </c>
      <c r="O16" s="9">
        <v>1.6847490009588066</v>
      </c>
      <c r="P16">
        <f t="shared" si="1"/>
        <v>4.3426610205970242</v>
      </c>
      <c r="R16">
        <f t="shared" si="2"/>
        <v>4.4202150272350309</v>
      </c>
      <c r="T16">
        <v>1.9225999999999999</v>
      </c>
      <c r="U16">
        <v>1.0630033333333335</v>
      </c>
      <c r="V16">
        <v>1.877108003119182</v>
      </c>
      <c r="W16" s="9">
        <v>2.0770760361222771</v>
      </c>
      <c r="X16">
        <f t="shared" si="3"/>
        <v>5.6721889757613368</v>
      </c>
      <c r="Z16">
        <f t="shared" si="6"/>
        <v>1.5399230051328011E-2</v>
      </c>
      <c r="AA16">
        <v>0.1780356134151897</v>
      </c>
      <c r="AD16">
        <f t="shared" si="4"/>
        <v>6.8291735787287516E-3</v>
      </c>
    </row>
    <row r="17" spans="1:32" x14ac:dyDescent="0.25">
      <c r="A17" s="6">
        <v>44337.333587962959</v>
      </c>
      <c r="B17">
        <v>481295941.29200411</v>
      </c>
      <c r="C17">
        <v>481333967.37064505</v>
      </c>
      <c r="D17">
        <v>172718.41543466854</v>
      </c>
      <c r="E17">
        <v>1443887.8238760121</v>
      </c>
      <c r="F17">
        <v>9.373822995145087E+18</v>
      </c>
      <c r="G17">
        <v>1298</v>
      </c>
      <c r="H17">
        <v>3.6933463307508272E-4</v>
      </c>
      <c r="I17">
        <v>2707.5716990686551</v>
      </c>
      <c r="J17">
        <f t="shared" si="5"/>
        <v>-1.499925004999454E-2</v>
      </c>
      <c r="K17">
        <v>7.7043276952467446E-2</v>
      </c>
      <c r="L17">
        <f t="shared" si="0"/>
        <v>2.8776762189159988</v>
      </c>
      <c r="N17" s="2">
        <v>1.0531774082056309</v>
      </c>
      <c r="O17" s="9">
        <v>1.7552516034143195</v>
      </c>
      <c r="P17">
        <f t="shared" si="1"/>
        <v>2.6971635055809879</v>
      </c>
      <c r="R17">
        <f t="shared" si="2"/>
        <v>2.8203345764322916</v>
      </c>
      <c r="T17">
        <v>2.1919</v>
      </c>
      <c r="U17">
        <v>1.1107933333333335</v>
      </c>
      <c r="V17">
        <v>1.8863203441795158</v>
      </c>
      <c r="W17" s="9">
        <v>2.0857833717263636</v>
      </c>
      <c r="X17">
        <f t="shared" si="3"/>
        <v>2.5757400076905745</v>
      </c>
      <c r="Z17">
        <f t="shared" si="6"/>
        <v>-1.499925004999454E-2</v>
      </c>
      <c r="AA17">
        <v>2.7473888509515432E-2</v>
      </c>
      <c r="AD17">
        <f t="shared" si="4"/>
        <v>2.8812627298441503E-3</v>
      </c>
    </row>
    <row r="18" spans="1:32" x14ac:dyDescent="0.25">
      <c r="A18" s="6">
        <v>44338.333472222221</v>
      </c>
      <c r="B18">
        <v>622116407.39338446</v>
      </c>
      <c r="C18">
        <v>621933817.89913416</v>
      </c>
      <c r="D18">
        <v>261856.84214520571</v>
      </c>
      <c r="E18">
        <v>1866349.2221801523</v>
      </c>
      <c r="F18">
        <v>6.6524521355813878E+18</v>
      </c>
      <c r="G18">
        <v>1335</v>
      </c>
      <c r="H18">
        <v>4.1314453406815244E-4</v>
      </c>
      <c r="I18">
        <v>2420.4604382713187</v>
      </c>
      <c r="J18">
        <f t="shared" si="5"/>
        <v>-0.11209439537362637</v>
      </c>
      <c r="K18">
        <v>4.1119442750555332E-2</v>
      </c>
      <c r="L18">
        <f t="shared" si="0"/>
        <v>4.1203093835346625</v>
      </c>
      <c r="N18" s="2">
        <v>2.1272611908023733</v>
      </c>
      <c r="O18" s="9">
        <v>1.7658018053459794</v>
      </c>
      <c r="P18">
        <f t="shared" si="1"/>
        <v>3.9833856499982354</v>
      </c>
      <c r="R18">
        <f t="shared" si="2"/>
        <v>4.0677951501757628</v>
      </c>
      <c r="T18">
        <v>2.1951000000000001</v>
      </c>
      <c r="U18">
        <v>1.1577000000000004</v>
      </c>
      <c r="V18">
        <v>1.932185665305499</v>
      </c>
      <c r="W18" s="9">
        <v>2.1301382239644986</v>
      </c>
      <c r="X18">
        <f t="shared" si="3"/>
        <v>4.845639054528962</v>
      </c>
      <c r="Z18">
        <f t="shared" si="6"/>
        <v>-0.11209439537362637</v>
      </c>
      <c r="AA18">
        <v>4.5900402817921689E-2</v>
      </c>
      <c r="AD18">
        <f t="shared" si="4"/>
        <v>5.8111951023501907E-3</v>
      </c>
    </row>
    <row r="19" spans="1:32" x14ac:dyDescent="0.25">
      <c r="A19" s="6">
        <v>44339.333414351851</v>
      </c>
      <c r="B19">
        <v>384367178.35334492</v>
      </c>
      <c r="C19">
        <v>384266474.58577824</v>
      </c>
      <c r="D19">
        <v>173357.4158364404</v>
      </c>
      <c r="E19">
        <v>1153101.5350600369</v>
      </c>
      <c r="F19">
        <v>5.9765674919865743E+18</v>
      </c>
      <c r="G19">
        <v>1398</v>
      </c>
      <c r="H19">
        <v>4.70780032953669E-4</v>
      </c>
      <c r="I19">
        <v>2124.1342665405973</v>
      </c>
      <c r="J19">
        <f t="shared" si="5"/>
        <v>-0.1305934704352863</v>
      </c>
      <c r="K19">
        <v>8.9069734930768557E-3</v>
      </c>
      <c r="L19">
        <f t="shared" si="0"/>
        <v>3.4272432131377468</v>
      </c>
      <c r="N19" s="2">
        <v>1.4684908125733027</v>
      </c>
      <c r="O19" s="9">
        <v>1.7888430585165069</v>
      </c>
      <c r="P19">
        <f t="shared" si="1"/>
        <v>3.2553338094240503</v>
      </c>
      <c r="R19">
        <f t="shared" si="2"/>
        <v>3.3580938578248358</v>
      </c>
      <c r="T19">
        <v>2.2814999999999999</v>
      </c>
      <c r="U19">
        <v>1.204186666666667</v>
      </c>
      <c r="V19">
        <v>1.9705307262279463</v>
      </c>
      <c r="W19" s="9">
        <v>2.1649776040199353</v>
      </c>
      <c r="X19">
        <f t="shared" si="3"/>
        <v>3.4614846110972506</v>
      </c>
      <c r="Z19">
        <f t="shared" si="6"/>
        <v>-0.1305934704352863</v>
      </c>
      <c r="AA19">
        <v>0.11369123745231308</v>
      </c>
      <c r="AD19">
        <f t="shared" si="4"/>
        <v>4.015190822038427E-3</v>
      </c>
    </row>
    <row r="20" spans="1:32" x14ac:dyDescent="0.25">
      <c r="A20" s="6">
        <v>44340.333333333336</v>
      </c>
      <c r="B20">
        <v>606501969.12465954</v>
      </c>
      <c r="C20">
        <v>606349923.93057823</v>
      </c>
      <c r="D20">
        <v>300047.91478776676</v>
      </c>
      <c r="E20">
        <v>1819505.9073739778</v>
      </c>
      <c r="F20">
        <v>9.4386727066014556E+18</v>
      </c>
      <c r="G20">
        <v>1454</v>
      </c>
      <c r="H20">
        <v>4.2254517672382359E-4</v>
      </c>
      <c r="I20">
        <v>2366.6108503555397</v>
      </c>
      <c r="J20">
        <f t="shared" si="5"/>
        <v>0.10809459536029455</v>
      </c>
      <c r="K20">
        <v>0.16682113201996063</v>
      </c>
      <c r="L20">
        <f t="shared" si="0"/>
        <v>3.593564741339859</v>
      </c>
      <c r="N20" s="2">
        <v>1.6987628962744015</v>
      </c>
      <c r="O20" s="9">
        <v>1.9435301195925663</v>
      </c>
      <c r="P20">
        <f t="shared" si="1"/>
        <v>3.5269497983935194</v>
      </c>
      <c r="R20">
        <f t="shared" si="2"/>
        <v>3.6220120137251999</v>
      </c>
      <c r="T20">
        <v>1.7562</v>
      </c>
      <c r="U20">
        <v>1.23089</v>
      </c>
      <c r="V20">
        <v>1.998033576238522</v>
      </c>
      <c r="W20" s="9">
        <v>2.1897155992831401</v>
      </c>
      <c r="X20">
        <f t="shared" si="3"/>
        <v>3.7950261925500532</v>
      </c>
      <c r="Z20">
        <f t="shared" si="6"/>
        <v>0.10809459536029455</v>
      </c>
      <c r="AA20">
        <v>0.17841037394005158</v>
      </c>
      <c r="AD20">
        <f t="shared" si="4"/>
        <v>4.6433478765386541E-3</v>
      </c>
    </row>
    <row r="21" spans="1:32" x14ac:dyDescent="0.25">
      <c r="A21" s="6">
        <v>44341.333622685182</v>
      </c>
      <c r="B21">
        <v>660173524.29438114</v>
      </c>
      <c r="C21">
        <v>660232450.7918911</v>
      </c>
      <c r="D21">
        <v>258885.4448616528</v>
      </c>
      <c r="E21">
        <v>1980520.5728831422</v>
      </c>
      <c r="F21">
        <v>9.147909554373804E+18</v>
      </c>
      <c r="G21">
        <v>1513</v>
      </c>
      <c r="H21">
        <v>4.1455154569899417E-4</v>
      </c>
      <c r="I21">
        <v>2412.2452572546908</v>
      </c>
      <c r="J21">
        <f t="shared" si="5"/>
        <v>1.9099045063659559E-2</v>
      </c>
      <c r="K21">
        <v>0.15519236612635978</v>
      </c>
      <c r="L21">
        <f t="shared" si="0"/>
        <v>3.4101377606147008</v>
      </c>
      <c r="N21" s="2">
        <v>1.5268140845833698</v>
      </c>
      <c r="O21" s="9">
        <v>1.9392447992694528</v>
      </c>
      <c r="P21">
        <f t="shared" si="1"/>
        <v>3.3262267491648605</v>
      </c>
      <c r="R21">
        <f t="shared" si="2"/>
        <v>3.4268616158288947</v>
      </c>
      <c r="T21">
        <v>1.6913999999999998</v>
      </c>
      <c r="U21">
        <v>1.2560200000000001</v>
      </c>
      <c r="V21">
        <v>2.0122087565272935</v>
      </c>
      <c r="W21" s="9">
        <v>2.2022480623692156</v>
      </c>
      <c r="X21">
        <f t="shared" si="3"/>
        <v>3.4364087020001604</v>
      </c>
      <c r="Z21">
        <f t="shared" si="6"/>
        <v>1.9099045063659559E-2</v>
      </c>
      <c r="AA21">
        <v>0.15583663397215977</v>
      </c>
      <c r="AD21">
        <f t="shared" si="4"/>
        <v>4.1743276452718596E-3</v>
      </c>
    </row>
    <row r="22" spans="1:32" x14ac:dyDescent="0.25">
      <c r="A22" s="6">
        <v>44342.333564814813</v>
      </c>
      <c r="B22">
        <v>440156335.96854782</v>
      </c>
      <c r="C22">
        <v>440246043.89272499</v>
      </c>
      <c r="D22">
        <v>164009.71394453896</v>
      </c>
      <c r="E22">
        <v>1320469.0079056472</v>
      </c>
      <c r="F22">
        <v>1.9758674328809378E+19</v>
      </c>
      <c r="G22">
        <v>1590</v>
      </c>
      <c r="H22">
        <v>3.5336633946024933E-4</v>
      </c>
      <c r="I22">
        <v>2829.9243259203849</v>
      </c>
      <c r="J22">
        <f t="shared" si="5"/>
        <v>0.15969201553227591</v>
      </c>
      <c r="K22">
        <v>0.14173997350315276</v>
      </c>
      <c r="L22">
        <f t="shared" si="0"/>
        <v>1.8417294670970219</v>
      </c>
      <c r="N22" s="2">
        <v>0.48505259708181092</v>
      </c>
      <c r="O22" s="9">
        <v>1.9273813483068807</v>
      </c>
      <c r="P22">
        <f t="shared" si="1"/>
        <v>1.6521781038518106</v>
      </c>
      <c r="R22">
        <f t="shared" si="2"/>
        <v>1.8464259080799734</v>
      </c>
      <c r="T22">
        <v>1.5122</v>
      </c>
      <c r="U22">
        <v>1.2792600000000001</v>
      </c>
      <c r="V22">
        <v>2.021138392883016</v>
      </c>
      <c r="W22" s="9">
        <v>2.2098126859423806</v>
      </c>
      <c r="X22">
        <f t="shared" si="3"/>
        <v>0.40837238830863271</v>
      </c>
      <c r="Z22">
        <f t="shared" si="6"/>
        <v>0.15969201553227591</v>
      </c>
      <c r="AA22">
        <v>0.13081698008296652</v>
      </c>
      <c r="AD22">
        <f t="shared" si="4"/>
        <v>1.3280290038690694E-3</v>
      </c>
    </row>
    <row r="23" spans="1:32" x14ac:dyDescent="0.25">
      <c r="A23" s="6">
        <v>44343.333344907405</v>
      </c>
      <c r="B23">
        <v>495333469.49500084</v>
      </c>
      <c r="C23">
        <v>495365661.73082161</v>
      </c>
      <c r="D23">
        <v>179988.73427077197</v>
      </c>
      <c r="E23">
        <v>1486000.4084849991</v>
      </c>
      <c r="F23">
        <v>1.6083178375980521E+19</v>
      </c>
      <c r="G23">
        <v>1681</v>
      </c>
      <c r="H23">
        <v>3.5333100635961338E-4</v>
      </c>
      <c r="I23">
        <v>2830.2073183529769</v>
      </c>
      <c r="J23">
        <f t="shared" si="5"/>
        <v>9.9995000333297321E-5</v>
      </c>
      <c r="K23">
        <v>9.0235333983012256E-2</v>
      </c>
      <c r="L23">
        <f t="shared" si="0"/>
        <v>2.2436284276359406</v>
      </c>
      <c r="N23" s="2">
        <v>0.65399168106125083</v>
      </c>
      <c r="O23" s="9">
        <v>1.9307547292339473</v>
      </c>
      <c r="P23">
        <f t="shared" si="1"/>
        <v>2.0201992868731748</v>
      </c>
      <c r="R23">
        <f t="shared" si="2"/>
        <v>2.181926054169681</v>
      </c>
      <c r="T23">
        <v>1.4938999999999998</v>
      </c>
      <c r="U23">
        <v>1.3009433333333333</v>
      </c>
      <c r="V23">
        <v>2.0477773551634595</v>
      </c>
      <c r="W23" s="9">
        <v>2.233512758485281</v>
      </c>
      <c r="X23">
        <f t="shared" si="3"/>
        <v>1.2651934033471521</v>
      </c>
      <c r="Z23">
        <f t="shared" si="6"/>
        <v>9.9995000333297321E-5</v>
      </c>
      <c r="AA23">
        <v>2.7272839563589411E-2</v>
      </c>
      <c r="AD23">
        <f t="shared" si="4"/>
        <v>1.7901547467303971E-3</v>
      </c>
    </row>
    <row r="24" spans="1:32" x14ac:dyDescent="0.25">
      <c r="A24" s="6">
        <v>44344.333784722221</v>
      </c>
      <c r="B24">
        <v>400898346.74466419</v>
      </c>
      <c r="C24">
        <v>400718084.72999477</v>
      </c>
      <c r="D24">
        <v>150401.07115596393</v>
      </c>
      <c r="E24">
        <v>1202695.040233992</v>
      </c>
      <c r="F24">
        <v>1.522328558564427E+19</v>
      </c>
      <c r="G24">
        <v>1789</v>
      </c>
      <c r="H24">
        <v>4.1104296557565434E-4</v>
      </c>
      <c r="I24">
        <v>2432.8356978437218</v>
      </c>
      <c r="J24">
        <f t="shared" si="5"/>
        <v>-0.15129243550427882</v>
      </c>
      <c r="K24">
        <v>1.6852446518361569E-2</v>
      </c>
      <c r="L24">
        <f t="shared" si="0"/>
        <v>2.0677049750101384</v>
      </c>
      <c r="N24" s="2">
        <v>0.53528932113871774</v>
      </c>
      <c r="O24" s="9">
        <v>1.9747545745880271</v>
      </c>
      <c r="P24">
        <f t="shared" si="1"/>
        <v>1.7696288535460249</v>
      </c>
      <c r="R24">
        <f t="shared" si="2"/>
        <v>1.9522249938171083</v>
      </c>
      <c r="T24">
        <v>1.7143000000000002</v>
      </c>
      <c r="U24">
        <v>1.3306466666666668</v>
      </c>
      <c r="V24">
        <v>2.0664411144728723</v>
      </c>
      <c r="W24" s="9">
        <v>2.2492786655617758</v>
      </c>
      <c r="X24">
        <f t="shared" si="3"/>
        <v>0.62353738928759606</v>
      </c>
      <c r="Z24">
        <f t="shared" si="6"/>
        <v>-0.15129243550427882</v>
      </c>
      <c r="AA24">
        <v>0.12655492736833193</v>
      </c>
      <c r="AD24">
        <f t="shared" si="4"/>
        <v>1.4654717568413069E-3</v>
      </c>
    </row>
    <row r="25" spans="1:32" x14ac:dyDescent="0.25">
      <c r="A25" s="6">
        <v>44345.333518518521</v>
      </c>
      <c r="B25">
        <v>585392645.46136951</v>
      </c>
      <c r="C25">
        <v>585451898.91817188</v>
      </c>
      <c r="D25">
        <v>235820.33119766694</v>
      </c>
      <c r="E25">
        <v>1756177.9363841079</v>
      </c>
      <c r="F25">
        <v>2.400019929869276E+19</v>
      </c>
      <c r="G25">
        <v>1913</v>
      </c>
      <c r="H25">
        <v>4.0829831976650334E-4</v>
      </c>
      <c r="I25">
        <v>2449.1896037482534</v>
      </c>
      <c r="J25">
        <f t="shared" si="5"/>
        <v>6.6996650223307913E-3</v>
      </c>
      <c r="K25">
        <v>-1.4191719096805139E-2</v>
      </c>
      <c r="L25">
        <f t="shared" si="0"/>
        <v>2.0659958301790464</v>
      </c>
      <c r="N25" s="2">
        <v>0.53415494769202643</v>
      </c>
      <c r="O25" s="9">
        <v>1.9839312200271499</v>
      </c>
      <c r="P25">
        <f t="shared" si="1"/>
        <v>1.7670628997659048</v>
      </c>
      <c r="R25">
        <f t="shared" si="2"/>
        <v>1.9498993407124068</v>
      </c>
      <c r="T25">
        <v>1.8522999999999998</v>
      </c>
      <c r="U25">
        <v>1.3661333333333334</v>
      </c>
      <c r="V25">
        <v>2.0809990965670182</v>
      </c>
      <c r="W25" s="9">
        <v>2.2607386255216833</v>
      </c>
      <c r="X25">
        <f t="shared" si="3"/>
        <v>0.58482672722395534</v>
      </c>
      <c r="Z25">
        <f t="shared" si="6"/>
        <v>6.6996650223307913E-3</v>
      </c>
      <c r="AA25">
        <v>0.19013616774696984</v>
      </c>
      <c r="AD25">
        <f t="shared" si="4"/>
        <v>1.462368430732969E-3</v>
      </c>
    </row>
    <row r="26" spans="1:32" x14ac:dyDescent="0.25">
      <c r="A26" s="6">
        <v>44346.333495370367</v>
      </c>
      <c r="B26">
        <v>679971497.36489868</v>
      </c>
      <c r="C26">
        <v>679984203.9374361</v>
      </c>
      <c r="D26">
        <v>293807.78528561769</v>
      </c>
      <c r="E26">
        <v>2039914.4920946993</v>
      </c>
      <c r="F26">
        <v>2.8588635676345823E+19</v>
      </c>
      <c r="G26">
        <v>2024</v>
      </c>
      <c r="H26">
        <v>4.0829831976650334E-4</v>
      </c>
      <c r="I26">
        <v>2449.1896037482534</v>
      </c>
      <c r="J26">
        <f t="shared" si="5"/>
        <v>0</v>
      </c>
      <c r="K26">
        <v>7.2795424517661522E-3</v>
      </c>
      <c r="L26">
        <f t="shared" si="0"/>
        <v>2.1138185321670062</v>
      </c>
      <c r="N26" s="2">
        <v>0.55868978121471391</v>
      </c>
      <c r="O26" s="9">
        <v>1.9924350480267414</v>
      </c>
      <c r="P26">
        <f t="shared" si="1"/>
        <v>1.8217546376805489</v>
      </c>
      <c r="R26">
        <f t="shared" si="2"/>
        <v>1.9995964860671711</v>
      </c>
      <c r="T26">
        <v>1.5331000000000001</v>
      </c>
      <c r="U26">
        <v>1.3923299999999998</v>
      </c>
      <c r="V26">
        <v>2.0855809892731707</v>
      </c>
      <c r="W26" s="9">
        <v>2.2645269819879559</v>
      </c>
      <c r="X26">
        <f t="shared" si="3"/>
        <v>0.71429134876015909</v>
      </c>
      <c r="Z26">
        <f t="shared" si="6"/>
        <v>0</v>
      </c>
      <c r="AA26">
        <v>0.14858327484737141</v>
      </c>
      <c r="AD26">
        <f t="shared" si="4"/>
        <v>1.5294866735355553E-3</v>
      </c>
    </row>
    <row r="27" spans="1:32" x14ac:dyDescent="0.25">
      <c r="A27" s="6">
        <v>44347.334201388891</v>
      </c>
      <c r="B27">
        <v>368412791.65792847</v>
      </c>
      <c r="C27">
        <v>368445816.97012901</v>
      </c>
      <c r="D27">
        <v>153311.33695291029</v>
      </c>
      <c r="E27">
        <v>1105238.3749737851</v>
      </c>
      <c r="F27">
        <v>4.5928168374902079E+19</v>
      </c>
      <c r="G27">
        <v>2175</v>
      </c>
      <c r="H27">
        <v>3.9045015534677844E-4</v>
      </c>
      <c r="I27">
        <v>2561.146375039471</v>
      </c>
      <c r="J27">
        <f t="shared" si="5"/>
        <v>4.4697765148983978E-2</v>
      </c>
      <c r="K27">
        <v>4.4134613349355131E-2</v>
      </c>
      <c r="L27">
        <f t="shared" si="0"/>
        <v>1.1988102868508377</v>
      </c>
      <c r="N27" s="2">
        <v>0.18556753547640248</v>
      </c>
      <c r="O27" s="9">
        <v>2.0333373829221268</v>
      </c>
      <c r="P27">
        <f t="shared" si="1"/>
        <v>0.57776465278181965</v>
      </c>
      <c r="R27">
        <f t="shared" si="2"/>
        <v>1.0066817477165695</v>
      </c>
      <c r="T27">
        <v>1.4191999999999998</v>
      </c>
      <c r="U27">
        <v>1.4126599999999996</v>
      </c>
      <c r="V27">
        <v>2.0910920154623112</v>
      </c>
      <c r="W27" s="9">
        <v>2.2688569168070178</v>
      </c>
      <c r="X27">
        <f>IF(EXP(2*N27-O27*O27/4)-1&lt;0,0,2*LN(EXP(N27-O27*O27/8)+SQRT(EXP(2*N27-O27*O27/4)-1)))</f>
        <v>0</v>
      </c>
      <c r="Z27">
        <f t="shared" si="6"/>
        <v>4.4697765148983978E-2</v>
      </c>
      <c r="AA27">
        <v>8.1640125881643349E-2</v>
      </c>
      <c r="AD27">
        <f t="shared" si="4"/>
        <v>5.0827501315246066E-4</v>
      </c>
    </row>
    <row r="28" spans="1:32" x14ac:dyDescent="0.25">
      <c r="A28" s="6">
        <v>44348.333333333336</v>
      </c>
      <c r="B28">
        <v>392363469.72348976</v>
      </c>
      <c r="C28">
        <v>392393629.74754524</v>
      </c>
      <c r="D28">
        <v>149695.12792430958</v>
      </c>
      <c r="E28">
        <v>1177090.4091704711</v>
      </c>
      <c r="F28">
        <v>2.9287787332528484E+19</v>
      </c>
      <c r="G28">
        <v>2252</v>
      </c>
      <c r="H28">
        <v>3.8122948357313007E-4</v>
      </c>
      <c r="I28">
        <v>2623.0919776386422</v>
      </c>
      <c r="J28">
        <f t="shared" si="5"/>
        <v>2.3898805079658331E-2</v>
      </c>
      <c r="K28">
        <v>2.8047816946517166E-2</v>
      </c>
      <c r="L28">
        <f t="shared" si="0"/>
        <v>1.5103906915314955</v>
      </c>
      <c r="N28" s="2">
        <v>0.28755274514583801</v>
      </c>
      <c r="O28" s="9">
        <v>2.0355351454405919</v>
      </c>
      <c r="P28">
        <f t="shared" si="1"/>
        <v>1.0722376934987787</v>
      </c>
      <c r="R28">
        <f t="shared" si="2"/>
        <v>1.3525124097549608</v>
      </c>
      <c r="T28">
        <v>1.4077000000000002</v>
      </c>
      <c r="U28">
        <v>1.431623333333333</v>
      </c>
      <c r="V28">
        <v>2.0536380448692246</v>
      </c>
      <c r="W28" s="9">
        <v>2.2394361412354153</v>
      </c>
      <c r="X28">
        <f t="shared" si="3"/>
        <v>0</v>
      </c>
      <c r="Z28">
        <f t="shared" si="6"/>
        <v>2.3898805079658331E-2</v>
      </c>
      <c r="AA28">
        <v>0.11418121521616505</v>
      </c>
      <c r="AD28">
        <f t="shared" si="4"/>
        <v>7.875055761960069E-4</v>
      </c>
    </row>
    <row r="29" spans="1:32" x14ac:dyDescent="0.25">
      <c r="A29" s="6">
        <v>44349.333449074074</v>
      </c>
      <c r="B29">
        <v>357105500.55193329</v>
      </c>
      <c r="C29">
        <v>357160692.63391304</v>
      </c>
      <c r="D29">
        <v>136898.36455391161</v>
      </c>
      <c r="E29">
        <v>1071316.5016557947</v>
      </c>
      <c r="F29">
        <v>3.3254379491878916E+19</v>
      </c>
      <c r="G29">
        <v>2361</v>
      </c>
      <c r="H29">
        <v>3.7126007871661135E-4</v>
      </c>
      <c r="I29">
        <v>2693.5295695051441</v>
      </c>
      <c r="J29">
        <f t="shared" si="5"/>
        <v>2.6498675088323834E-2</v>
      </c>
      <c r="K29">
        <v>-3.9571245932583626E-2</v>
      </c>
      <c r="L29">
        <f t="shared" si="0"/>
        <v>1.3562604734143928</v>
      </c>
      <c r="N29" s="2">
        <v>0.23469289390489423</v>
      </c>
      <c r="O29" s="9">
        <v>1.9621261226537374</v>
      </c>
      <c r="P29">
        <f t="shared" si="1"/>
        <v>0.8525343755134045</v>
      </c>
      <c r="R29">
        <f t="shared" si="2"/>
        <v>1.1859220078123269</v>
      </c>
      <c r="T29">
        <v>1.2682</v>
      </c>
      <c r="U29">
        <v>1.4403399999999997</v>
      </c>
      <c r="V29">
        <v>2.0183001947748096</v>
      </c>
      <c r="W29" s="9">
        <v>2.2075013751727393</v>
      </c>
      <c r="X29">
        <f t="shared" si="3"/>
        <v>0</v>
      </c>
      <c r="Z29">
        <f t="shared" si="6"/>
        <v>2.6498675088323834E-2</v>
      </c>
      <c r="AA29">
        <v>0.23735915985969563</v>
      </c>
      <c r="AD29">
        <f t="shared" si="4"/>
        <v>6.4278759765743702E-4</v>
      </c>
    </row>
    <row r="30" spans="1:32" x14ac:dyDescent="0.25">
      <c r="A30" s="6">
        <v>44350.333344907405</v>
      </c>
      <c r="B30">
        <v>336044755.63575745</v>
      </c>
      <c r="C30">
        <v>335822922.03004646</v>
      </c>
      <c r="D30">
        <v>121245.72621544497</v>
      </c>
      <c r="E30">
        <v>1008134.2669072747</v>
      </c>
      <c r="F30">
        <v>2.9448394166377357E+19</v>
      </c>
      <c r="G30">
        <v>2380</v>
      </c>
      <c r="H30">
        <v>3.5513750682933458E-4</v>
      </c>
      <c r="I30">
        <v>2815.81072336739</v>
      </c>
      <c r="J30">
        <f>LN(I30/I29)</f>
        <v>4.4397780147983963E-2</v>
      </c>
      <c r="K30">
        <v>1.4132965747679443E-2</v>
      </c>
      <c r="L30">
        <f t="shared" si="0"/>
        <v>1.3838617022848427</v>
      </c>
      <c r="N30" s="2">
        <v>0.23999169101760576</v>
      </c>
      <c r="O30" s="9">
        <v>1.9664880676751311</v>
      </c>
      <c r="P30">
        <f t="shared" si="1"/>
        <v>0.87704346433556124</v>
      </c>
      <c r="R30">
        <f>SQRT(MAX(0,8*(N30-LN(COSH(LN(2)/2))),0))</f>
        <v>1.2036616574084733</v>
      </c>
      <c r="T30">
        <v>1.2148999999999999</v>
      </c>
      <c r="U30">
        <v>1.4454266666666664</v>
      </c>
      <c r="V30">
        <v>2.0190218057327667</v>
      </c>
      <c r="W30" s="9">
        <v>2.2081559654791527</v>
      </c>
      <c r="X30">
        <f t="shared" si="3"/>
        <v>0</v>
      </c>
      <c r="Z30">
        <f t="shared" si="6"/>
        <v>4.4397780147983963E-2</v>
      </c>
      <c r="AA30">
        <v>0.13065497207897009</v>
      </c>
      <c r="AD30">
        <f t="shared" si="4"/>
        <v>6.5729541627076928E-4</v>
      </c>
    </row>
    <row r="31" spans="1:32" x14ac:dyDescent="0.25">
      <c r="A31" s="6">
        <v>44351.333784722221</v>
      </c>
      <c r="B31">
        <v>361715598.8441391</v>
      </c>
      <c r="C31">
        <v>361616378.33635139</v>
      </c>
      <c r="D31">
        <v>132598.96068852814</v>
      </c>
      <c r="E31">
        <v>1085146.7965324186</v>
      </c>
      <c r="F31">
        <v>3.4253858419204764E+19</v>
      </c>
      <c r="G31">
        <v>2448</v>
      </c>
      <c r="H31">
        <v>3.8153457392559547E-4</v>
      </c>
      <c r="I31">
        <v>2620.9944480549589</v>
      </c>
      <c r="J31">
        <f>LN(I31/I30)</f>
        <v>-7.1696415238974021E-2</v>
      </c>
      <c r="K31">
        <f>(AVERAGE(J2:J31))*(15)+POWER(O31/SQRT(365/15),2)/2</f>
        <v>-7.2009070887951929E-2</v>
      </c>
      <c r="L31">
        <f>SQRT(MAX(0,8*(N31/(365/15)-LN(COSH(K31/2))),0))*SQRT(365/15)</f>
        <v>1.2709960684109913</v>
      </c>
      <c r="M31">
        <f>AVERAGE(L2:L31)</f>
        <v>1.8681164092435318</v>
      </c>
      <c r="N31" s="2">
        <v>0.21769744261153962</v>
      </c>
      <c r="O31" s="9">
        <v>1.9518556945751508</v>
      </c>
      <c r="P31">
        <f t="shared" si="1"/>
        <v>0.76866849231979961</v>
      </c>
      <c r="Q31">
        <f>AVERAGE(P2:P31)</f>
        <v>1.8075687718311952</v>
      </c>
      <c r="R31">
        <f>SQRT(MAX(0,8*(N31-LN(COSH(LN(2)/2))),0))</f>
        <v>1.1271412503616323</v>
      </c>
      <c r="S31" s="9">
        <f>AVERAGE(R2:R31)</f>
        <v>2.0522128405947972</v>
      </c>
      <c r="T31">
        <v>1.2309000000000001</v>
      </c>
      <c r="U31">
        <v>1.450123333333333</v>
      </c>
      <c r="V31">
        <v>2.0132662905250496</v>
      </c>
      <c r="W31" s="9">
        <v>2.2034876314392045</v>
      </c>
      <c r="X31">
        <f>IF(EXP(2*N31-O31*O31/4)-1&lt;0,0,2*LN(EXP(N31-O31*O31/8)+SQRT(EXP(2*N31-O31*O31/4)-1)))</f>
        <v>0</v>
      </c>
      <c r="Y31">
        <f>AVERAGE(X2:X31)</f>
        <v>1.6514553135944072</v>
      </c>
      <c r="Z31">
        <f>LN(I31/I30)</f>
        <v>-7.1696415238974021E-2</v>
      </c>
      <c r="AA31">
        <f>ABS(SUM(Z2:Z31))</f>
        <v>0.30058282612297693</v>
      </c>
      <c r="AB31">
        <f>AVERAGE(AA2:AA31)</f>
        <v>0.29982323682985884</v>
      </c>
      <c r="AC31">
        <f>LN((EXP(AB31)-1)*365/30+1)</f>
        <v>1.6589350109171654</v>
      </c>
      <c r="AD31">
        <f t="shared" si="4"/>
        <v>5.962535551346154E-4</v>
      </c>
      <c r="AE31">
        <f>I31/I2</f>
        <v>0.74715290255127242</v>
      </c>
      <c r="AF31">
        <f>2*SQRT(AE31)*EXP(SUM(AD2:AD31))/(1+AE31)-1</f>
        <v>4.9770059835294367E-2</v>
      </c>
    </row>
    <row r="32" spans="1:32" x14ac:dyDescent="0.25">
      <c r="A32" s="6">
        <v>44352.333553240744</v>
      </c>
      <c r="B32">
        <v>352031038.60800743</v>
      </c>
      <c r="C32">
        <v>352037439.07209206</v>
      </c>
      <c r="D32">
        <v>131282.31181254843</v>
      </c>
      <c r="E32">
        <v>1056093.1158240214</v>
      </c>
      <c r="F32">
        <v>3.0344993986632741E+19</v>
      </c>
      <c r="G32">
        <v>2535</v>
      </c>
      <c r="H32">
        <v>3.7845677965771252E-4</v>
      </c>
      <c r="I32">
        <v>2642.3096473643027</v>
      </c>
      <c r="J32">
        <f t="shared" si="5"/>
        <v>8.0995950269970342E-3</v>
      </c>
      <c r="K32">
        <f t="shared" ref="K32:K95" si="7">(AVERAGE(J3:J32))*(15)+POWER(O32/SQRT(365/15),2)/2</f>
        <v>-6.337052517466614E-2</v>
      </c>
      <c r="L32">
        <f t="shared" ref="L32:L95" si="8">SQRT(MAX(0,8*(N32/(365/15)-LN(COSH(K32/2))),0))*SQRT(365/15)</f>
        <v>1.3625694070401517</v>
      </c>
      <c r="M32">
        <f t="shared" ref="M32:M95" si="9">AVERAGE(L3:L32)</f>
        <v>1.9135353894782037</v>
      </c>
      <c r="N32" s="2">
        <v>0.24428717667977173</v>
      </c>
      <c r="O32" s="9">
        <v>1.9523549014333004</v>
      </c>
      <c r="P32">
        <f t="shared" si="1"/>
        <v>0.89642017136555485</v>
      </c>
      <c r="Q32">
        <f t="shared" ref="Q32:Q95" si="10">AVERAGE(P3:P32)</f>
        <v>1.8374494442100471</v>
      </c>
      <c r="R32">
        <f>SQRT(MAX(0,8*(N32-LN(COSH(LN(2)/2))),0))</f>
        <v>1.2178527295254713</v>
      </c>
      <c r="S32" s="9">
        <f t="shared" ref="S32:S95" si="11">AVERAGE(R3:R32)</f>
        <v>2.0772007986142969</v>
      </c>
      <c r="T32">
        <v>1.2709999999999999</v>
      </c>
      <c r="U32">
        <v>1.4591899999999998</v>
      </c>
      <c r="V32">
        <v>1.9822200413936875</v>
      </c>
      <c r="W32" s="9">
        <v>2.1848871142571284</v>
      </c>
      <c r="X32">
        <f t="shared" si="3"/>
        <v>0</v>
      </c>
      <c r="Y32">
        <f t="shared" ref="Y32:Y95" si="12">AVERAGE(X3:X32)</f>
        <v>1.6514553135944072</v>
      </c>
      <c r="Z32">
        <f t="shared" si="6"/>
        <v>8.0995950269970342E-3</v>
      </c>
      <c r="AA32">
        <f t="shared" ref="AA32:AA95" si="13">ABS(SUM(Z3:Z32))</f>
        <v>0.28338583094456377</v>
      </c>
      <c r="AB32">
        <f>AVERAGE(AA3:AA32)</f>
        <v>0.29261933684440072</v>
      </c>
      <c r="AC32">
        <f t="shared" ref="AC32:AC95" si="14">LN((EXP(AB32)-1)*365/30+1)</f>
        <v>1.6362447767405619</v>
      </c>
      <c r="AD32">
        <f t="shared" si="4"/>
        <v>6.6905606817386088E-4</v>
      </c>
      <c r="AE32">
        <f t="shared" ref="AE32:AE95" si="15">I32/I3</f>
        <v>0.76468860073090983</v>
      </c>
      <c r="AF32">
        <f t="shared" ref="AF32:AF95" si="16">2*SQRT(AE32)*EXP(SUM(AD3:AD32))/(1+AE32)-1</f>
        <v>5.1919442445219177E-2</v>
      </c>
    </row>
    <row r="33" spans="1:32" x14ac:dyDescent="0.25">
      <c r="A33" s="6">
        <v>44353.333333333336</v>
      </c>
      <c r="B33">
        <v>282778764.80604553</v>
      </c>
      <c r="C33">
        <v>282799462.9762001</v>
      </c>
      <c r="D33">
        <v>107273.6415780778</v>
      </c>
      <c r="E33">
        <v>848336.29441813752</v>
      </c>
      <c r="F33">
        <v>3.4128195276243714E+19</v>
      </c>
      <c r="G33">
        <v>2628</v>
      </c>
      <c r="H33">
        <v>3.7014802299989582E-4</v>
      </c>
      <c r="I33">
        <v>2701.6218860104013</v>
      </c>
      <c r="J33">
        <f t="shared" si="5"/>
        <v>2.2198890073991836E-2</v>
      </c>
      <c r="K33">
        <f t="shared" si="7"/>
        <v>-4.4310372428444003E-2</v>
      </c>
      <c r="L33">
        <f t="shared" si="8"/>
        <v>1.1781145187023185</v>
      </c>
      <c r="M33">
        <f t="shared" si="9"/>
        <v>1.9528058734349476</v>
      </c>
      <c r="N33" s="2">
        <v>0.17946577492345125</v>
      </c>
      <c r="O33" s="9">
        <v>1.9574717895221394</v>
      </c>
      <c r="P33">
        <f t="shared" si="1"/>
        <v>0.53385195474071923</v>
      </c>
      <c r="Q33">
        <f t="shared" si="10"/>
        <v>1.8452557527701776</v>
      </c>
      <c r="R33">
        <f t="shared" si="2"/>
        <v>0.98213749381747817</v>
      </c>
      <c r="S33" s="9">
        <f t="shared" si="11"/>
        <v>2.0807003483528184</v>
      </c>
      <c r="T33">
        <v>1.1973</v>
      </c>
      <c r="U33">
        <v>1.4698299999999997</v>
      </c>
      <c r="V33">
        <v>1.9722148433412667</v>
      </c>
      <c r="W33" s="9">
        <v>2.1767706605118398</v>
      </c>
      <c r="X33">
        <f t="shared" si="3"/>
        <v>0</v>
      </c>
      <c r="Y33">
        <f t="shared" si="12"/>
        <v>1.6309081650062038</v>
      </c>
      <c r="Z33">
        <f t="shared" si="6"/>
        <v>2.2198890073991836E-2</v>
      </c>
      <c r="AA33">
        <f t="shared" si="13"/>
        <v>0.24608769582024448</v>
      </c>
      <c r="AB33">
        <f>AVERAGE(AA4:AA33)</f>
        <v>0.28182859173371588</v>
      </c>
      <c r="AC33">
        <f t="shared" si="14"/>
        <v>1.6015824311809945</v>
      </c>
      <c r="AD33">
        <f t="shared" si="4"/>
        <v>4.9156621611316201E-4</v>
      </c>
      <c r="AE33">
        <f t="shared" si="15"/>
        <v>0.76323714428138567</v>
      </c>
      <c r="AF33">
        <f t="shared" si="16"/>
        <v>5.1856018594228503E-2</v>
      </c>
    </row>
    <row r="34" spans="1:32" x14ac:dyDescent="0.25">
      <c r="A34" s="6">
        <v>44354.333599537036</v>
      </c>
      <c r="B34">
        <v>223429214.39433098</v>
      </c>
      <c r="C34">
        <v>223492733.25137901</v>
      </c>
      <c r="D34">
        <v>81569.527451651171</v>
      </c>
      <c r="E34">
        <v>670287.64318299666</v>
      </c>
      <c r="F34">
        <v>4.7782734790696518E+19</v>
      </c>
      <c r="G34">
        <v>2691</v>
      </c>
      <c r="H34">
        <v>3.5577729799191363E-4</v>
      </c>
      <c r="I34">
        <v>2810.7470758933268</v>
      </c>
      <c r="J34">
        <f t="shared" si="5"/>
        <v>3.9598020131985677E-2</v>
      </c>
      <c r="K34">
        <f t="shared" si="7"/>
        <v>-4.0217161633286272E-2</v>
      </c>
      <c r="L34">
        <f t="shared" si="8"/>
        <v>0.86946858628059498</v>
      </c>
      <c r="M34">
        <f t="shared" si="9"/>
        <v>1.9817881596443008</v>
      </c>
      <c r="N34" s="2">
        <v>9.9416274077382211E-2</v>
      </c>
      <c r="O34" s="9">
        <v>1.9114787266796704</v>
      </c>
      <c r="P34">
        <f t="shared" si="1"/>
        <v>0</v>
      </c>
      <c r="Q34">
        <f>AVERAGE(P5:P34)</f>
        <v>1.8452557527701776</v>
      </c>
      <c r="R34">
        <f>SQRT(MAX(0,8*(N34-LN(COSH(LN(2)/2))),0))</f>
        <v>0.56938392143923822</v>
      </c>
      <c r="S34" s="9">
        <f>AVERAGE(R5:R34)</f>
        <v>2.0787710571082711</v>
      </c>
      <c r="T34">
        <v>1.2868999999999999</v>
      </c>
      <c r="U34">
        <v>1.4794766666666666</v>
      </c>
      <c r="V34">
        <v>1.9785974637555317</v>
      </c>
      <c r="W34" s="9">
        <v>2.1822084718455366</v>
      </c>
      <c r="X34">
        <f t="shared" si="3"/>
        <v>0</v>
      </c>
      <c r="Y34">
        <f t="shared" si="12"/>
        <v>1.6309081650062038</v>
      </c>
      <c r="Z34">
        <f t="shared" si="6"/>
        <v>3.9598020131985677E-2</v>
      </c>
      <c r="AA34">
        <f t="shared" si="13"/>
        <v>0.23058847076858355</v>
      </c>
      <c r="AB34">
        <f t="shared" ref="AB34:AB97" si="17">AVERAGE(AA5:AA34)</f>
        <v>0.2686757469484965</v>
      </c>
      <c r="AC34">
        <f t="shared" si="14"/>
        <v>1.558174576618534</v>
      </c>
      <c r="AD34">
        <f t="shared" si="4"/>
        <v>2.7233626674900491E-4</v>
      </c>
      <c r="AE34">
        <f t="shared" si="15"/>
        <v>0.725144791922267</v>
      </c>
      <c r="AF34">
        <f t="shared" si="16"/>
        <v>4.7885400955899771E-2</v>
      </c>
    </row>
    <row r="35" spans="1:32" x14ac:dyDescent="0.25">
      <c r="A35" s="6">
        <v>44355.333460648151</v>
      </c>
      <c r="B35">
        <v>450709146.40202713</v>
      </c>
      <c r="C35">
        <v>450561363.25799179</v>
      </c>
      <c r="D35">
        <v>173676.70553220063</v>
      </c>
      <c r="E35">
        <v>1352127.4392060786</v>
      </c>
      <c r="F35">
        <v>3.0337664582030828E+19</v>
      </c>
      <c r="G35">
        <v>2664</v>
      </c>
      <c r="H35">
        <v>3.9551933481040595E-4</v>
      </c>
      <c r="I35">
        <v>2528.3214042604382</v>
      </c>
      <c r="J35">
        <f t="shared" si="5"/>
        <v>-0.10589470535296187</v>
      </c>
      <c r="K35">
        <f t="shared" si="7"/>
        <v>-0.138623002188828</v>
      </c>
      <c r="L35">
        <f t="shared" si="8"/>
        <v>1.4361044334488924</v>
      </c>
      <c r="M35">
        <f t="shared" si="9"/>
        <v>2.0296583074259305</v>
      </c>
      <c r="N35" s="2">
        <v>0.31620244420410965</v>
      </c>
      <c r="O35" s="9">
        <v>1.9107051176111405</v>
      </c>
      <c r="P35">
        <f t="shared" si="1"/>
        <v>1.1742620081675783</v>
      </c>
      <c r="Q35">
        <f t="shared" si="10"/>
        <v>1.8732333066352285</v>
      </c>
      <c r="R35">
        <f t="shared" si="2"/>
        <v>1.4347429773333424</v>
      </c>
      <c r="S35" s="9">
        <f t="shared" si="11"/>
        <v>2.0969351894729065</v>
      </c>
      <c r="T35">
        <v>1.3037999999999998</v>
      </c>
      <c r="U35">
        <v>1.4896199999999999</v>
      </c>
      <c r="V35">
        <v>1.9402622989098723</v>
      </c>
      <c r="W35" s="9">
        <v>2.1488031890022317</v>
      </c>
      <c r="X35">
        <f t="shared" si="3"/>
        <v>0</v>
      </c>
      <c r="Y35">
        <f t="shared" si="12"/>
        <v>1.6121392437972806</v>
      </c>
      <c r="Z35">
        <f t="shared" si="6"/>
        <v>-0.10589470535296187</v>
      </c>
      <c r="AA35">
        <f t="shared" si="13"/>
        <v>0.4272786364241794</v>
      </c>
      <c r="AB35">
        <f>AVERAGE(AA6:AA35)</f>
        <v>0.26159241664887228</v>
      </c>
      <c r="AC35">
        <f t="shared" si="14"/>
        <v>1.534239393651736</v>
      </c>
      <c r="AD35">
        <f t="shared" si="4"/>
        <v>8.6593303805754208E-4</v>
      </c>
      <c r="AE35">
        <f t="shared" si="15"/>
        <v>0.62333176953290859</v>
      </c>
      <c r="AF35">
        <f t="shared" si="16"/>
        <v>3.2922160307489623E-2</v>
      </c>
    </row>
    <row r="36" spans="1:32" x14ac:dyDescent="0.25">
      <c r="A36" s="6">
        <v>44356.333391203705</v>
      </c>
      <c r="B36">
        <v>450593941.94587517</v>
      </c>
      <c r="C36">
        <v>450600959.6067791</v>
      </c>
      <c r="D36">
        <v>183706.02617371641</v>
      </c>
      <c r="E36">
        <v>1351781.8258376196</v>
      </c>
      <c r="F36">
        <v>3.4374629162596762E+19</v>
      </c>
      <c r="G36">
        <v>2703</v>
      </c>
      <c r="H36">
        <v>3.9488704145841419E-4</v>
      </c>
      <c r="I36">
        <v>2532.3697539092595</v>
      </c>
      <c r="J36">
        <f t="shared" si="5"/>
        <v>1.5999200053326494E-3</v>
      </c>
      <c r="K36">
        <f t="shared" si="7"/>
        <v>-0.15998732651521702</v>
      </c>
      <c r="L36">
        <f t="shared" si="8"/>
        <v>1.3195383283091962</v>
      </c>
      <c r="M36">
        <f t="shared" si="9"/>
        <v>2.0553554058533781</v>
      </c>
      <c r="N36" s="2">
        <v>0.29541911655946046</v>
      </c>
      <c r="O36" s="9">
        <v>1.9175010585308034</v>
      </c>
      <c r="P36">
        <f t="shared" si="1"/>
        <v>1.1011923731431128</v>
      </c>
      <c r="Q36">
        <f t="shared" si="10"/>
        <v>1.8659117074534881</v>
      </c>
      <c r="R36">
        <f t="shared" si="2"/>
        <v>1.3755801648214294</v>
      </c>
      <c r="S36" s="9">
        <f>AVERAGE(R7:R36)</f>
        <v>2.0908882215828561</v>
      </c>
      <c r="T36">
        <v>1.1627000000000001</v>
      </c>
      <c r="U36">
        <v>1.4890633333333334</v>
      </c>
      <c r="V36">
        <v>1.9112173061427278</v>
      </c>
      <c r="W36" s="9">
        <v>2.1264812690758879</v>
      </c>
      <c r="X36">
        <f t="shared" si="3"/>
        <v>0</v>
      </c>
      <c r="Y36">
        <f t="shared" si="12"/>
        <v>1.5637646362463498</v>
      </c>
      <c r="Z36">
        <f t="shared" si="6"/>
        <v>1.5999200053326494E-3</v>
      </c>
      <c r="AA36">
        <f t="shared" si="13"/>
        <v>0.47107644657016362</v>
      </c>
      <c r="AB36">
        <f t="shared" si="17"/>
        <v>0.2567820207456345</v>
      </c>
      <c r="AC36">
        <f t="shared" si="14"/>
        <v>1.5177509284965269</v>
      </c>
      <c r="AD36">
        <f t="shared" si="4"/>
        <v>8.0904008142510366E-4</v>
      </c>
      <c r="AE36">
        <f t="shared" si="15"/>
        <v>0.63414526478825706</v>
      </c>
      <c r="AF36">
        <f t="shared" si="16"/>
        <v>3.4760676494787646E-2</v>
      </c>
    </row>
    <row r="37" spans="1:32" x14ac:dyDescent="0.25">
      <c r="A37" s="6">
        <v>44357.333402777775</v>
      </c>
      <c r="B37">
        <v>315433051.8456192</v>
      </c>
      <c r="C37">
        <v>315455546.53181076</v>
      </c>
      <c r="D37">
        <v>123467.94832591806</v>
      </c>
      <c r="E37">
        <v>946299.15553686023</v>
      </c>
      <c r="F37">
        <v>3.6611005278823911E+19</v>
      </c>
      <c r="G37">
        <v>2754</v>
      </c>
      <c r="H37">
        <v>3.8959215205413119E-4</v>
      </c>
      <c r="I37">
        <v>2566.7868172587232</v>
      </c>
      <c r="J37">
        <f t="shared" si="5"/>
        <v>1.3499325044995115E-2</v>
      </c>
      <c r="K37">
        <f t="shared" si="7"/>
        <v>-0.14628983577594681</v>
      </c>
      <c r="L37">
        <f t="shared" si="8"/>
        <v>0.99054758801737564</v>
      </c>
      <c r="M37">
        <f t="shared" si="9"/>
        <v>2.0408200726101011</v>
      </c>
      <c r="N37" s="2">
        <v>0.18768394889636311</v>
      </c>
      <c r="O37" s="9">
        <v>1.9066611990819169</v>
      </c>
      <c r="P37">
        <f t="shared" si="1"/>
        <v>0.59223584944157315</v>
      </c>
      <c r="Q37">
        <f t="shared" si="10"/>
        <v>1.8203780457955669</v>
      </c>
      <c r="R37">
        <f t="shared" si="2"/>
        <v>1.01505637702808</v>
      </c>
      <c r="S37" s="9">
        <f>AVERAGE(R8:R37)</f>
        <v>2.0539003182949425</v>
      </c>
      <c r="T37">
        <v>1.1137000000000001</v>
      </c>
      <c r="U37">
        <v>1.4873300000000003</v>
      </c>
      <c r="V37">
        <v>1.8638621096468984</v>
      </c>
      <c r="W37" s="9">
        <v>2.0853526854486812</v>
      </c>
      <c r="X37">
        <f t="shared" si="3"/>
        <v>0</v>
      </c>
      <c r="Y37">
        <f t="shared" si="12"/>
        <v>1.4911942323898322</v>
      </c>
      <c r="Z37">
        <f t="shared" si="6"/>
        <v>1.3499325044995115E-2</v>
      </c>
      <c r="AA37">
        <f t="shared" si="13"/>
        <v>0.44197790147317417</v>
      </c>
      <c r="AB37">
        <f t="shared" si="17"/>
        <v>0.24956189694957043</v>
      </c>
      <c r="AC37">
        <f t="shared" si="14"/>
        <v>1.4926343715763213</v>
      </c>
      <c r="AD37">
        <f t="shared" si="4"/>
        <v>5.1407044286089915E-4</v>
      </c>
      <c r="AE37">
        <f t="shared" si="15"/>
        <v>0.60315882733710058</v>
      </c>
      <c r="AF37">
        <f t="shared" si="16"/>
        <v>2.7443362920291925E-2</v>
      </c>
    </row>
    <row r="38" spans="1:32" x14ac:dyDescent="0.25">
      <c r="A38" s="6">
        <v>44358.333391203705</v>
      </c>
      <c r="B38">
        <v>264761866.17730904</v>
      </c>
      <c r="C38">
        <v>264694724.46251869</v>
      </c>
      <c r="D38">
        <v>106979.2917815689</v>
      </c>
      <c r="E38">
        <v>794285.59853192419</v>
      </c>
      <c r="F38">
        <v>3.501047744897321E+19</v>
      </c>
      <c r="G38">
        <v>2798</v>
      </c>
      <c r="H38">
        <v>4.0524768906149495E-4</v>
      </c>
      <c r="I38">
        <v>2467.6266564675052</v>
      </c>
      <c r="J38">
        <f t="shared" si="5"/>
        <v>-3.9398030131319137E-2</v>
      </c>
      <c r="K38">
        <f t="shared" si="7"/>
        <v>-0.19916223630756891</v>
      </c>
      <c r="L38">
        <f t="shared" si="8"/>
        <v>0.60851295159008389</v>
      </c>
      <c r="M38">
        <f t="shared" si="9"/>
        <v>2.0417696694493981</v>
      </c>
      <c r="N38" s="2">
        <v>0.16673664806756791</v>
      </c>
      <c r="O38" s="9">
        <v>1.8890318844756853</v>
      </c>
      <c r="P38">
        <f t="shared" si="1"/>
        <v>0.42797768018136195</v>
      </c>
      <c r="Q38">
        <f t="shared" si="10"/>
        <v>1.7939254569721752</v>
      </c>
      <c r="R38">
        <f t="shared" si="2"/>
        <v>0.92884931066078213</v>
      </c>
      <c r="S38" s="9">
        <f t="shared" si="11"/>
        <v>2.0357386069612011</v>
      </c>
      <c r="T38">
        <v>1.1643000000000001</v>
      </c>
      <c r="U38">
        <v>1.484826666666667</v>
      </c>
      <c r="V38">
        <v>1.7959232282271662</v>
      </c>
      <c r="W38" s="9">
        <v>2.0262970669095863</v>
      </c>
      <c r="X38">
        <f t="shared" si="3"/>
        <v>0</v>
      </c>
      <c r="Y38">
        <f t="shared" si="12"/>
        <v>1.4488048055819935</v>
      </c>
      <c r="Z38">
        <f t="shared" si="6"/>
        <v>-3.9398030131319137E-2</v>
      </c>
      <c r="AA38">
        <f t="shared" si="13"/>
        <v>0.54497275181647042</v>
      </c>
      <c r="AB38">
        <f t="shared" si="17"/>
        <v>0.24870210541934093</v>
      </c>
      <c r="AC38">
        <f t="shared" si="14"/>
        <v>1.4896132066062719</v>
      </c>
      <c r="AD38">
        <f t="shared" si="4"/>
        <v>4.5670842725928427E-4</v>
      </c>
      <c r="AE38">
        <f t="shared" si="15"/>
        <v>0.65903465975758879</v>
      </c>
      <c r="AF38">
        <f t="shared" si="16"/>
        <v>3.7343774600581137E-2</v>
      </c>
    </row>
    <row r="39" spans="1:32" x14ac:dyDescent="0.25">
      <c r="A39" s="6">
        <v>44359.333506944444</v>
      </c>
      <c r="B39">
        <v>237937960.86042976</v>
      </c>
      <c r="C39">
        <v>237870727.45620537</v>
      </c>
      <c r="D39">
        <v>101314.11303921696</v>
      </c>
      <c r="E39">
        <v>713813.88258129358</v>
      </c>
      <c r="F39">
        <v>2.4734164071273316E+19</v>
      </c>
      <c r="G39">
        <v>2803</v>
      </c>
      <c r="H39">
        <v>4.1963979536328546E-4</v>
      </c>
      <c r="I39">
        <v>2382.9961101146096</v>
      </c>
      <c r="J39">
        <f t="shared" si="5"/>
        <v>-3.4898255116320519E-2</v>
      </c>
      <c r="K39">
        <f t="shared" si="7"/>
        <v>-0.15247706376270043</v>
      </c>
      <c r="L39">
        <f t="shared" si="8"/>
        <v>1.0917812416593387</v>
      </c>
      <c r="M39">
        <f t="shared" si="9"/>
        <v>1.9869521256578626</v>
      </c>
      <c r="N39" s="2">
        <v>0.21964637042612314</v>
      </c>
      <c r="O39" s="9">
        <v>1.8908022429290143</v>
      </c>
      <c r="P39">
        <f t="shared" si="1"/>
        <v>0.77874429282137403</v>
      </c>
      <c r="Q39">
        <f t="shared" si="10"/>
        <v>1.7255443183036299</v>
      </c>
      <c r="R39">
        <f t="shared" si="2"/>
        <v>1.1340365165123441</v>
      </c>
      <c r="S39" s="9">
        <f t="shared" si="11"/>
        <v>1.9752799294414982</v>
      </c>
      <c r="T39">
        <v>1.1095999999999999</v>
      </c>
      <c r="U39">
        <v>1.4838700000000002</v>
      </c>
      <c r="V39">
        <v>1.7490719169165776</v>
      </c>
      <c r="W39" s="9">
        <v>1.994736774726988</v>
      </c>
      <c r="X39">
        <f t="shared" si="3"/>
        <v>0</v>
      </c>
      <c r="Y39">
        <f t="shared" si="12"/>
        <v>1.3377955714978884</v>
      </c>
      <c r="Z39">
        <f t="shared" si="6"/>
        <v>-3.4898255116320519E-2</v>
      </c>
      <c r="AA39">
        <f t="shared" si="13"/>
        <v>0.45187740650617036</v>
      </c>
      <c r="AB39">
        <f t="shared" si="17"/>
        <v>0.24776926137001898</v>
      </c>
      <c r="AC39">
        <f t="shared" si="14"/>
        <v>1.4863279412523545</v>
      </c>
      <c r="AD39">
        <f t="shared" si="4"/>
        <v>6.0158988639172481E-4</v>
      </c>
      <c r="AE39">
        <f t="shared" si="15"/>
        <v>0.59346685584571135</v>
      </c>
      <c r="AF39">
        <f t="shared" si="16"/>
        <v>2.230424842243095E-2</v>
      </c>
    </row>
    <row r="40" spans="1:32" x14ac:dyDescent="0.25">
      <c r="A40" s="6">
        <v>44360.333437499998</v>
      </c>
      <c r="B40">
        <v>129846468.40104103</v>
      </c>
      <c r="C40">
        <v>129838851.72254944</v>
      </c>
      <c r="D40">
        <v>54486.967467429116</v>
      </c>
      <c r="E40">
        <v>389539.40520312637</v>
      </c>
      <c r="F40">
        <v>2.5009963697408381E+19</v>
      </c>
      <c r="G40">
        <v>2839</v>
      </c>
      <c r="H40">
        <v>4.2368753307123468E-4</v>
      </c>
      <c r="I40">
        <v>2360.2299382074802</v>
      </c>
      <c r="J40">
        <f t="shared" si="5"/>
        <v>-9.5995200319966972E-3</v>
      </c>
      <c r="K40">
        <f t="shared" si="7"/>
        <v>-0.19398509625088811</v>
      </c>
      <c r="L40">
        <f t="shared" si="8"/>
        <v>0.12600752817794694</v>
      </c>
      <c r="M40">
        <f t="shared" si="9"/>
        <v>1.927859791059451</v>
      </c>
      <c r="N40" s="2">
        <v>0.11626430196117282</v>
      </c>
      <c r="O40" s="9">
        <v>1.8680146739844496</v>
      </c>
      <c r="P40">
        <f t="shared" si="1"/>
        <v>0</v>
      </c>
      <c r="Q40">
        <f t="shared" si="10"/>
        <v>1.6557879911542313</v>
      </c>
      <c r="R40">
        <f t="shared" si="2"/>
        <v>0.67748230461307957</v>
      </c>
      <c r="S40" s="9">
        <f t="shared" si="11"/>
        <v>1.9228889974979826</v>
      </c>
      <c r="T40">
        <v>1.1384000000000001</v>
      </c>
      <c r="U40">
        <v>1.48733</v>
      </c>
      <c r="V40">
        <v>1.7184091231897383</v>
      </c>
      <c r="W40" s="9">
        <v>1.9697091601188794</v>
      </c>
      <c r="X40">
        <f t="shared" si="3"/>
        <v>0</v>
      </c>
      <c r="Y40">
        <f t="shared" si="12"/>
        <v>1.2615972954617514</v>
      </c>
      <c r="Z40">
        <f t="shared" si="6"/>
        <v>-9.5995200319966972E-3</v>
      </c>
      <c r="AA40">
        <f t="shared" si="13"/>
        <v>0.53137343177114182</v>
      </c>
      <c r="AB40">
        <f t="shared" si="17"/>
        <v>0.24828584052398503</v>
      </c>
      <c r="AC40">
        <f t="shared" si="14"/>
        <v>1.4881481707457871</v>
      </c>
      <c r="AD40">
        <f t="shared" si="4"/>
        <v>3.1848161348668898E-4</v>
      </c>
      <c r="AE40">
        <f t="shared" si="15"/>
        <v>0.60600020376349606</v>
      </c>
      <c r="AF40">
        <f t="shared" si="16"/>
        <v>2.3369226197347048E-2</v>
      </c>
    </row>
    <row r="41" spans="1:32" x14ac:dyDescent="0.25">
      <c r="A41" s="6">
        <v>44361.333425925928</v>
      </c>
      <c r="B41">
        <v>183474335.01193428</v>
      </c>
      <c r="C41">
        <v>183579061.02855301</v>
      </c>
      <c r="D41">
        <v>74603.969583357684</v>
      </c>
      <c r="E41">
        <v>550423.00503579527</v>
      </c>
      <c r="F41">
        <v>3.1298602038266909E+19</v>
      </c>
      <c r="G41">
        <v>2852</v>
      </c>
      <c r="H41">
        <v>4.0230029935899004E-4</v>
      </c>
      <c r="I41">
        <v>2485.7053340337102</v>
      </c>
      <c r="J41">
        <f t="shared" si="5"/>
        <v>5.179741017264794E-2</v>
      </c>
      <c r="K41">
        <f t="shared" si="7"/>
        <v>-0.1552663851895259</v>
      </c>
      <c r="L41">
        <f t="shared" si="8"/>
        <v>0.67698428768094077</v>
      </c>
      <c r="M41">
        <f t="shared" si="9"/>
        <v>1.9081348444619646</v>
      </c>
      <c r="N41" s="2">
        <v>0.13054236408321387</v>
      </c>
      <c r="O41" s="9">
        <v>1.8360980961991478</v>
      </c>
      <c r="P41">
        <f t="shared" si="1"/>
        <v>0</v>
      </c>
      <c r="Q41">
        <f t="shared" si="10"/>
        <v>1.6143131547296146</v>
      </c>
      <c r="R41">
        <f t="shared" si="2"/>
        <v>0.75710420025263225</v>
      </c>
      <c r="S41" s="9">
        <f t="shared" si="11"/>
        <v>1.8983737299786161</v>
      </c>
      <c r="T41">
        <v>1.0993999999999999</v>
      </c>
      <c r="U41">
        <v>1.4871800000000002</v>
      </c>
      <c r="V41">
        <v>1.6469734560898175</v>
      </c>
      <c r="W41" s="9">
        <v>1.9201823521843162</v>
      </c>
      <c r="X41">
        <f t="shared" si="3"/>
        <v>0</v>
      </c>
      <c r="Y41">
        <f t="shared" si="12"/>
        <v>1.2219743070425413</v>
      </c>
      <c r="Z41">
        <f t="shared" si="6"/>
        <v>5.179741017264794E-2</v>
      </c>
      <c r="AA41">
        <f t="shared" si="13"/>
        <v>0.44907754649683818</v>
      </c>
      <c r="AB41">
        <f t="shared" si="17"/>
        <v>0.25100310862074482</v>
      </c>
      <c r="AC41">
        <f t="shared" si="14"/>
        <v>1.4976839589494138</v>
      </c>
      <c r="AD41">
        <f t="shared" si="4"/>
        <v>3.5758637092919487E-4</v>
      </c>
      <c r="AE41">
        <f t="shared" si="15"/>
        <v>0.65397983167654961</v>
      </c>
      <c r="AF41">
        <f t="shared" si="16"/>
        <v>3.1686170772861288E-2</v>
      </c>
    </row>
    <row r="42" spans="1:32" x14ac:dyDescent="0.25">
      <c r="A42" s="6">
        <v>44362.333472222221</v>
      </c>
      <c r="B42">
        <v>218406156.14738083</v>
      </c>
      <c r="C42">
        <v>218441388.81687355</v>
      </c>
      <c r="D42">
        <v>85064.889076881111</v>
      </c>
      <c r="E42">
        <v>655218.46844214946</v>
      </c>
      <c r="F42">
        <v>3.1713125669329768E+19</v>
      </c>
      <c r="G42">
        <v>2902</v>
      </c>
      <c r="H42">
        <v>3.8811458490894404E-4</v>
      </c>
      <c r="I42">
        <v>2576.5586733480036</v>
      </c>
      <c r="J42">
        <f t="shared" si="5"/>
        <v>3.5898205119653796E-2</v>
      </c>
      <c r="K42">
        <f t="shared" si="7"/>
        <v>-0.12471272667347938</v>
      </c>
      <c r="L42">
        <f t="shared" si="8"/>
        <v>0.90458687987970987</v>
      </c>
      <c r="M42">
        <f t="shared" si="9"/>
        <v>1.9073119861158765</v>
      </c>
      <c r="N42" s="2">
        <v>0.14956189693972127</v>
      </c>
      <c r="O42" s="9">
        <v>1.8414598267198929</v>
      </c>
      <c r="P42">
        <f t="shared" si="1"/>
        <v>0.21393196514463897</v>
      </c>
      <c r="Q42">
        <f t="shared" si="10"/>
        <v>1.5896604791320879</v>
      </c>
      <c r="R42">
        <f t="shared" si="2"/>
        <v>0.85168247187096502</v>
      </c>
      <c r="S42" s="9">
        <f t="shared" si="11"/>
        <v>1.8847475173217387</v>
      </c>
      <c r="T42">
        <v>0.95450000000000002</v>
      </c>
      <c r="U42">
        <v>1.4762833333333336</v>
      </c>
      <c r="V42">
        <v>1.5842815459037334</v>
      </c>
      <c r="W42" s="9">
        <v>1.8678444373402385</v>
      </c>
      <c r="X42">
        <f t="shared" si="3"/>
        <v>0</v>
      </c>
      <c r="Y42">
        <f t="shared" si="12"/>
        <v>1.1933094607769354</v>
      </c>
      <c r="Z42">
        <f t="shared" si="6"/>
        <v>3.5898205119653796E-2</v>
      </c>
      <c r="AA42">
        <f t="shared" si="13"/>
        <v>0.38878056129585981</v>
      </c>
      <c r="AB42">
        <f t="shared" si="17"/>
        <v>0.25100361721488557</v>
      </c>
      <c r="AC42">
        <f t="shared" si="14"/>
        <v>1.4976857377041626</v>
      </c>
      <c r="AD42">
        <f t="shared" si="4"/>
        <v>4.0967469361465075E-4</v>
      </c>
      <c r="AE42">
        <f t="shared" si="15"/>
        <v>0.73433895821506101</v>
      </c>
      <c r="AF42">
        <f t="shared" si="16"/>
        <v>4.2273270641431715E-2</v>
      </c>
    </row>
    <row r="43" spans="1:32" x14ac:dyDescent="0.25">
      <c r="A43" s="6">
        <v>44363.333483796298</v>
      </c>
      <c r="B43">
        <v>141206057.20940208</v>
      </c>
      <c r="C43">
        <v>141151166.11673737</v>
      </c>
      <c r="D43">
        <v>55394.394900410436</v>
      </c>
      <c r="E43">
        <v>423618.17162820697</v>
      </c>
      <c r="F43">
        <v>2.9055549694542881E+19</v>
      </c>
      <c r="G43">
        <v>2931</v>
      </c>
      <c r="H43">
        <v>4.0520716834466046E-4</v>
      </c>
      <c r="I43">
        <v>2467.8734191331523</v>
      </c>
      <c r="J43">
        <f t="shared" si="5"/>
        <v>-4.3097845143650969E-2</v>
      </c>
      <c r="K43">
        <f t="shared" si="7"/>
        <v>-0.10588243250062954</v>
      </c>
      <c r="L43">
        <f t="shared" si="8"/>
        <v>0.74807764526324094</v>
      </c>
      <c r="M43">
        <f t="shared" si="9"/>
        <v>1.8498211370541997</v>
      </c>
      <c r="N43" s="2">
        <v>0.10403700030450813</v>
      </c>
      <c r="O43" s="9">
        <v>1.8464904102583197</v>
      </c>
      <c r="P43">
        <f t="shared" si="1"/>
        <v>0</v>
      </c>
      <c r="Q43">
        <f t="shared" si="10"/>
        <v>1.5085963849731598</v>
      </c>
      <c r="R43">
        <f t="shared" si="2"/>
        <v>0.60096910054555375</v>
      </c>
      <c r="S43" s="9">
        <f t="shared" si="11"/>
        <v>1.8191848781123248</v>
      </c>
      <c r="T43">
        <v>0.98849999999999993</v>
      </c>
      <c r="U43">
        <v>1.464726666666667</v>
      </c>
      <c r="V43">
        <v>1.5258971217071917</v>
      </c>
      <c r="W43" s="9">
        <v>1.829833422638699</v>
      </c>
      <c r="X43">
        <f t="shared" si="3"/>
        <v>0</v>
      </c>
      <c r="Y43">
        <f t="shared" si="12"/>
        <v>1.1047532442885006</v>
      </c>
      <c r="Z43">
        <f t="shared" si="6"/>
        <v>-4.3097845143650969E-2</v>
      </c>
      <c r="AA43">
        <f t="shared" si="13"/>
        <v>0.35188240617287297</v>
      </c>
      <c r="AB43">
        <f t="shared" si="17"/>
        <v>0.25152191309876315</v>
      </c>
      <c r="AC43">
        <f t="shared" si="14"/>
        <v>1.499497250186959</v>
      </c>
      <c r="AD43">
        <f t="shared" si="4"/>
        <v>2.849922633933086E-4</v>
      </c>
      <c r="AE43">
        <f t="shared" si="15"/>
        <v>0.69580775825181773</v>
      </c>
      <c r="AF43">
        <f t="shared" si="16"/>
        <v>3.5403359594355033E-2</v>
      </c>
    </row>
    <row r="44" spans="1:32" x14ac:dyDescent="0.25">
      <c r="A44" s="6">
        <v>44364.333344907405</v>
      </c>
      <c r="B44">
        <v>165437659.65533447</v>
      </c>
      <c r="C44">
        <v>165420664.21635056</v>
      </c>
      <c r="D44">
        <v>68429.085165745579</v>
      </c>
      <c r="E44">
        <v>496312.9789659977</v>
      </c>
      <c r="F44">
        <v>3.1227404244000662E+19</v>
      </c>
      <c r="G44">
        <v>2959</v>
      </c>
      <c r="H44">
        <v>4.1104296557565434E-4</v>
      </c>
      <c r="I44">
        <v>2432.8356978437218</v>
      </c>
      <c r="J44">
        <f t="shared" si="5"/>
        <v>-1.4299285047661607E-2</v>
      </c>
      <c r="K44">
        <f t="shared" si="7"/>
        <v>-0.11881465435757285</v>
      </c>
      <c r="L44">
        <f t="shared" si="8"/>
        <v>0.77878697654927664</v>
      </c>
      <c r="M44">
        <f t="shared" si="9"/>
        <v>1.8193392703303994</v>
      </c>
      <c r="N44" s="2">
        <v>0.11872738253594015</v>
      </c>
      <c r="O44" s="9">
        <v>1.8414382517949666</v>
      </c>
      <c r="P44">
        <f t="shared" si="1"/>
        <v>0</v>
      </c>
      <c r="Q44">
        <f t="shared" si="10"/>
        <v>1.4503026291309475</v>
      </c>
      <c r="R44">
        <f t="shared" si="2"/>
        <v>0.6918720385027769</v>
      </c>
      <c r="S44" s="9">
        <f t="shared" si="11"/>
        <v>1.777801419944633</v>
      </c>
      <c r="T44">
        <v>0.96579999999999999</v>
      </c>
      <c r="U44">
        <v>1.455986666666667</v>
      </c>
      <c r="V44">
        <v>1.3776822377746343</v>
      </c>
      <c r="W44" s="9">
        <v>1.690520946528246</v>
      </c>
      <c r="X44">
        <f t="shared" si="3"/>
        <v>0</v>
      </c>
      <c r="Y44">
        <f t="shared" si="12"/>
        <v>1.045563173781678</v>
      </c>
      <c r="Z44">
        <f t="shared" si="6"/>
        <v>-1.4299285047661607E-2</v>
      </c>
      <c r="AA44">
        <f t="shared" si="13"/>
        <v>0.37698115125653076</v>
      </c>
      <c r="AB44">
        <f t="shared" si="17"/>
        <v>0.25033130038637974</v>
      </c>
      <c r="AC44">
        <f t="shared" si="14"/>
        <v>1.4953324048270957</v>
      </c>
      <c r="AD44">
        <f t="shared" si="4"/>
        <v>3.25227607866082E-4</v>
      </c>
      <c r="AE44">
        <f t="shared" si="15"/>
        <v>0.898889945902415</v>
      </c>
      <c r="AF44">
        <f t="shared" si="16"/>
        <v>4.9809977891871027E-2</v>
      </c>
    </row>
    <row r="45" spans="1:32" x14ac:dyDescent="0.25">
      <c r="A45" s="6">
        <v>44365.333541666667</v>
      </c>
      <c r="B45">
        <v>179621035.91143799</v>
      </c>
      <c r="C45">
        <v>179562868.7311306</v>
      </c>
      <c r="D45">
        <v>76462.570373144001</v>
      </c>
      <c r="E45">
        <v>538863.1077343151</v>
      </c>
      <c r="F45">
        <v>2.484221143782291E+19</v>
      </c>
      <c r="G45">
        <v>3004</v>
      </c>
      <c r="H45">
        <v>4.3133943756869171E-4</v>
      </c>
      <c r="I45">
        <v>2318.3597716838676</v>
      </c>
      <c r="J45">
        <f t="shared" si="5"/>
        <v>-4.8197590160649235E-2</v>
      </c>
      <c r="K45">
        <f t="shared" si="7"/>
        <v>-3.1824046595219861E-2</v>
      </c>
      <c r="L45">
        <f t="shared" si="8"/>
        <v>1.1303583146170746</v>
      </c>
      <c r="M45">
        <f t="shared" si="9"/>
        <v>1.7372456271197712</v>
      </c>
      <c r="N45" s="2">
        <v>0.16279411851581863</v>
      </c>
      <c r="O45" s="9">
        <v>1.4892418893251023</v>
      </c>
      <c r="P45">
        <f t="shared" si="1"/>
        <v>0.38939011071087287</v>
      </c>
      <c r="Q45">
        <f t="shared" si="10"/>
        <v>1.3472933133014098</v>
      </c>
      <c r="R45">
        <f t="shared" si="2"/>
        <v>0.91171311578863223</v>
      </c>
      <c r="S45" s="9">
        <f t="shared" si="11"/>
        <v>1.6889922273278042</v>
      </c>
      <c r="T45">
        <v>1.0318000000000001</v>
      </c>
      <c r="U45">
        <v>1.41577</v>
      </c>
      <c r="V45">
        <v>1.2702090597792166</v>
      </c>
      <c r="W45" s="9">
        <v>1.5957289447767777</v>
      </c>
      <c r="X45">
        <f t="shared" si="3"/>
        <v>0</v>
      </c>
      <c r="Y45">
        <f t="shared" si="12"/>
        <v>0.9127569600185278</v>
      </c>
      <c r="Z45">
        <f t="shared" si="6"/>
        <v>-4.8197590160649235E-2</v>
      </c>
      <c r="AA45">
        <f t="shared" si="13"/>
        <v>0.15479226051594386</v>
      </c>
      <c r="AB45">
        <f t="shared" si="17"/>
        <v>0.25124210455695228</v>
      </c>
      <c r="AC45">
        <f t="shared" si="14"/>
        <v>1.4985195734090992</v>
      </c>
      <c r="AD45">
        <f t="shared" si="4"/>
        <v>4.4591185013686814E-4</v>
      </c>
      <c r="AE45">
        <f t="shared" si="15"/>
        <v>0.84350327820909854</v>
      </c>
      <c r="AF45">
        <f t="shared" si="16"/>
        <v>4.3236623737499924E-2</v>
      </c>
    </row>
    <row r="46" spans="1:32" x14ac:dyDescent="0.25">
      <c r="A46" s="6">
        <v>44366.333622685182</v>
      </c>
      <c r="B46">
        <v>202609719.77057838</v>
      </c>
      <c r="C46">
        <v>202571145.62252045</v>
      </c>
      <c r="D46">
        <v>91198.650221230462</v>
      </c>
      <c r="E46">
        <v>607829.15931173414</v>
      </c>
      <c r="F46">
        <v>2.2755905927965487E+19</v>
      </c>
      <c r="G46">
        <v>2985</v>
      </c>
      <c r="H46">
        <v>4.4714974496107805E-4</v>
      </c>
      <c r="I46">
        <v>2236.3872757817285</v>
      </c>
      <c r="J46">
        <f t="shared" si="5"/>
        <v>-3.5998200119987125E-2</v>
      </c>
      <c r="K46">
        <f t="shared" si="7"/>
        <v>-6.1756966623779039E-2</v>
      </c>
      <c r="L46">
        <f t="shared" si="8"/>
        <v>1.2540813347516966</v>
      </c>
      <c r="M46">
        <f t="shared" si="9"/>
        <v>1.6319215931364173</v>
      </c>
      <c r="N46" s="2">
        <v>0.20818883847065645</v>
      </c>
      <c r="O46" s="9">
        <v>1.4183711659386109</v>
      </c>
      <c r="P46">
        <f t="shared" si="1"/>
        <v>0.71748339211310552</v>
      </c>
      <c r="Q46">
        <f t="shared" si="10"/>
        <v>1.2264540590186122</v>
      </c>
      <c r="R46">
        <f t="shared" si="2"/>
        <v>1.0928762808020487</v>
      </c>
      <c r="S46" s="9">
        <f t="shared" si="11"/>
        <v>1.5780809357800378</v>
      </c>
      <c r="T46">
        <v>0.97019999999999995</v>
      </c>
      <c r="U46">
        <v>1.3840233333333332</v>
      </c>
      <c r="V46">
        <v>1.1815263244930525</v>
      </c>
      <c r="W46" s="9">
        <v>1.5157947983053972</v>
      </c>
      <c r="X46">
        <f t="shared" si="3"/>
        <v>0</v>
      </c>
      <c r="Y46">
        <f t="shared" si="12"/>
        <v>0.72368399415981655</v>
      </c>
      <c r="Z46">
        <f t="shared" si="6"/>
        <v>-3.5998200119987125E-2</v>
      </c>
      <c r="AA46">
        <f t="shared" si="13"/>
        <v>0.20618969068725895</v>
      </c>
      <c r="AB46">
        <f t="shared" si="17"/>
        <v>0.25218057379935455</v>
      </c>
      <c r="AC46">
        <f t="shared" si="14"/>
        <v>1.5017959821486877</v>
      </c>
      <c r="AD46">
        <f t="shared" si="4"/>
        <v>5.7021777431137091E-4</v>
      </c>
      <c r="AE46">
        <f t="shared" si="15"/>
        <v>0.82597527391462855</v>
      </c>
      <c r="AF46">
        <f t="shared" si="16"/>
        <v>3.5747163967003059E-2</v>
      </c>
    </row>
    <row r="47" spans="1:32" x14ac:dyDescent="0.25">
      <c r="A47" s="6">
        <v>44367.333449074074</v>
      </c>
      <c r="B47">
        <v>166392028.33620453</v>
      </c>
      <c r="C47">
        <v>166301545.16699028</v>
      </c>
      <c r="D47">
        <v>76647.063592386432</v>
      </c>
      <c r="E47">
        <v>499176.08500861377</v>
      </c>
      <c r="F47">
        <v>1.7598359866562441E+19</v>
      </c>
      <c r="G47">
        <v>2969</v>
      </c>
      <c r="H47">
        <v>4.8110708663841133E-4</v>
      </c>
      <c r="I47">
        <v>2078.5393268413363</v>
      </c>
      <c r="J47">
        <f t="shared" si="5"/>
        <v>-7.3196340243973645E-2</v>
      </c>
      <c r="K47">
        <f t="shared" si="7"/>
        <v>-9.491945918807046E-2</v>
      </c>
      <c r="L47">
        <f t="shared" si="8"/>
        <v>1.2352297487000921</v>
      </c>
      <c r="M47">
        <f t="shared" si="9"/>
        <v>1.5771733774625538</v>
      </c>
      <c r="N47" s="2">
        <v>0.21811830043059124</v>
      </c>
      <c r="O47" s="9">
        <v>1.3468474255178386</v>
      </c>
      <c r="P47">
        <f t="shared" si="1"/>
        <v>0.77085544276317253</v>
      </c>
      <c r="Q47">
        <f t="shared" si="10"/>
        <v>1.1622437902580181</v>
      </c>
      <c r="R47">
        <f t="shared" si="2"/>
        <v>1.1286338027984086</v>
      </c>
      <c r="S47" s="9">
        <f t="shared" si="11"/>
        <v>1.5216909099922424</v>
      </c>
      <c r="T47">
        <v>1.0012999999999999</v>
      </c>
      <c r="U47">
        <v>1.3443366666666665</v>
      </c>
      <c r="V47">
        <v>1.1692441891512293</v>
      </c>
      <c r="W47" s="9">
        <v>1.5042120440932005</v>
      </c>
      <c r="X47">
        <f t="shared" si="3"/>
        <v>0</v>
      </c>
      <c r="Y47">
        <f t="shared" si="12"/>
        <v>0.63782599390346406</v>
      </c>
      <c r="Z47">
        <f t="shared" si="6"/>
        <v>-7.3196340243973645E-2</v>
      </c>
      <c r="AA47">
        <f t="shared" si="13"/>
        <v>0.26438678088123807</v>
      </c>
      <c r="AB47">
        <f t="shared" si="17"/>
        <v>0.26007767021174533</v>
      </c>
      <c r="AC47">
        <f t="shared" si="14"/>
        <v>1.5290680718647285</v>
      </c>
      <c r="AD47">
        <f t="shared" si="4"/>
        <v>5.974059022950107E-4</v>
      </c>
      <c r="AE47">
        <f t="shared" si="15"/>
        <v>0.8587371617301951</v>
      </c>
      <c r="AF47">
        <f t="shared" si="16"/>
        <v>3.5107373340566239E-2</v>
      </c>
    </row>
    <row r="48" spans="1:32" x14ac:dyDescent="0.25">
      <c r="A48" s="6">
        <v>44368.333425925928</v>
      </c>
      <c r="B48">
        <v>434917461.86837959</v>
      </c>
      <c r="C48">
        <v>434884304.72358894</v>
      </c>
      <c r="D48">
        <v>209386.90803839266</v>
      </c>
      <c r="E48">
        <v>1304752.3856051415</v>
      </c>
      <c r="F48">
        <v>6.5391253374693868E+18</v>
      </c>
      <c r="G48">
        <v>2930</v>
      </c>
      <c r="H48">
        <v>5.0673454360637389E-4</v>
      </c>
      <c r="I48">
        <v>1973.4198361199342</v>
      </c>
      <c r="J48">
        <f t="shared" si="5"/>
        <v>-5.1897405172981435E-2</v>
      </c>
      <c r="K48">
        <f t="shared" si="7"/>
        <v>-5.8149280375578226E-2</v>
      </c>
      <c r="L48">
        <f t="shared" si="8"/>
        <v>3.5239180146061799</v>
      </c>
      <c r="M48">
        <f t="shared" si="9"/>
        <v>1.5572936651649376</v>
      </c>
      <c r="N48" s="2">
        <v>1.5625332285451479</v>
      </c>
      <c r="O48" s="9">
        <v>1.4624249023281932</v>
      </c>
      <c r="P48">
        <f t="shared" si="1"/>
        <v>3.3689074695743813</v>
      </c>
      <c r="Q48">
        <f t="shared" si="10"/>
        <v>1.1417611842438899</v>
      </c>
      <c r="R48">
        <f t="shared" si="2"/>
        <v>3.4683041512727297</v>
      </c>
      <c r="S48" s="9">
        <f t="shared" si="11"/>
        <v>1.5017078766954746</v>
      </c>
      <c r="T48">
        <v>1.3631</v>
      </c>
      <c r="U48">
        <v>1.3166033333333336</v>
      </c>
      <c r="V48">
        <v>1.1025220713723671</v>
      </c>
      <c r="W48" s="9">
        <v>1.4403466831729552</v>
      </c>
      <c r="X48">
        <f t="shared" si="3"/>
        <v>3.938093323335988</v>
      </c>
      <c r="Y48">
        <f t="shared" si="12"/>
        <v>0.60757446953036498</v>
      </c>
      <c r="Z48">
        <f t="shared" si="6"/>
        <v>-5.1897405172981435E-2</v>
      </c>
      <c r="AA48">
        <f t="shared" si="13"/>
        <v>0.20418979068059312</v>
      </c>
      <c r="AB48">
        <f t="shared" si="17"/>
        <v>0.26535398314050107</v>
      </c>
      <c r="AC48">
        <f t="shared" si="14"/>
        <v>1.5470002532680207</v>
      </c>
      <c r="AD48">
        <f t="shared" si="4"/>
        <v>4.2717759143564658E-3</v>
      </c>
      <c r="AE48">
        <f t="shared" si="15"/>
        <v>0.92904665547996679</v>
      </c>
      <c r="AF48">
        <f t="shared" si="16"/>
        <v>3.5811491202335066E-2</v>
      </c>
    </row>
    <row r="49" spans="1:32" x14ac:dyDescent="0.25">
      <c r="A49" s="6">
        <v>44369.333541666667</v>
      </c>
      <c r="B49">
        <v>275886303.34985352</v>
      </c>
      <c r="C49">
        <v>275860779.7306366</v>
      </c>
      <c r="D49">
        <v>142953.38751519937</v>
      </c>
      <c r="E49">
        <v>827658.91004955769</v>
      </c>
      <c r="F49">
        <v>9.7796821727590502E+18</v>
      </c>
      <c r="G49">
        <v>2910</v>
      </c>
      <c r="H49">
        <v>5.3527709319746951E-4</v>
      </c>
      <c r="I49">
        <v>1868.1912839320571</v>
      </c>
      <c r="J49">
        <f t="shared" si="5"/>
        <v>-5.4797260182647009E-2</v>
      </c>
      <c r="K49">
        <f t="shared" si="7"/>
        <v>-2.1877817438818385E-2</v>
      </c>
      <c r="L49">
        <f t="shared" si="8"/>
        <v>2.3538242122275665</v>
      </c>
      <c r="M49">
        <f t="shared" si="9"/>
        <v>1.5215130318012648</v>
      </c>
      <c r="N49" s="2">
        <v>0.6940168836998688</v>
      </c>
      <c r="O49" s="9">
        <v>1.4351039480554644</v>
      </c>
      <c r="P49">
        <f t="shared" si="1"/>
        <v>2.0979529975173006</v>
      </c>
      <c r="Q49">
        <f t="shared" si="10"/>
        <v>1.1031818238469984</v>
      </c>
      <c r="R49">
        <f t="shared" si="2"/>
        <v>2.2541080113813128</v>
      </c>
      <c r="S49" s="9">
        <f t="shared" si="11"/>
        <v>1.4649083484806908</v>
      </c>
      <c r="T49">
        <v>1.3069</v>
      </c>
      <c r="U49">
        <v>1.2841166666666664</v>
      </c>
      <c r="V49">
        <v>1.0551631012129146</v>
      </c>
      <c r="W49" s="9">
        <v>1.3981768185521797</v>
      </c>
      <c r="X49">
        <f t="shared" si="3"/>
        <v>2.00733413447194</v>
      </c>
      <c r="Y49">
        <f t="shared" si="12"/>
        <v>0.55910278697618798</v>
      </c>
      <c r="Z49">
        <f t="shared" si="6"/>
        <v>-5.4797260182647009E-2</v>
      </c>
      <c r="AA49">
        <f t="shared" si="13"/>
        <v>0.12839358042795379</v>
      </c>
      <c r="AB49">
        <f t="shared" si="17"/>
        <v>0.26584406123968907</v>
      </c>
      <c r="AC49">
        <f t="shared" si="14"/>
        <v>1.5486543929639991</v>
      </c>
      <c r="AD49">
        <f t="shared" si="4"/>
        <v>1.8996107162820926E-3</v>
      </c>
      <c r="AE49">
        <f t="shared" si="15"/>
        <v>0.78939521622297804</v>
      </c>
      <c r="AF49">
        <f t="shared" si="16"/>
        <v>2.7133472883253962E-2</v>
      </c>
    </row>
    <row r="50" spans="1:32" x14ac:dyDescent="0.25">
      <c r="A50" s="6">
        <v>44370.333692129629</v>
      </c>
      <c r="B50">
        <v>362819216.49931145</v>
      </c>
      <c r="C50">
        <v>362882616.95146942</v>
      </c>
      <c r="D50">
        <v>192964.21500924788</v>
      </c>
      <c r="E50">
        <v>1088457.6494979337</v>
      </c>
      <c r="F50">
        <v>1.7309041201517607E+19</v>
      </c>
      <c r="G50">
        <v>2963</v>
      </c>
      <c r="H50">
        <v>5.0119128460118507E-4</v>
      </c>
      <c r="I50">
        <v>1995.2461878816068</v>
      </c>
      <c r="J50">
        <f t="shared" si="5"/>
        <v>6.5796710219309634E-2</v>
      </c>
      <c r="K50">
        <f t="shared" si="7"/>
        <v>-5.5858131313161835E-2</v>
      </c>
      <c r="L50">
        <f t="shared" si="8"/>
        <v>2.0736755782634142</v>
      </c>
      <c r="M50">
        <f t="shared" si="9"/>
        <v>1.4708500596987164</v>
      </c>
      <c r="N50" s="2">
        <v>0.54700546489167468</v>
      </c>
      <c r="O50" s="9">
        <v>1.1979412638371021</v>
      </c>
      <c r="P50">
        <f t="shared" si="1"/>
        <v>1.795916320246095</v>
      </c>
      <c r="Q50">
        <f t="shared" si="10"/>
        <v>1.0454807079087509</v>
      </c>
      <c r="R50">
        <f t="shared" si="2"/>
        <v>1.9760849112596008</v>
      </c>
      <c r="S50" s="9">
        <f t="shared" si="11"/>
        <v>1.410044111731837</v>
      </c>
      <c r="T50">
        <v>1.1154000000000002</v>
      </c>
      <c r="U50">
        <v>1.2627566666666667</v>
      </c>
      <c r="V50">
        <v>0.98619196633233408</v>
      </c>
      <c r="W50" s="9">
        <v>1.3490472498834334</v>
      </c>
      <c r="X50">
        <f t="shared" si="3"/>
        <v>1.8216772200555651</v>
      </c>
      <c r="Y50">
        <f t="shared" si="12"/>
        <v>0.49332448789303823</v>
      </c>
      <c r="Z50">
        <f t="shared" si="6"/>
        <v>6.5796710219309634E-2</v>
      </c>
      <c r="AA50">
        <f t="shared" si="13"/>
        <v>0.17069146556893874</v>
      </c>
      <c r="AB50">
        <f t="shared" si="17"/>
        <v>0.26558676429398531</v>
      </c>
      <c r="AC50">
        <f t="shared" si="14"/>
        <v>1.5477861896557032</v>
      </c>
      <c r="AD50">
        <f t="shared" si="4"/>
        <v>1.4975232614051045E-3</v>
      </c>
      <c r="AE50">
        <f t="shared" si="15"/>
        <v>0.82713239123634585</v>
      </c>
      <c r="AF50">
        <f t="shared" si="16"/>
        <v>2.6448566531007689E-2</v>
      </c>
    </row>
    <row r="51" spans="1:32" x14ac:dyDescent="0.25">
      <c r="A51" s="6">
        <v>44371.333344907405</v>
      </c>
      <c r="B51">
        <v>140783336.33174324</v>
      </c>
      <c r="C51">
        <v>140775509.35536957</v>
      </c>
      <c r="D51">
        <v>72087.976187925786</v>
      </c>
      <c r="E51">
        <v>422350.00899523497</v>
      </c>
      <c r="F51">
        <v>1.5285863984015598E+19</v>
      </c>
      <c r="G51">
        <v>3069</v>
      </c>
      <c r="H51">
        <v>5.1008988427487536E-4</v>
      </c>
      <c r="I51">
        <v>1960.438798784576</v>
      </c>
      <c r="J51">
        <f t="shared" si="5"/>
        <v>-1.7599120058660329E-2</v>
      </c>
      <c r="K51">
        <f t="shared" si="7"/>
        <v>-7.4474380232023532E-2</v>
      </c>
      <c r="L51">
        <f t="shared" si="8"/>
        <v>1.303855301099327</v>
      </c>
      <c r="M51">
        <f t="shared" si="9"/>
        <v>1.4006406443815373</v>
      </c>
      <c r="N51" s="2">
        <v>0.22937133476424254</v>
      </c>
      <c r="O51" s="9">
        <v>1.1925020652094547</v>
      </c>
      <c r="P51">
        <f t="shared" si="1"/>
        <v>0.82718945127873644</v>
      </c>
      <c r="Q51">
        <f t="shared" si="10"/>
        <v>0.96217946464588022</v>
      </c>
      <c r="R51">
        <f t="shared" si="2"/>
        <v>1.1678349778493566</v>
      </c>
      <c r="S51" s="9">
        <f t="shared" si="11"/>
        <v>1.3347432237991859</v>
      </c>
      <c r="T51">
        <v>1.0952</v>
      </c>
      <c r="U51">
        <v>1.2428833333333331</v>
      </c>
      <c r="V51">
        <v>0.95658118490774624</v>
      </c>
      <c r="W51" s="9">
        <v>1.3241171495222479</v>
      </c>
      <c r="X51">
        <f t="shared" si="3"/>
        <v>0.64812200551495469</v>
      </c>
      <c r="Y51">
        <f t="shared" si="12"/>
        <v>0.40038159801019813</v>
      </c>
      <c r="Z51">
        <f t="shared" si="6"/>
        <v>-1.7599120058660329E-2</v>
      </c>
      <c r="AA51">
        <f t="shared" si="13"/>
        <v>0.20738963069125863</v>
      </c>
      <c r="AB51">
        <f t="shared" si="17"/>
        <v>0.26730519751795528</v>
      </c>
      <c r="AC51">
        <f t="shared" si="14"/>
        <v>1.5535747127938193</v>
      </c>
      <c r="AD51">
        <f t="shared" si="4"/>
        <v>6.2821724601014306E-4</v>
      </c>
      <c r="AE51">
        <f t="shared" si="15"/>
        <v>0.69275308206235386</v>
      </c>
      <c r="AF51">
        <f t="shared" si="16"/>
        <v>1.0357940631816831E-2</v>
      </c>
    </row>
    <row r="52" spans="1:32" x14ac:dyDescent="0.25">
      <c r="A52" s="6">
        <v>44372.333333333336</v>
      </c>
      <c r="B52">
        <v>113559796.51448441</v>
      </c>
      <c r="C52">
        <v>113534263.08094788</v>
      </c>
      <c r="D52">
        <v>57548.38768960163</v>
      </c>
      <c r="E52">
        <v>340679.38954345137</v>
      </c>
      <c r="F52">
        <v>9.5344911252579287E+18</v>
      </c>
      <c r="G52">
        <v>3126</v>
      </c>
      <c r="H52">
        <v>5.3925263628189658E-4</v>
      </c>
      <c r="I52">
        <v>1854.4183796576672</v>
      </c>
      <c r="J52">
        <f t="shared" si="5"/>
        <v>-5.5597220185313254E-2</v>
      </c>
      <c r="K52">
        <f t="shared" si="7"/>
        <v>-0.18206397729562598</v>
      </c>
      <c r="L52">
        <f t="shared" si="8"/>
        <v>1.2159969777140525</v>
      </c>
      <c r="M52">
        <f t="shared" si="9"/>
        <v>1.3797828947354385</v>
      </c>
      <c r="N52" s="2">
        <v>0.28551515040878167</v>
      </c>
      <c r="O52" s="9">
        <v>1.1936242516923676</v>
      </c>
      <c r="P52">
        <f t="shared" si="1"/>
        <v>1.0646092773704023</v>
      </c>
      <c r="Q52">
        <f t="shared" si="10"/>
        <v>0.9425938370964998</v>
      </c>
      <c r="R52">
        <f t="shared" si="2"/>
        <v>1.3464728220965769</v>
      </c>
      <c r="S52" s="9">
        <f t="shared" si="11"/>
        <v>1.3180781209330727</v>
      </c>
      <c r="T52">
        <v>1.1577999999999999</v>
      </c>
      <c r="U52">
        <v>1.2310700000000001</v>
      </c>
      <c r="V52">
        <v>0.93275075295450849</v>
      </c>
      <c r="W52" s="9">
        <v>1.3053146368324795</v>
      </c>
      <c r="X52">
        <f t="shared" si="3"/>
        <v>0.94371181849179764</v>
      </c>
      <c r="Y52">
        <f t="shared" si="12"/>
        <v>0.41822624568297023</v>
      </c>
      <c r="Z52">
        <f t="shared" si="6"/>
        <v>-5.5597220185313254E-2</v>
      </c>
      <c r="AA52">
        <f t="shared" si="13"/>
        <v>0.42267886640884778</v>
      </c>
      <c r="AB52">
        <f t="shared" si="17"/>
        <v>0.2770339270621513</v>
      </c>
      <c r="AC52">
        <f t="shared" si="14"/>
        <v>1.5859103740563398</v>
      </c>
      <c r="AD52">
        <f t="shared" si="4"/>
        <v>7.8192750378527106E-4</v>
      </c>
      <c r="AE52">
        <f t="shared" si="15"/>
        <v>0.65522351229620712</v>
      </c>
      <c r="AF52">
        <f t="shared" si="16"/>
        <v>4.3395379523691879E-3</v>
      </c>
    </row>
    <row r="53" spans="1:32" x14ac:dyDescent="0.25">
      <c r="A53" s="6">
        <v>44373.333333333336</v>
      </c>
      <c r="B53">
        <v>168233169.10162354</v>
      </c>
      <c r="C53">
        <v>168213707.95168686</v>
      </c>
      <c r="D53">
        <v>92727.689386132173</v>
      </c>
      <c r="E53">
        <v>504699.50730486959</v>
      </c>
      <c r="F53">
        <v>1.7068460277623204E+19</v>
      </c>
      <c r="G53">
        <v>3171</v>
      </c>
      <c r="H53">
        <v>5.5417626784245446E-4</v>
      </c>
      <c r="I53">
        <v>1804.4800148033185</v>
      </c>
      <c r="J53">
        <f t="shared" si="5"/>
        <v>-2.7298635090990217E-2</v>
      </c>
      <c r="K53">
        <f t="shared" si="7"/>
        <v>-0.19602993188841586</v>
      </c>
      <c r="L53">
        <f t="shared" si="8"/>
        <v>1.0461508913084241</v>
      </c>
      <c r="M53">
        <f t="shared" si="9"/>
        <v>1.3398669768578546</v>
      </c>
      <c r="N53" s="2">
        <v>0.2535016471157745</v>
      </c>
      <c r="O53" s="9">
        <v>1.1881760796565168</v>
      </c>
      <c r="P53">
        <f t="shared" si="1"/>
        <v>0.93663487396053791</v>
      </c>
      <c r="Q53">
        <f t="shared" si="10"/>
        <v>0.90647502333274532</v>
      </c>
      <c r="R53">
        <f t="shared" si="2"/>
        <v>1.2477503894211626</v>
      </c>
      <c r="S53" s="9">
        <f t="shared" si="11"/>
        <v>1.2869389321081219</v>
      </c>
      <c r="T53">
        <v>1.1618000000000002</v>
      </c>
      <c r="U53">
        <v>1.22</v>
      </c>
      <c r="V53">
        <v>0.87330912718443299</v>
      </c>
      <c r="W53" s="9">
        <v>1.2606536129599137</v>
      </c>
      <c r="X53">
        <f t="shared" si="3"/>
        <v>0.79513264495588676</v>
      </c>
      <c r="Y53">
        <f t="shared" si="12"/>
        <v>0.40255755373659474</v>
      </c>
      <c r="Z53">
        <f t="shared" si="6"/>
        <v>-2.7298635090990217E-2</v>
      </c>
      <c r="AA53">
        <f t="shared" si="13"/>
        <v>0.45007749650017131</v>
      </c>
      <c r="AB53">
        <f t="shared" si="17"/>
        <v>0.29112741562670402</v>
      </c>
      <c r="AC53">
        <f t="shared" si="14"/>
        <v>1.6315013294515825</v>
      </c>
      <c r="AD53">
        <f t="shared" si="4"/>
        <v>6.9428398967470955E-4</v>
      </c>
      <c r="AE53">
        <f t="shared" si="15"/>
        <v>0.74171881660675665</v>
      </c>
      <c r="AF53">
        <f t="shared" si="16"/>
        <v>1.4397438878009261E-2</v>
      </c>
    </row>
    <row r="54" spans="1:32" x14ac:dyDescent="0.25">
      <c r="A54" s="6">
        <v>44374.333391203705</v>
      </c>
      <c r="B54">
        <v>134223747.14918709</v>
      </c>
      <c r="C54">
        <v>134245331.0601635</v>
      </c>
      <c r="D54">
        <v>74067.481684303842</v>
      </c>
      <c r="E54">
        <v>402671.24144756049</v>
      </c>
      <c r="F54">
        <v>1.1890759484359979E+19</v>
      </c>
      <c r="G54">
        <v>3224</v>
      </c>
      <c r="H54">
        <v>5.4396436493698653E-4</v>
      </c>
      <c r="I54">
        <v>1838.3557167680299</v>
      </c>
      <c r="J54">
        <f t="shared" si="5"/>
        <v>1.8599070061993319E-2</v>
      </c>
      <c r="K54">
        <f t="shared" si="7"/>
        <v>-0.11234458699498329</v>
      </c>
      <c r="L54">
        <f t="shared" si="8"/>
        <v>1.4282994088904089</v>
      </c>
      <c r="M54">
        <f t="shared" si="9"/>
        <v>1.3185534579871967</v>
      </c>
      <c r="N54" s="2">
        <v>0.29337453486192505</v>
      </c>
      <c r="O54" s="9">
        <v>1.1620768243260398</v>
      </c>
      <c r="P54">
        <f t="shared" si="1"/>
        <v>1.0937403663979295</v>
      </c>
      <c r="Q54">
        <f t="shared" si="10"/>
        <v>0.88394540709447567</v>
      </c>
      <c r="R54">
        <f t="shared" si="2"/>
        <v>1.3696218953674286</v>
      </c>
      <c r="S54" s="9">
        <f t="shared" si="11"/>
        <v>1.2675188288264663</v>
      </c>
      <c r="T54">
        <v>1.1362999999999999</v>
      </c>
      <c r="U54">
        <v>1.2007333333333332</v>
      </c>
      <c r="V54">
        <v>0.83939624336841667</v>
      </c>
      <c r="W54" s="9">
        <v>1.2342809212371502</v>
      </c>
      <c r="X54">
        <f t="shared" si="3"/>
        <v>1.0191350661483447</v>
      </c>
      <c r="Y54">
        <f t="shared" si="12"/>
        <v>0.41574414296528633</v>
      </c>
      <c r="Z54">
        <f t="shared" si="6"/>
        <v>1.8599070061993319E-2</v>
      </c>
      <c r="AA54">
        <f t="shared" si="13"/>
        <v>0.28018599093389918</v>
      </c>
      <c r="AB54">
        <f t="shared" si="17"/>
        <v>0.29624845107888959</v>
      </c>
      <c r="AC54">
        <f t="shared" si="14"/>
        <v>1.6477193717300322</v>
      </c>
      <c r="AD54">
        <f t="shared" si="4"/>
        <v>8.0344300215076138E-4</v>
      </c>
      <c r="AE54">
        <f t="shared" si="15"/>
        <v>0.75059755028953257</v>
      </c>
      <c r="AF54">
        <f t="shared" si="16"/>
        <v>1.4603319645076107E-2</v>
      </c>
    </row>
    <row r="55" spans="1:32" x14ac:dyDescent="0.25">
      <c r="A55" s="6">
        <v>44375.333391203705</v>
      </c>
      <c r="B55">
        <v>116149588.20354652</v>
      </c>
      <c r="C55">
        <v>116209637.28317642</v>
      </c>
      <c r="D55">
        <v>59453.993855808862</v>
      </c>
      <c r="E55">
        <v>348448.7646106407</v>
      </c>
      <c r="F55">
        <v>1.3849228207706882E+19</v>
      </c>
      <c r="G55">
        <v>3219</v>
      </c>
      <c r="H55">
        <v>4.9978998180765682E-4</v>
      </c>
      <c r="I55">
        <v>2000.8404257787784</v>
      </c>
      <c r="J55">
        <f t="shared" si="5"/>
        <v>8.4695765282302549E-2</v>
      </c>
      <c r="K55">
        <f t="shared" si="7"/>
        <v>-7.3356066269106568E-2</v>
      </c>
      <c r="L55">
        <f t="shared" si="8"/>
        <v>1.2476295215774074</v>
      </c>
      <c r="M55">
        <f t="shared" si="9"/>
        <v>1.2912745810338093</v>
      </c>
      <c r="N55" s="2">
        <v>0.2109363097815575</v>
      </c>
      <c r="O55" s="9">
        <v>1.1618772660235597</v>
      </c>
      <c r="P55">
        <f t="shared" si="1"/>
        <v>0.73264055883177592</v>
      </c>
      <c r="Q55">
        <f t="shared" si="10"/>
        <v>0.8494646623966714</v>
      </c>
      <c r="R55">
        <f t="shared" si="2"/>
        <v>1.1028863656909205</v>
      </c>
      <c r="S55" s="9">
        <f t="shared" si="11"/>
        <v>1.2392850629924164</v>
      </c>
      <c r="T55">
        <v>1.0758000000000001</v>
      </c>
      <c r="U55">
        <v>1.1748499999999999</v>
      </c>
      <c r="V55">
        <v>0.81108502336844013</v>
      </c>
      <c r="W55" s="9">
        <v>1.214476413693113</v>
      </c>
      <c r="X55">
        <f t="shared" si="3"/>
        <v>0.58506863246208873</v>
      </c>
      <c r="Y55">
        <f t="shared" si="12"/>
        <v>0.41575220647322414</v>
      </c>
      <c r="Z55">
        <f t="shared" si="6"/>
        <v>8.4695765282302549E-2</v>
      </c>
      <c r="AA55">
        <f t="shared" si="13"/>
        <v>0.20218989067392745</v>
      </c>
      <c r="AB55">
        <f t="shared" si="17"/>
        <v>0.29665024184312155</v>
      </c>
      <c r="AC55">
        <f t="shared" si="14"/>
        <v>1.6489842471513469</v>
      </c>
      <c r="AD55">
        <f t="shared" si="4"/>
        <v>5.7774077368610117E-4</v>
      </c>
      <c r="AE55">
        <f t="shared" si="15"/>
        <v>0.81693978396637035</v>
      </c>
      <c r="AF55">
        <f t="shared" si="16"/>
        <v>1.8941671276242467E-2</v>
      </c>
    </row>
    <row r="56" spans="1:32" x14ac:dyDescent="0.25">
      <c r="A56" s="6">
        <v>44376.333587962959</v>
      </c>
      <c r="B56">
        <v>181272170.43906975</v>
      </c>
      <c r="C56">
        <v>181359418.67008209</v>
      </c>
      <c r="D56">
        <v>86146.77544314228</v>
      </c>
      <c r="E56">
        <v>543816.51131720841</v>
      </c>
      <c r="F56">
        <v>1.5226814033123762E+19</v>
      </c>
      <c r="G56">
        <v>3229</v>
      </c>
      <c r="H56">
        <v>4.5860637600005457E-4</v>
      </c>
      <c r="I56">
        <v>2180.5191823148157</v>
      </c>
      <c r="J56">
        <f t="shared" si="5"/>
        <v>8.5995700286635918E-2</v>
      </c>
      <c r="K56">
        <f t="shared" si="7"/>
        <v>-3.0577409927705652E-2</v>
      </c>
      <c r="L56">
        <f t="shared" si="8"/>
        <v>1.5161996687024648</v>
      </c>
      <c r="M56">
        <f t="shared" si="9"/>
        <v>1.2713539522516579</v>
      </c>
      <c r="N56" s="2">
        <v>0.29020146004816544</v>
      </c>
      <c r="O56" s="9">
        <v>1.1572775594510962</v>
      </c>
      <c r="P56">
        <f t="shared" si="1"/>
        <v>1.0820736530283881</v>
      </c>
      <c r="Q56">
        <f t="shared" si="10"/>
        <v>0.82480862957493273</v>
      </c>
      <c r="R56">
        <f t="shared" si="2"/>
        <v>1.3603233210379768</v>
      </c>
      <c r="S56" s="9">
        <f t="shared" si="11"/>
        <v>1.2179759574914428</v>
      </c>
      <c r="T56">
        <v>1.0146999999999999</v>
      </c>
      <c r="U56">
        <v>1.1575699999999998</v>
      </c>
      <c r="V56">
        <v>0.77986558264944894</v>
      </c>
      <c r="W56" s="9">
        <v>1.1934667916649055</v>
      </c>
      <c r="X56">
        <f t="shared" si="3"/>
        <v>1.0115230709846337</v>
      </c>
      <c r="Y56">
        <f t="shared" si="12"/>
        <v>0.42565993054737328</v>
      </c>
      <c r="Z56">
        <f t="shared" si="6"/>
        <v>8.5995700286635918E-2</v>
      </c>
      <c r="AA56">
        <f t="shared" si="13"/>
        <v>0.11619419038729153</v>
      </c>
      <c r="AB56">
        <f t="shared" si="17"/>
        <v>0.29557060569445226</v>
      </c>
      <c r="AC56">
        <f t="shared" si="14"/>
        <v>1.6455829718915842</v>
      </c>
      <c r="AD56">
        <f t="shared" si="4"/>
        <v>7.9475659058041181E-4</v>
      </c>
      <c r="AE56">
        <f t="shared" si="15"/>
        <v>0.85138405347145019</v>
      </c>
      <c r="AF56">
        <f t="shared" si="16"/>
        <v>2.0098203970720041E-2</v>
      </c>
    </row>
    <row r="57" spans="1:32" x14ac:dyDescent="0.25">
      <c r="A57" s="6">
        <v>44377.333344907405</v>
      </c>
      <c r="B57">
        <v>133433754.94452667</v>
      </c>
      <c r="C57">
        <v>133426225.55024719</v>
      </c>
      <c r="D57">
        <v>61364.991933400743</v>
      </c>
      <c r="E57">
        <v>400301.26483357698</v>
      </c>
      <c r="F57">
        <v>1.6050112957863305E+19</v>
      </c>
      <c r="G57">
        <v>3239</v>
      </c>
      <c r="H57">
        <v>4.6428178286251069E-4</v>
      </c>
      <c r="I57">
        <v>2153.8643920821964</v>
      </c>
      <c r="J57">
        <f t="shared" si="5"/>
        <v>-1.2299385040995698E-2</v>
      </c>
      <c r="K57">
        <f t="shared" si="7"/>
        <v>-6.2771459345637173E-2</v>
      </c>
      <c r="L57">
        <f t="shared" si="8"/>
        <v>1.2097282263714058</v>
      </c>
      <c r="M57">
        <f t="shared" si="9"/>
        <v>1.2717178835690102</v>
      </c>
      <c r="N57" s="2">
        <v>0.19491327623319921</v>
      </c>
      <c r="O57" s="9">
        <v>1.0767752470034113</v>
      </c>
      <c r="P57">
        <f t="shared" si="1"/>
        <v>0.63920100129651747</v>
      </c>
      <c r="Q57">
        <f t="shared" si="10"/>
        <v>0.82685650785875586</v>
      </c>
      <c r="R57">
        <f t="shared" si="2"/>
        <v>1.0431558211696184</v>
      </c>
      <c r="S57" s="9">
        <f t="shared" si="11"/>
        <v>1.2191917599398778</v>
      </c>
      <c r="T57">
        <v>1.0647</v>
      </c>
      <c r="U57">
        <v>1.1457533333333332</v>
      </c>
      <c r="V57">
        <v>0.75205858620429977</v>
      </c>
      <c r="W57" s="9">
        <v>1.1760101287312255</v>
      </c>
      <c r="X57">
        <f t="shared" si="3"/>
        <v>0.63762650293872669</v>
      </c>
      <c r="Y57">
        <f t="shared" si="12"/>
        <v>0.44691414731199752</v>
      </c>
      <c r="Z57">
        <f t="shared" si="6"/>
        <v>-1.2299385040995698E-2</v>
      </c>
      <c r="AA57">
        <f t="shared" si="13"/>
        <v>0.17319134057727123</v>
      </c>
      <c r="AB57">
        <f t="shared" si="17"/>
        <v>0.29862231285097318</v>
      </c>
      <c r="AC57">
        <f t="shared" si="14"/>
        <v>1.6551767452842499</v>
      </c>
      <c r="AD57">
        <f t="shared" si="4"/>
        <v>5.3386644392811814E-4</v>
      </c>
      <c r="AE57">
        <f t="shared" si="15"/>
        <v>0.82111660988004953</v>
      </c>
      <c r="AF57">
        <f t="shared" si="16"/>
        <v>1.8477697399813753E-2</v>
      </c>
    </row>
    <row r="58" spans="1:32" x14ac:dyDescent="0.25">
      <c r="A58" s="6">
        <v>44378.333425925928</v>
      </c>
      <c r="B58">
        <v>172109147.02528572</v>
      </c>
      <c r="C58">
        <v>172114528.00045395</v>
      </c>
      <c r="D58">
        <v>78536.512443305925</v>
      </c>
      <c r="E58">
        <v>516327.44107586145</v>
      </c>
      <c r="F58">
        <v>1.5760447414975558E+19</v>
      </c>
      <c r="G58">
        <v>3248</v>
      </c>
      <c r="H58">
        <v>4.6847896805633749E-4</v>
      </c>
      <c r="I58">
        <v>2134.5675434457153</v>
      </c>
      <c r="J58">
        <f t="shared" si="5"/>
        <v>-8.9995500299966825E-3</v>
      </c>
      <c r="K58">
        <f t="shared" si="7"/>
        <v>-7.821455707309162E-2</v>
      </c>
      <c r="L58">
        <f t="shared" si="8"/>
        <v>1.3690774166931476</v>
      </c>
      <c r="M58">
        <f t="shared" si="9"/>
        <v>1.2670074410743983</v>
      </c>
      <c r="N58" s="2">
        <v>0.25289932792542591</v>
      </c>
      <c r="O58" s="9">
        <v>1.0992758908290847</v>
      </c>
      <c r="P58">
        <f t="shared" si="1"/>
        <v>0.93405906322688403</v>
      </c>
      <c r="Q58">
        <f t="shared" si="10"/>
        <v>0.82225055351635923</v>
      </c>
      <c r="R58">
        <f t="shared" si="2"/>
        <v>1.2458179966503431</v>
      </c>
      <c r="S58" s="9">
        <f t="shared" si="11"/>
        <v>1.2156352795030574</v>
      </c>
      <c r="T58">
        <v>1.0162</v>
      </c>
      <c r="U58">
        <v>1.1327033333333332</v>
      </c>
      <c r="V58">
        <v>0.73292996487886664</v>
      </c>
      <c r="W58" s="9">
        <v>1.1661932452436754</v>
      </c>
      <c r="X58">
        <f t="shared" si="3"/>
        <v>0.91805311510238186</v>
      </c>
      <c r="Y58">
        <f t="shared" si="12"/>
        <v>0.4775159178154102</v>
      </c>
      <c r="Z58">
        <f t="shared" si="6"/>
        <v>-8.9995500299966825E-3</v>
      </c>
      <c r="AA58">
        <f t="shared" si="13"/>
        <v>0.20608969568692617</v>
      </c>
      <c r="AB58">
        <f t="shared" si="17"/>
        <v>0.30168592886666518</v>
      </c>
      <c r="AC58">
        <f t="shared" si="14"/>
        <v>1.664745332353524</v>
      </c>
      <c r="AD58">
        <f t="shared" si="4"/>
        <v>6.9263494405504716E-4</v>
      </c>
      <c r="AE58">
        <f t="shared" si="15"/>
        <v>0.79247971420557994</v>
      </c>
      <c r="AF58">
        <f t="shared" si="16"/>
        <v>1.6448749521235095E-2</v>
      </c>
    </row>
    <row r="59" spans="1:32" x14ac:dyDescent="0.25">
      <c r="A59" s="6">
        <v>44379.333402777775</v>
      </c>
      <c r="B59">
        <v>116201379.30106354</v>
      </c>
      <c r="C59">
        <v>116164647.83272743</v>
      </c>
      <c r="D59">
        <v>55682.143550872803</v>
      </c>
      <c r="E59">
        <v>348604.1379031837</v>
      </c>
      <c r="F59">
        <v>1.3742484703833496E+19</v>
      </c>
      <c r="G59">
        <v>3310</v>
      </c>
      <c r="H59">
        <v>4.9077652603914091E-4</v>
      </c>
      <c r="I59">
        <v>2037.5872661852759</v>
      </c>
      <c r="J59">
        <f t="shared" si="5"/>
        <v>-4.649767515498323E-2</v>
      </c>
      <c r="K59">
        <f t="shared" si="7"/>
        <v>-0.11486768065263196</v>
      </c>
      <c r="L59">
        <f t="shared" si="8"/>
        <v>1.1341854572724124</v>
      </c>
      <c r="M59">
        <f t="shared" si="9"/>
        <v>1.2596049405363325</v>
      </c>
      <c r="N59" s="2">
        <v>0.20090856295374168</v>
      </c>
      <c r="O59" s="9">
        <v>1.0958406176116986</v>
      </c>
      <c r="P59">
        <f t="shared" si="1"/>
        <v>0.67567759606398836</v>
      </c>
      <c r="Q59">
        <f t="shared" si="10"/>
        <v>0.81635532753471207</v>
      </c>
      <c r="R59">
        <f t="shared" si="2"/>
        <v>1.0658969748546998</v>
      </c>
      <c r="S59" s="9">
        <f t="shared" si="11"/>
        <v>1.2116344450711365</v>
      </c>
      <c r="T59">
        <v>0.98060000000000003</v>
      </c>
      <c r="U59">
        <v>1.1231166666666668</v>
      </c>
      <c r="V59">
        <v>0.69044312190314616</v>
      </c>
      <c r="W59" s="9">
        <v>1.1318979136477587</v>
      </c>
      <c r="X59">
        <f t="shared" si="3"/>
        <v>0.64290750013748243</v>
      </c>
      <c r="Y59">
        <f t="shared" si="12"/>
        <v>0.49894616781999296</v>
      </c>
      <c r="Z59">
        <f t="shared" si="6"/>
        <v>-4.649767515498323E-2</v>
      </c>
      <c r="AA59">
        <f t="shared" si="13"/>
        <v>0.27908604593023334</v>
      </c>
      <c r="AB59">
        <f t="shared" si="17"/>
        <v>0.3030768250690164</v>
      </c>
      <c r="AC59">
        <f t="shared" si="14"/>
        <v>1.6690690765342291</v>
      </c>
      <c r="AD59">
        <f t="shared" si="4"/>
        <v>5.5028298559352056E-4</v>
      </c>
      <c r="AE59">
        <f t="shared" si="15"/>
        <v>0.72362366166023862</v>
      </c>
      <c r="AF59">
        <f t="shared" si="16"/>
        <v>9.9954477405215236E-3</v>
      </c>
    </row>
    <row r="60" spans="1:32" x14ac:dyDescent="0.25">
      <c r="A60" s="6">
        <v>44380.333449074074</v>
      </c>
      <c r="B60">
        <v>102171636.18086624</v>
      </c>
      <c r="C60">
        <v>102248934.70398903</v>
      </c>
      <c r="D60">
        <v>47736.667903384194</v>
      </c>
      <c r="E60">
        <v>306514.90854260325</v>
      </c>
      <c r="F60">
        <v>1.587517256220784E+19</v>
      </c>
      <c r="G60">
        <v>3407</v>
      </c>
      <c r="H60">
        <v>4.5300034563317378E-4</v>
      </c>
      <c r="I60">
        <v>2207.5038344667628</v>
      </c>
      <c r="J60">
        <f t="shared" si="5"/>
        <v>8.009599526697106E-2</v>
      </c>
      <c r="K60">
        <f t="shared" si="7"/>
        <v>-9.7526584145072787E-2</v>
      </c>
      <c r="L60">
        <f t="shared" si="8"/>
        <v>1.0050851738182347</v>
      </c>
      <c r="M60">
        <f t="shared" si="9"/>
        <v>1.2469790562541123</v>
      </c>
      <c r="N60" s="2">
        <v>0.15519368122927341</v>
      </c>
      <c r="O60" s="9">
        <v>1.084501477490978</v>
      </c>
      <c r="P60">
        <f t="shared" si="1"/>
        <v>0.30136549242915001</v>
      </c>
      <c r="Q60">
        <f t="shared" si="10"/>
        <v>0.79716606180449823</v>
      </c>
      <c r="R60">
        <f t="shared" si="2"/>
        <v>0.87773418938118974</v>
      </c>
      <c r="S60" s="9">
        <f t="shared" si="11"/>
        <v>1.2007701961368937</v>
      </c>
      <c r="T60">
        <v>0.95</v>
      </c>
      <c r="U60">
        <v>1.1142866666666664</v>
      </c>
      <c r="V60">
        <v>0.63085322087273588</v>
      </c>
      <c r="W60" s="9">
        <v>1.0836130374915558</v>
      </c>
      <c r="X60">
        <f t="shared" si="3"/>
        <v>0.25609458608704277</v>
      </c>
      <c r="Y60">
        <f t="shared" si="12"/>
        <v>0.50748265402289439</v>
      </c>
      <c r="Z60">
        <f t="shared" si="6"/>
        <v>8.009599526697106E-2</v>
      </c>
      <c r="AA60">
        <f t="shared" si="13"/>
        <v>0.24338783081124618</v>
      </c>
      <c r="AB60">
        <f t="shared" si="17"/>
        <v>0.30683458702675892</v>
      </c>
      <c r="AC60">
        <f t="shared" si="14"/>
        <v>1.6806875443768323</v>
      </c>
      <c r="AD60">
        <f t="shared" si="4"/>
        <v>4.2509780087687869E-4</v>
      </c>
      <c r="AE60">
        <f t="shared" si="15"/>
        <v>0.8422390349223946</v>
      </c>
      <c r="AF60">
        <f t="shared" si="16"/>
        <v>1.9239730744061267E-2</v>
      </c>
    </row>
    <row r="61" spans="1:32" x14ac:dyDescent="0.25">
      <c r="A61" s="6">
        <v>44381.333379629628</v>
      </c>
      <c r="B61">
        <v>88523350.320360184</v>
      </c>
      <c r="C61">
        <v>88589944.851512909</v>
      </c>
      <c r="D61">
        <v>39272.949227674864</v>
      </c>
      <c r="E61">
        <v>265570.05096108466</v>
      </c>
      <c r="F61">
        <v>1.3589877253943943E+19</v>
      </c>
      <c r="G61">
        <v>3435</v>
      </c>
      <c r="H61">
        <v>4.2785987335829421E-4</v>
      </c>
      <c r="I61">
        <v>2337.2137988798727</v>
      </c>
      <c r="J61">
        <f t="shared" si="5"/>
        <v>5.7097145190312816E-2</v>
      </c>
      <c r="K61">
        <f t="shared" si="7"/>
        <v>-3.3262431828015082E-2</v>
      </c>
      <c r="L61">
        <f t="shared" si="8"/>
        <v>1.0958194840711848</v>
      </c>
      <c r="M61">
        <f t="shared" si="9"/>
        <v>1.2411398367761186</v>
      </c>
      <c r="N61" s="2">
        <v>0.15346765525331674</v>
      </c>
      <c r="O61" s="9">
        <v>1.0815215656646018</v>
      </c>
      <c r="P61">
        <f t="shared" si="1"/>
        <v>0.27751207580826232</v>
      </c>
      <c r="Q61">
        <f t="shared" si="10"/>
        <v>0.78079418125411371</v>
      </c>
      <c r="R61">
        <f t="shared" si="2"/>
        <v>0.86983279968106564</v>
      </c>
      <c r="S61" s="9">
        <f t="shared" si="11"/>
        <v>1.1921932477808748</v>
      </c>
      <c r="T61">
        <v>0.93440000000000001</v>
      </c>
      <c r="U61">
        <v>1.1044033333333332</v>
      </c>
      <c r="V61">
        <v>0.59555287842871307</v>
      </c>
      <c r="W61" s="9">
        <v>1.0661911784513012</v>
      </c>
      <c r="X61">
        <f t="shared" si="3"/>
        <v>0.24123204721125191</v>
      </c>
      <c r="Y61">
        <f t="shared" si="12"/>
        <v>0.51552372226326948</v>
      </c>
      <c r="Z61">
        <f t="shared" si="6"/>
        <v>5.7097145190312816E-2</v>
      </c>
      <c r="AA61">
        <f t="shared" si="13"/>
        <v>0.11459427038195941</v>
      </c>
      <c r="AB61">
        <f t="shared" si="17"/>
        <v>0.30063496850205829</v>
      </c>
      <c r="AC61">
        <f t="shared" si="14"/>
        <v>1.6614698773432908</v>
      </c>
      <c r="AD61">
        <f t="shared" si="4"/>
        <v>4.2037096120665842E-4</v>
      </c>
      <c r="AE61">
        <f t="shared" si="15"/>
        <v>0.88453440769564518</v>
      </c>
      <c r="AF61">
        <f t="shared" si="16"/>
        <v>2.0896115971323459E-2</v>
      </c>
    </row>
    <row r="62" spans="1:32" x14ac:dyDescent="0.25">
      <c r="A62" s="6">
        <v>44382.333391203705</v>
      </c>
      <c r="B62">
        <v>116672592.32400322</v>
      </c>
      <c r="C62">
        <v>116602445.95950699</v>
      </c>
      <c r="D62">
        <v>50845.980216576718</v>
      </c>
      <c r="E62">
        <v>350017.77697200328</v>
      </c>
      <c r="F62">
        <v>1.351150642180581E+19</v>
      </c>
      <c r="G62">
        <v>3451</v>
      </c>
      <c r="H62">
        <v>4.5645609067396296E-4</v>
      </c>
      <c r="I62">
        <v>2190.7912292800997</v>
      </c>
      <c r="J62">
        <f t="shared" si="5"/>
        <v>-6.4696765215643409E-2</v>
      </c>
      <c r="K62">
        <f t="shared" si="7"/>
        <v>-6.91061825389582E-2</v>
      </c>
      <c r="L62">
        <f t="shared" si="8"/>
        <v>1.1965282959249592</v>
      </c>
      <c r="M62">
        <f t="shared" si="9"/>
        <v>1.2356051330722793</v>
      </c>
      <c r="N62" s="2">
        <v>0.19348308523644311</v>
      </c>
      <c r="O62" s="9">
        <v>1.0939246447094191</v>
      </c>
      <c r="P62">
        <f t="shared" si="1"/>
        <v>0.63018758483837312</v>
      </c>
      <c r="Q62">
        <f t="shared" si="10"/>
        <v>0.77191976170320764</v>
      </c>
      <c r="R62">
        <f t="shared" si="2"/>
        <v>1.0376572359242775</v>
      </c>
      <c r="S62" s="9">
        <f t="shared" si="11"/>
        <v>1.1861867313275016</v>
      </c>
      <c r="T62">
        <v>0.91610000000000003</v>
      </c>
      <c r="U62">
        <v>1.0925733333333332</v>
      </c>
      <c r="V62">
        <v>0.59555287842871307</v>
      </c>
      <c r="W62" s="9">
        <v>1.0662199455250989</v>
      </c>
      <c r="X62">
        <f t="shared" si="3"/>
        <v>0.59696111730766022</v>
      </c>
      <c r="Y62">
        <f t="shared" si="12"/>
        <v>0.53542242617352487</v>
      </c>
      <c r="Z62">
        <f t="shared" si="6"/>
        <v>-6.4696765215643409E-2</v>
      </c>
      <c r="AA62">
        <f t="shared" si="13"/>
        <v>0.18739063062459979</v>
      </c>
      <c r="AB62">
        <f t="shared" si="17"/>
        <v>0.29743512849139286</v>
      </c>
      <c r="AC62">
        <f t="shared" si="14"/>
        <v>1.6514520009317557</v>
      </c>
      <c r="AD62">
        <f t="shared" si="4"/>
        <v>5.2995019606911142E-4</v>
      </c>
      <c r="AE62">
        <f t="shared" si="15"/>
        <v>0.81091704232354045</v>
      </c>
      <c r="AF62">
        <f t="shared" si="16"/>
        <v>1.7085592001809591E-2</v>
      </c>
    </row>
    <row r="63" spans="1:32" x14ac:dyDescent="0.25">
      <c r="A63" s="6">
        <v>44383.333518518521</v>
      </c>
      <c r="B63">
        <v>136747389.02397728</v>
      </c>
      <c r="C63">
        <v>136796350.31506538</v>
      </c>
      <c r="D63">
        <v>60889.997263380326</v>
      </c>
      <c r="E63">
        <v>410242.16707193106</v>
      </c>
      <c r="F63">
        <v>1.5486604757799191E+19</v>
      </c>
      <c r="G63">
        <v>3494</v>
      </c>
      <c r="H63">
        <v>4.3497776652016924E-4</v>
      </c>
      <c r="I63">
        <v>2298.9680782997712</v>
      </c>
      <c r="J63">
        <f t="shared" si="5"/>
        <v>4.8197590160649353E-2</v>
      </c>
      <c r="K63">
        <f t="shared" si="7"/>
        <v>-5.549143279428409E-2</v>
      </c>
      <c r="L63">
        <f t="shared" si="8"/>
        <v>1.2576761932485347</v>
      </c>
      <c r="M63">
        <f t="shared" si="9"/>
        <v>1.2382571888904865</v>
      </c>
      <c r="N63" s="2">
        <v>0.20708367587774715</v>
      </c>
      <c r="O63" s="9">
        <v>1.1075290427048721</v>
      </c>
      <c r="P63">
        <f t="shared" si="1"/>
        <v>0.71129537972269585</v>
      </c>
      <c r="Q63">
        <f t="shared" si="10"/>
        <v>0.7778345425359402</v>
      </c>
      <c r="R63">
        <f t="shared" si="2"/>
        <v>1.088823798599408</v>
      </c>
      <c r="S63" s="9">
        <f t="shared" si="11"/>
        <v>1.1897429414868992</v>
      </c>
      <c r="T63">
        <v>0.95930000000000004</v>
      </c>
      <c r="U63">
        <v>1.0846399999999998</v>
      </c>
      <c r="V63">
        <v>0.56221726192012444</v>
      </c>
      <c r="W63" s="9">
        <v>1.0409211041187176</v>
      </c>
      <c r="X63">
        <f t="shared" si="3"/>
        <v>0.66167194165972398</v>
      </c>
      <c r="Y63">
        <f t="shared" si="12"/>
        <v>0.55747815756218222</v>
      </c>
      <c r="Z63">
        <f t="shared" si="6"/>
        <v>4.8197590160649353E-2</v>
      </c>
      <c r="AA63">
        <f t="shared" si="13"/>
        <v>0.16139193053794232</v>
      </c>
      <c r="AB63">
        <f t="shared" si="17"/>
        <v>0.29461193631531618</v>
      </c>
      <c r="AC63">
        <f t="shared" si="14"/>
        <v>1.6425561526350578</v>
      </c>
      <c r="AD63">
        <f t="shared" si="4"/>
        <v>5.6719165304992532E-4</v>
      </c>
      <c r="AE63">
        <f t="shared" si="15"/>
        <v>0.81792065106715472</v>
      </c>
      <c r="AF63">
        <f t="shared" si="16"/>
        <v>1.7609965708517583E-2</v>
      </c>
    </row>
    <row r="64" spans="1:32" x14ac:dyDescent="0.25">
      <c r="A64" s="6">
        <v>44384.333333333336</v>
      </c>
      <c r="B64">
        <v>125557907.92739487</v>
      </c>
      <c r="C64">
        <v>125606733.15871048</v>
      </c>
      <c r="D64">
        <v>53828.573644656688</v>
      </c>
      <c r="E64">
        <v>376673.72378218919</v>
      </c>
      <c r="F64">
        <v>1.4809571787404909E+19</v>
      </c>
      <c r="G64">
        <v>3511</v>
      </c>
      <c r="H64">
        <v>4.1930423454697831E-4</v>
      </c>
      <c r="I64">
        <v>2384.9031743750761</v>
      </c>
      <c r="J64">
        <f t="shared" si="5"/>
        <v>3.6698165122320145E-2</v>
      </c>
      <c r="K64">
        <f t="shared" si="7"/>
        <v>-5.7410836204629653E-2</v>
      </c>
      <c r="L64">
        <f t="shared" si="8"/>
        <v>1.2164158041851392</v>
      </c>
      <c r="M64">
        <f t="shared" si="9"/>
        <v>1.249822096153971</v>
      </c>
      <c r="N64" s="2">
        <v>0.19498239541638249</v>
      </c>
      <c r="O64" s="9">
        <v>1.0971657819277572</v>
      </c>
      <c r="P64">
        <f t="shared" si="1"/>
        <v>0.63963338993828078</v>
      </c>
      <c r="Q64">
        <f t="shared" si="10"/>
        <v>0.7991556555338829</v>
      </c>
      <c r="R64">
        <f t="shared" si="2"/>
        <v>1.0434208262755382</v>
      </c>
      <c r="S64" s="9">
        <f t="shared" si="11"/>
        <v>1.2055441716481092</v>
      </c>
      <c r="T64">
        <v>0.91579999999999995</v>
      </c>
      <c r="U64">
        <v>1.0722699999999998</v>
      </c>
      <c r="V64">
        <v>0.52423425825236958</v>
      </c>
      <c r="W64" s="9">
        <v>1.0148665074873404</v>
      </c>
      <c r="X64">
        <f t="shared" si="3"/>
        <v>0.6011662782518602</v>
      </c>
      <c r="Y64">
        <f t="shared" si="12"/>
        <v>0.57751703350391093</v>
      </c>
      <c r="Z64">
        <f t="shared" si="6"/>
        <v>3.6698165122320145E-2</v>
      </c>
      <c r="AA64">
        <f t="shared" si="13"/>
        <v>0.16429178554760782</v>
      </c>
      <c r="AB64">
        <f t="shared" si="17"/>
        <v>0.29240204680795029</v>
      </c>
      <c r="AC64">
        <f t="shared" si="14"/>
        <v>1.6355548786769378</v>
      </c>
      <c r="AD64">
        <f t="shared" si="4"/>
        <v>5.3405571046530429E-4</v>
      </c>
      <c r="AE64">
        <f t="shared" si="15"/>
        <v>0.94327531711605572</v>
      </c>
      <c r="AF64">
        <f t="shared" si="16"/>
        <v>2.2584609133553535E-2</v>
      </c>
    </row>
    <row r="65" spans="1:32" x14ac:dyDescent="0.25">
      <c r="A65" s="6">
        <v>44385.333368055559</v>
      </c>
      <c r="B65">
        <v>136041656.65089035</v>
      </c>
      <c r="C65">
        <v>135902470.23240662</v>
      </c>
      <c r="D65">
        <v>60461.835502310656</v>
      </c>
      <c r="E65">
        <v>408124.96995266527</v>
      </c>
      <c r="F65">
        <v>1.4536864491621835E+19</v>
      </c>
      <c r="G65">
        <v>3539</v>
      </c>
      <c r="H65">
        <v>4.6252094783323818E-4</v>
      </c>
      <c r="I65">
        <v>2162.0642366246939</v>
      </c>
      <c r="J65">
        <f t="shared" si="5"/>
        <v>-9.8095095326964782E-2</v>
      </c>
      <c r="K65">
        <f t="shared" si="7"/>
        <v>-5.1862071931632635E-2</v>
      </c>
      <c r="L65">
        <f t="shared" si="8"/>
        <v>1.2783081457896022</v>
      </c>
      <c r="M65">
        <f t="shared" si="9"/>
        <v>1.2445622198986612</v>
      </c>
      <c r="N65" s="2">
        <v>0.21243914104629161</v>
      </c>
      <c r="O65" s="9">
        <v>1.1331469912091754</v>
      </c>
      <c r="P65">
        <f t="shared" si="1"/>
        <v>0.7408001340194329</v>
      </c>
      <c r="Q65">
        <f t="shared" si="10"/>
        <v>0.78470692639561135</v>
      </c>
      <c r="R65">
        <f t="shared" si="2"/>
        <v>1.1083235022974112</v>
      </c>
      <c r="S65" s="9">
        <f t="shared" si="11"/>
        <v>1.1946635224802447</v>
      </c>
      <c r="T65">
        <v>0.96439999999999992</v>
      </c>
      <c r="U65">
        <v>1.0609566666666665</v>
      </c>
      <c r="V65">
        <v>0.4918120481148972</v>
      </c>
      <c r="W65" s="9">
        <v>0.99685040439960326</v>
      </c>
      <c r="X65">
        <f t="shared" si="3"/>
        <v>0.65017972880703501</v>
      </c>
      <c r="Y65">
        <f t="shared" si="12"/>
        <v>0.59918969113081211</v>
      </c>
      <c r="Z65">
        <f t="shared" si="6"/>
        <v>-9.8095095326964782E-2</v>
      </c>
      <c r="AA65">
        <f t="shared" si="13"/>
        <v>0.15649217552161077</v>
      </c>
      <c r="AB65">
        <f t="shared" si="17"/>
        <v>0.28337583144453138</v>
      </c>
      <c r="AC65">
        <f t="shared" si="14"/>
        <v>1.6066036901038325</v>
      </c>
      <c r="AD65">
        <f t="shared" si="4"/>
        <v>5.8185573307890633E-4</v>
      </c>
      <c r="AE65">
        <f t="shared" si="15"/>
        <v>0.85377114984377023</v>
      </c>
      <c r="AF65">
        <f t="shared" si="16"/>
        <v>1.9543116054239418E-2</v>
      </c>
    </row>
    <row r="66" spans="1:32" x14ac:dyDescent="0.25">
      <c r="A66" s="6">
        <v>44386.33357638889</v>
      </c>
      <c r="B66">
        <v>130753065.6550293</v>
      </c>
      <c r="C66">
        <v>130694609.60361481</v>
      </c>
      <c r="D66">
        <v>61648.439262555912</v>
      </c>
      <c r="E66">
        <v>392259.19696509093</v>
      </c>
      <c r="F66">
        <v>1.4912395385461645E+19</v>
      </c>
      <c r="G66">
        <v>3575</v>
      </c>
      <c r="H66">
        <v>4.8096278337403473E-4</v>
      </c>
      <c r="I66">
        <v>2079.1629509976469</v>
      </c>
      <c r="J66">
        <f t="shared" si="5"/>
        <v>-3.9098045130319239E-2</v>
      </c>
      <c r="K66">
        <f t="shared" si="7"/>
        <v>-7.2568053388626819E-2</v>
      </c>
      <c r="L66">
        <f t="shared" si="8"/>
        <v>1.2362900294753376</v>
      </c>
      <c r="M66">
        <f t="shared" si="9"/>
        <v>1.2417872766041995</v>
      </c>
      <c r="N66" s="2">
        <v>0.20706590508778019</v>
      </c>
      <c r="O66" s="9">
        <v>1.125454644908841</v>
      </c>
      <c r="P66">
        <f t="shared" si="1"/>
        <v>0.71119543790375817</v>
      </c>
      <c r="Q66">
        <f t="shared" si="10"/>
        <v>0.77170702855429951</v>
      </c>
      <c r="R66">
        <f t="shared" si="2"/>
        <v>1.0887585122866816</v>
      </c>
      <c r="S66" s="9">
        <f t="shared" si="11"/>
        <v>1.1851028007290867</v>
      </c>
      <c r="T66">
        <v>0.88370000000000004</v>
      </c>
      <c r="U66">
        <v>1.0516566666666669</v>
      </c>
      <c r="V66">
        <v>0.47149133275889993</v>
      </c>
      <c r="W66" s="9">
        <v>0.98125352030834068</v>
      </c>
      <c r="X66">
        <f t="shared" si="3"/>
        <v>0.62948682525559674</v>
      </c>
      <c r="Y66">
        <f t="shared" si="12"/>
        <v>0.62017258530599872</v>
      </c>
      <c r="Z66">
        <f t="shared" si="6"/>
        <v>-3.9098045130319239E-2</v>
      </c>
      <c r="AA66">
        <f t="shared" si="13"/>
        <v>0.19719014065726265</v>
      </c>
      <c r="AB66">
        <f t="shared" si="17"/>
        <v>0.27424628791410138</v>
      </c>
      <c r="AC66">
        <f t="shared" si="14"/>
        <v>1.5767194449764423</v>
      </c>
      <c r="AD66">
        <f t="shared" si="4"/>
        <v>5.6714299355991541E-4</v>
      </c>
      <c r="AE66">
        <f t="shared" si="15"/>
        <v>0.81002556855039143</v>
      </c>
      <c r="AF66">
        <f t="shared" si="16"/>
        <v>1.6835213023298046E-2</v>
      </c>
    </row>
    <row r="67" spans="1:32" x14ac:dyDescent="0.25">
      <c r="A67" s="6">
        <v>44387.333402777775</v>
      </c>
      <c r="B67">
        <v>178467506.15538406</v>
      </c>
      <c r="C67">
        <v>178524586.44231033</v>
      </c>
      <c r="D67">
        <v>83327.907331588678</v>
      </c>
      <c r="E67">
        <v>535402.51846615225</v>
      </c>
      <c r="F67">
        <v>1.8443132808298602E+19</v>
      </c>
      <c r="G67">
        <v>3630</v>
      </c>
      <c r="H67">
        <v>4.7276136791798615E-4</v>
      </c>
      <c r="I67">
        <v>2115.2320554531398</v>
      </c>
      <c r="J67">
        <f t="shared" si="5"/>
        <v>1.7199140057327002E-2</v>
      </c>
      <c r="K67">
        <f t="shared" si="7"/>
        <v>-7.1283942165762212E-2</v>
      </c>
      <c r="L67">
        <f t="shared" si="8"/>
        <v>1.3047743849017794</v>
      </c>
      <c r="M67">
        <f t="shared" si="9"/>
        <v>1.2522615031670128</v>
      </c>
      <c r="N67" s="2">
        <v>0.22825717938804685</v>
      </c>
      <c r="O67" s="9">
        <v>1.1131544091572474</v>
      </c>
      <c r="P67">
        <f t="shared" ref="P67:P130" si="18">SQRT(MAX(0,8*(N67-LN(COSH(LN(3)/2))),0))</f>
        <v>0.82178412329349104</v>
      </c>
      <c r="Q67">
        <f t="shared" si="10"/>
        <v>0.77935863768269664</v>
      </c>
      <c r="R67">
        <f t="shared" ref="R67:R130" si="19">SQRT(MAX(0,8*(N67-LN(COSH(LN(2)/2))),0))</f>
        <v>1.164012582611907</v>
      </c>
      <c r="S67" s="9">
        <f t="shared" si="11"/>
        <v>1.190068007581881</v>
      </c>
      <c r="T67">
        <v>0.88730000000000009</v>
      </c>
      <c r="U67">
        <v>1.0441100000000001</v>
      </c>
      <c r="V67">
        <v>0.44281200769362794</v>
      </c>
      <c r="W67" s="9">
        <v>0.94822700985805786</v>
      </c>
      <c r="X67">
        <f t="shared" ref="X67:X130" si="20">IF(EXP(2*N67-O67*O67/4)-1&lt;0,0,2*LN(EXP(N67-O67*O67/8)+SQRT(EXP(2*N67-O67*O67/4)-1)))</f>
        <v>0.77552478735672659</v>
      </c>
      <c r="Y67">
        <f t="shared" si="12"/>
        <v>0.64602341155122289</v>
      </c>
      <c r="Z67">
        <f t="shared" si="6"/>
        <v>1.7199140057327002E-2</v>
      </c>
      <c r="AA67">
        <f t="shared" si="13"/>
        <v>0.19349032564493077</v>
      </c>
      <c r="AB67">
        <f t="shared" si="17"/>
        <v>0.26596336871982657</v>
      </c>
      <c r="AC67">
        <f t="shared" si="14"/>
        <v>1.5490567951752983</v>
      </c>
      <c r="AD67">
        <f t="shared" ref="AD67:AD130" si="21">LN(N67/365+1)</f>
        <v>6.2516667789300857E-4</v>
      </c>
      <c r="AE67">
        <f t="shared" si="15"/>
        <v>0.85719290230118084</v>
      </c>
      <c r="AF67">
        <f t="shared" si="16"/>
        <v>1.9568571655560474E-2</v>
      </c>
    </row>
    <row r="68" spans="1:32" x14ac:dyDescent="0.25">
      <c r="A68" s="6">
        <v>44388.333425925928</v>
      </c>
      <c r="B68">
        <v>76582873.262111664</v>
      </c>
      <c r="C68">
        <v>76576520.323554993</v>
      </c>
      <c r="D68">
        <v>36295.03606161382</v>
      </c>
      <c r="E68">
        <v>229748.61978633702</v>
      </c>
      <c r="F68">
        <v>1.92608480979548E+19</v>
      </c>
      <c r="G68">
        <v>3693</v>
      </c>
      <c r="H68">
        <v>4.7063882718587779E-4</v>
      </c>
      <c r="I68">
        <v>2124.7715705467117</v>
      </c>
      <c r="J68">
        <f t="shared" ref="J68:J131" si="22">LN(I68/I67)</f>
        <v>4.4997750149985754E-3</v>
      </c>
      <c r="K68">
        <f t="shared" si="7"/>
        <v>-4.9770200007960314E-2</v>
      </c>
      <c r="L68">
        <f t="shared" si="8"/>
        <v>0.83848223070714789</v>
      </c>
      <c r="M68">
        <f t="shared" si="9"/>
        <v>1.2599271458042482</v>
      </c>
      <c r="N68" s="2">
        <v>9.5415208684579408E-2</v>
      </c>
      <c r="O68" s="9">
        <v>1.1036008933239925</v>
      </c>
      <c r="P68">
        <f t="shared" si="18"/>
        <v>0</v>
      </c>
      <c r="Q68">
        <f t="shared" si="10"/>
        <v>0.76509271500998466</v>
      </c>
      <c r="R68">
        <f t="shared" si="19"/>
        <v>0.54054558258402419</v>
      </c>
      <c r="S68" s="9">
        <f t="shared" si="11"/>
        <v>1.1771245499793224</v>
      </c>
      <c r="T68">
        <v>0.84650000000000003</v>
      </c>
      <c r="U68">
        <v>1.0335166666666666</v>
      </c>
      <c r="V68">
        <v>0.4201574116652495</v>
      </c>
      <c r="W68" s="9">
        <v>0.93019968401780595</v>
      </c>
      <c r="X68">
        <f t="shared" si="20"/>
        <v>0</v>
      </c>
      <c r="Y68">
        <f t="shared" si="12"/>
        <v>0.64602341155122289</v>
      </c>
      <c r="Z68">
        <f t="shared" ref="Z68:Z131" si="23">LN(I68/I67)</f>
        <v>4.4997750149985754E-3</v>
      </c>
      <c r="AA68">
        <f t="shared" si="13"/>
        <v>0.14959252049861299</v>
      </c>
      <c r="AB68">
        <f t="shared" si="17"/>
        <v>0.25278402767589797</v>
      </c>
      <c r="AC68">
        <f t="shared" si="14"/>
        <v>1.5038987385902571</v>
      </c>
      <c r="AD68">
        <f t="shared" si="21"/>
        <v>2.6137736860200257E-4</v>
      </c>
      <c r="AE68">
        <f t="shared" si="15"/>
        <v>0.89163870705794879</v>
      </c>
      <c r="AF68">
        <f t="shared" si="16"/>
        <v>2.0717604868991435E-2</v>
      </c>
    </row>
    <row r="69" spans="1:32" x14ac:dyDescent="0.25">
      <c r="A69" s="6">
        <v>44389.333368055559</v>
      </c>
      <c r="B69">
        <v>53208210.475704193</v>
      </c>
      <c r="C69">
        <v>53198476.166996002</v>
      </c>
      <c r="D69">
        <v>24853.631839932874</v>
      </c>
      <c r="E69">
        <v>159624.63142711669</v>
      </c>
      <c r="F69">
        <v>1.7071837236328511E+19</v>
      </c>
      <c r="G69">
        <v>3746</v>
      </c>
      <c r="H69">
        <v>4.7574901636740524E-4</v>
      </c>
      <c r="I69">
        <v>2101.9486443409332</v>
      </c>
      <c r="J69">
        <f t="shared" si="22"/>
        <v>-1.0799460035996127E-2</v>
      </c>
      <c r="K69">
        <f t="shared" si="7"/>
        <v>-3.7230577713664989E-2</v>
      </c>
      <c r="L69">
        <f t="shared" si="8"/>
        <v>0.74351645271287092</v>
      </c>
      <c r="M69">
        <f t="shared" si="9"/>
        <v>1.2483183195060326</v>
      </c>
      <c r="N69" s="2">
        <v>7.3317948534603966E-2</v>
      </c>
      <c r="O69" s="9">
        <v>1.1143574545210617</v>
      </c>
      <c r="P69">
        <f t="shared" si="18"/>
        <v>0</v>
      </c>
      <c r="Q69">
        <f t="shared" si="10"/>
        <v>0.7391345719159389</v>
      </c>
      <c r="R69">
        <f t="shared" si="19"/>
        <v>0.33972260103104507</v>
      </c>
      <c r="S69" s="9">
        <f t="shared" si="11"/>
        <v>1.1506474194632792</v>
      </c>
      <c r="T69">
        <v>0.87629999999999997</v>
      </c>
      <c r="U69">
        <v>1.0257400000000001</v>
      </c>
      <c r="V69">
        <v>0.42323279523820706</v>
      </c>
      <c r="W69" s="9">
        <v>0.93102982164568415</v>
      </c>
      <c r="X69">
        <f t="shared" si="20"/>
        <v>0</v>
      </c>
      <c r="Y69">
        <f t="shared" si="12"/>
        <v>0.64602341155122289</v>
      </c>
      <c r="Z69">
        <f t="shared" si="23"/>
        <v>-1.0799460035996127E-2</v>
      </c>
      <c r="AA69">
        <f t="shared" si="13"/>
        <v>0.12549372541828863</v>
      </c>
      <c r="AB69">
        <f t="shared" si="17"/>
        <v>0.24190457163963527</v>
      </c>
      <c r="AC69">
        <f t="shared" si="14"/>
        <v>1.4654945179587879</v>
      </c>
      <c r="AD69">
        <f t="shared" si="21"/>
        <v>2.008509199792003E-4</v>
      </c>
      <c r="AE69">
        <f t="shared" si="15"/>
        <v>0.89056943576323611</v>
      </c>
      <c r="AF69">
        <f t="shared" si="16"/>
        <v>2.0273396201037741E-2</v>
      </c>
    </row>
    <row r="70" spans="1:32" x14ac:dyDescent="0.25">
      <c r="A70" s="6">
        <v>44390.333680555559</v>
      </c>
      <c r="B70">
        <v>96541768.408432007</v>
      </c>
      <c r="C70">
        <v>96496787.161998749</v>
      </c>
      <c r="D70">
        <v>47507.456999431364</v>
      </c>
      <c r="E70">
        <v>289625.30522529036</v>
      </c>
      <c r="F70">
        <v>1.6860487007523965E+19</v>
      </c>
      <c r="G70">
        <v>3734</v>
      </c>
      <c r="H70">
        <v>4.9959011578393784E-4</v>
      </c>
      <c r="I70">
        <v>2001.6408820075192</v>
      </c>
      <c r="J70">
        <f t="shared" si="22"/>
        <v>-4.8897555162982449E-2</v>
      </c>
      <c r="K70">
        <f t="shared" si="7"/>
        <v>-5.7439232400813035E-2</v>
      </c>
      <c r="L70">
        <f t="shared" si="8"/>
        <v>1.0136748204053154</v>
      </c>
      <c r="M70">
        <f t="shared" si="9"/>
        <v>1.2779072292469451</v>
      </c>
      <c r="N70" s="2">
        <v>0.13847596660079006</v>
      </c>
      <c r="O70" s="9">
        <v>1.102069354983058</v>
      </c>
      <c r="P70">
        <f t="shared" si="18"/>
        <v>0</v>
      </c>
      <c r="Q70">
        <f t="shared" si="10"/>
        <v>0.7391345719159389</v>
      </c>
      <c r="R70">
        <f t="shared" si="19"/>
        <v>0.79791953866338394</v>
      </c>
      <c r="S70" s="9">
        <f t="shared" si="11"/>
        <v>1.1546619939316227</v>
      </c>
      <c r="T70">
        <v>0.9487000000000001</v>
      </c>
      <c r="U70">
        <v>1.0194166666666666</v>
      </c>
      <c r="V70">
        <v>0.41494747980223201</v>
      </c>
      <c r="W70" s="9">
        <v>0.92597415157393437</v>
      </c>
      <c r="X70">
        <f t="shared" si="20"/>
        <v>0</v>
      </c>
      <c r="Y70">
        <f t="shared" si="12"/>
        <v>0.64602341155122289</v>
      </c>
      <c r="Z70">
        <f t="shared" si="23"/>
        <v>-4.8897555162982449E-2</v>
      </c>
      <c r="AA70">
        <f t="shared" si="13"/>
        <v>0.1647917605492743</v>
      </c>
      <c r="AB70">
        <f t="shared" si="17"/>
        <v>0.22968518259890638</v>
      </c>
      <c r="AC70">
        <f t="shared" si="14"/>
        <v>1.4210532338868331</v>
      </c>
      <c r="AD70">
        <f t="shared" si="21"/>
        <v>3.793142611139897E-4</v>
      </c>
      <c r="AE70">
        <f t="shared" si="15"/>
        <v>0.80526072604081789</v>
      </c>
      <c r="AF70">
        <f t="shared" si="16"/>
        <v>1.6085014551645571E-2</v>
      </c>
    </row>
    <row r="71" spans="1:32" x14ac:dyDescent="0.25">
      <c r="A71" s="6">
        <v>44391.333425925928</v>
      </c>
      <c r="B71">
        <v>108800051.78611374</v>
      </c>
      <c r="C71">
        <v>108777803.09780121</v>
      </c>
      <c r="D71">
        <v>56291.16663465742</v>
      </c>
      <c r="E71">
        <v>326400.15535834432</v>
      </c>
      <c r="F71">
        <v>1.2058106226636589E+19</v>
      </c>
      <c r="G71">
        <v>3720</v>
      </c>
      <c r="H71">
        <v>5.1228788319023118E-4</v>
      </c>
      <c r="I71">
        <v>1952.0274299141749</v>
      </c>
      <c r="J71">
        <f t="shared" si="22"/>
        <v>-2.5098745083657416E-2</v>
      </c>
      <c r="K71">
        <f t="shared" si="7"/>
        <v>-9.5657785431196685E-2</v>
      </c>
      <c r="L71">
        <f t="shared" si="8"/>
        <v>1.2609316899993626</v>
      </c>
      <c r="M71">
        <f t="shared" si="9"/>
        <v>1.2973721426575588</v>
      </c>
      <c r="N71" s="2">
        <v>0.22656548860891457</v>
      </c>
      <c r="O71" s="9">
        <v>1.1071255846940771</v>
      </c>
      <c r="P71">
        <f t="shared" si="18"/>
        <v>0.81350821696169329</v>
      </c>
      <c r="Q71">
        <f t="shared" si="10"/>
        <v>0.76625151248132872</v>
      </c>
      <c r="R71">
        <f t="shared" si="19"/>
        <v>1.158184685724079</v>
      </c>
      <c r="S71" s="9">
        <f t="shared" si="11"/>
        <v>1.1680313434473377</v>
      </c>
      <c r="T71">
        <v>0.88390000000000002</v>
      </c>
      <c r="U71">
        <v>1.0122333333333333</v>
      </c>
      <c r="V71">
        <v>0.43515929222247279</v>
      </c>
      <c r="W71" s="9">
        <v>0.93307426909576097</v>
      </c>
      <c r="X71">
        <f t="shared" si="20"/>
        <v>0.77542473004258616</v>
      </c>
      <c r="Y71">
        <f t="shared" si="12"/>
        <v>0.67187090255264248</v>
      </c>
      <c r="Z71">
        <f t="shared" si="23"/>
        <v>-2.5098745083657416E-2</v>
      </c>
      <c r="AA71">
        <f t="shared" si="13"/>
        <v>0.24168791580557972</v>
      </c>
      <c r="AB71">
        <f t="shared" si="17"/>
        <v>0.22277219490919775</v>
      </c>
      <c r="AC71">
        <f t="shared" si="14"/>
        <v>1.3952590586735774</v>
      </c>
      <c r="AD71">
        <f t="shared" si="21"/>
        <v>6.2053479450591403E-4</v>
      </c>
      <c r="AE71">
        <f t="shared" si="15"/>
        <v>0.75761031569201287</v>
      </c>
      <c r="AF71">
        <f t="shared" si="16"/>
        <v>1.254950372142738E-2</v>
      </c>
    </row>
    <row r="72" spans="1:32" x14ac:dyDescent="0.25">
      <c r="A72" s="6">
        <v>44392.333472222221</v>
      </c>
      <c r="B72">
        <v>98057464.547439575</v>
      </c>
      <c r="C72">
        <v>98037376.316608429</v>
      </c>
      <c r="D72">
        <v>49533.373794439249</v>
      </c>
      <c r="E72">
        <v>294172.39364231378</v>
      </c>
      <c r="F72">
        <v>1.2247382786037895E+19</v>
      </c>
      <c r="G72">
        <v>3744</v>
      </c>
      <c r="H72">
        <v>5.2216612477249053E-4</v>
      </c>
      <c r="I72">
        <v>1915.099338233983</v>
      </c>
      <c r="J72">
        <f t="shared" si="22"/>
        <v>-1.9099045063660048E-2</v>
      </c>
      <c r="K72">
        <f t="shared" si="7"/>
        <v>-0.12323384684403066</v>
      </c>
      <c r="L72">
        <f t="shared" si="8"/>
        <v>1.0890591505088789</v>
      </c>
      <c r="M72">
        <f t="shared" si="9"/>
        <v>1.3035212183451981</v>
      </c>
      <c r="N72" s="2">
        <v>0.19441954652139543</v>
      </c>
      <c r="O72" s="9">
        <v>1.1054223141648558</v>
      </c>
      <c r="P72">
        <f t="shared" si="18"/>
        <v>0.63610382986116365</v>
      </c>
      <c r="Q72">
        <f t="shared" si="10"/>
        <v>0.78032390797187956</v>
      </c>
      <c r="R72">
        <f t="shared" si="19"/>
        <v>1.0412608844788276</v>
      </c>
      <c r="S72" s="9">
        <f t="shared" si="11"/>
        <v>1.1743506238675998</v>
      </c>
      <c r="T72">
        <v>0.89800000000000002</v>
      </c>
      <c r="U72">
        <v>1.0103499999999999</v>
      </c>
      <c r="V72">
        <v>0.42114901054378256</v>
      </c>
      <c r="W72" s="9">
        <v>0.92804741558191106</v>
      </c>
      <c r="X72">
        <f t="shared" si="20"/>
        <v>0.58142493883805801</v>
      </c>
      <c r="Y72">
        <f t="shared" si="12"/>
        <v>0.69125173384724437</v>
      </c>
      <c r="Z72">
        <f t="shared" si="23"/>
        <v>-1.9099045063660048E-2</v>
      </c>
      <c r="AA72">
        <f t="shared" si="13"/>
        <v>0.29668516598889361</v>
      </c>
      <c r="AB72">
        <f t="shared" si="17"/>
        <v>0.21970234839896555</v>
      </c>
      <c r="AC72">
        <f t="shared" si="14"/>
        <v>1.3836462705389549</v>
      </c>
      <c r="AD72">
        <f t="shared" si="21"/>
        <v>5.32514480832348E-4</v>
      </c>
      <c r="AE72">
        <f t="shared" si="15"/>
        <v>0.77601197994452531</v>
      </c>
      <c r="AF72">
        <f t="shared" si="16"/>
        <v>1.427936229529414E-2</v>
      </c>
    </row>
    <row r="73" spans="1:32" x14ac:dyDescent="0.25">
      <c r="A73" s="6">
        <v>44393.333379629628</v>
      </c>
      <c r="B73">
        <v>95214162.320705414</v>
      </c>
      <c r="C73">
        <v>95196135.372543335</v>
      </c>
      <c r="D73">
        <v>49901.762533653527</v>
      </c>
      <c r="E73">
        <v>285642.48696212471</v>
      </c>
      <c r="F73">
        <v>1.1390819989059332E+19</v>
      </c>
      <c r="G73">
        <v>3753</v>
      </c>
      <c r="H73">
        <v>5.3796004631161793E-4</v>
      </c>
      <c r="I73">
        <v>1858.8741057188874</v>
      </c>
      <c r="J73">
        <f t="shared" si="22"/>
        <v>-2.9798510099322367E-2</v>
      </c>
      <c r="K73">
        <f t="shared" si="7"/>
        <v>-0.11860849832249898</v>
      </c>
      <c r="L73">
        <f t="shared" si="8"/>
        <v>1.1479185733126516</v>
      </c>
      <c r="M73">
        <f t="shared" si="9"/>
        <v>1.3168492492801782</v>
      </c>
      <c r="N73" s="2">
        <v>0.20747966606909435</v>
      </c>
      <c r="O73" s="9">
        <v>1.0599252967180268</v>
      </c>
      <c r="P73">
        <f t="shared" si="18"/>
        <v>0.71351877252503426</v>
      </c>
      <c r="Q73">
        <f t="shared" si="10"/>
        <v>0.80410786705604731</v>
      </c>
      <c r="R73">
        <f t="shared" si="19"/>
        <v>1.0902775728809713</v>
      </c>
      <c r="S73" s="9">
        <f t="shared" si="11"/>
        <v>1.1906609062787803</v>
      </c>
      <c r="T73">
        <v>0.86970000000000003</v>
      </c>
      <c r="U73">
        <v>1.0063900000000001</v>
      </c>
      <c r="V73">
        <v>0.42114901054378256</v>
      </c>
      <c r="W73" s="9">
        <v>0.91997584999959725</v>
      </c>
      <c r="X73">
        <f t="shared" si="20"/>
        <v>0.74060157271323568</v>
      </c>
      <c r="Y73">
        <f t="shared" si="12"/>
        <v>0.71593845293768554</v>
      </c>
      <c r="Z73">
        <f t="shared" si="23"/>
        <v>-2.9798510099322367E-2</v>
      </c>
      <c r="AA73">
        <f t="shared" si="13"/>
        <v>0.28338583094456499</v>
      </c>
      <c r="AB73">
        <f t="shared" si="17"/>
        <v>0.21741912922468862</v>
      </c>
      <c r="AC73">
        <f t="shared" si="14"/>
        <v>1.3749443056421293</v>
      </c>
      <c r="AD73">
        <f t="shared" si="21"/>
        <v>5.6827594192139454E-4</v>
      </c>
      <c r="AE73">
        <f t="shared" si="15"/>
        <v>0.76407712504648395</v>
      </c>
      <c r="AF73">
        <f t="shared" si="16"/>
        <v>1.3545677842908166E-2</v>
      </c>
    </row>
    <row r="74" spans="1:32" x14ac:dyDescent="0.25">
      <c r="A74" s="6">
        <v>44394.333425925928</v>
      </c>
      <c r="B74">
        <v>82902387.130710602</v>
      </c>
      <c r="C74">
        <v>82904571.830924988</v>
      </c>
      <c r="D74">
        <v>43948.73268986959</v>
      </c>
      <c r="E74">
        <v>248707.16139212996</v>
      </c>
      <c r="F74">
        <v>1.2631591777191864E+19</v>
      </c>
      <c r="G74">
        <v>3771</v>
      </c>
      <c r="H74">
        <v>5.369926375269837E-4</v>
      </c>
      <c r="I74">
        <v>1862.2229247039729</v>
      </c>
      <c r="J74">
        <f t="shared" si="22"/>
        <v>1.7999100059992057E-3</v>
      </c>
      <c r="K74">
        <f t="shared" si="7"/>
        <v>-0.11050417212912732</v>
      </c>
      <c r="L74">
        <f t="shared" si="8"/>
        <v>1.0111550969935059</v>
      </c>
      <c r="M74">
        <f t="shared" si="9"/>
        <v>1.3245948532949861</v>
      </c>
      <c r="N74" s="2">
        <v>0.16492776118511876</v>
      </c>
      <c r="O74" s="9">
        <v>1.0611809913461852</v>
      </c>
      <c r="P74">
        <f t="shared" si="18"/>
        <v>0.41072350757392367</v>
      </c>
      <c r="Q74">
        <f t="shared" si="10"/>
        <v>0.81779865064184476</v>
      </c>
      <c r="R74">
        <f t="shared" si="19"/>
        <v>0.9210265722851958</v>
      </c>
      <c r="S74" s="9">
        <f t="shared" si="11"/>
        <v>1.1982993907381938</v>
      </c>
      <c r="T74">
        <v>0.84459999999999991</v>
      </c>
      <c r="U74">
        <v>1.0023500000000001</v>
      </c>
      <c r="V74">
        <v>0.39241026744827234</v>
      </c>
      <c r="W74" s="9">
        <v>0.90029581072529863</v>
      </c>
      <c r="X74">
        <f t="shared" si="20"/>
        <v>0.4414511813812399</v>
      </c>
      <c r="Y74">
        <f t="shared" si="12"/>
        <v>0.73065349231706023</v>
      </c>
      <c r="Z74">
        <f t="shared" si="23"/>
        <v>1.7999100059992057E-3</v>
      </c>
      <c r="AA74">
        <f t="shared" si="13"/>
        <v>0.26728663589090418</v>
      </c>
      <c r="AB74">
        <f t="shared" si="17"/>
        <v>0.21376264537916775</v>
      </c>
      <c r="AC74">
        <f t="shared" si="14"/>
        <v>1.3608908602135596</v>
      </c>
      <c r="AD74">
        <f t="shared" si="21"/>
        <v>4.5175482338135996E-4</v>
      </c>
      <c r="AE74">
        <f t="shared" si="15"/>
        <v>0.80325018896933587</v>
      </c>
      <c r="AF74">
        <f t="shared" si="16"/>
        <v>1.6755844203287129E-2</v>
      </c>
    </row>
    <row r="75" spans="1:32" x14ac:dyDescent="0.25">
      <c r="A75" s="6">
        <v>44395.333854166667</v>
      </c>
      <c r="B75">
        <v>60440318.348072052</v>
      </c>
      <c r="C75">
        <v>60478278.737014771</v>
      </c>
      <c r="D75">
        <v>31365.045005864464</v>
      </c>
      <c r="E75">
        <v>181320.95504420996</v>
      </c>
      <c r="F75">
        <v>1.6931946831928533E+19</v>
      </c>
      <c r="G75">
        <v>3810</v>
      </c>
      <c r="H75">
        <v>5.0993688790988581E-4</v>
      </c>
      <c r="I75">
        <v>1961.0269892393358</v>
      </c>
      <c r="J75">
        <f t="shared" si="22"/>
        <v>5.169741517231459E-2</v>
      </c>
      <c r="K75">
        <f t="shared" si="7"/>
        <v>-6.1319857812626263E-2</v>
      </c>
      <c r="L75">
        <f t="shared" si="8"/>
        <v>0.79334340432157224</v>
      </c>
      <c r="M75">
        <f t="shared" si="9"/>
        <v>1.3133610229518027</v>
      </c>
      <c r="N75" s="2">
        <v>9.0109474992977334E-2</v>
      </c>
      <c r="O75" s="9">
        <v>1.0435340259723533</v>
      </c>
      <c r="P75">
        <f t="shared" si="18"/>
        <v>0</v>
      </c>
      <c r="Q75">
        <f t="shared" si="10"/>
        <v>0.80481898028481569</v>
      </c>
      <c r="R75">
        <f t="shared" si="19"/>
        <v>0.49974359157300413</v>
      </c>
      <c r="S75" s="9">
        <f t="shared" si="11"/>
        <v>1.1845670732643396</v>
      </c>
      <c r="T75">
        <v>0.87309999999999999</v>
      </c>
      <c r="U75">
        <v>0.99706000000000006</v>
      </c>
      <c r="V75">
        <v>0.37620646963431842</v>
      </c>
      <c r="W75" s="9">
        <v>0.89247808051580479</v>
      </c>
      <c r="X75">
        <f t="shared" si="20"/>
        <v>0</v>
      </c>
      <c r="Y75">
        <f t="shared" si="12"/>
        <v>0.73065349231706023</v>
      </c>
      <c r="Z75">
        <f t="shared" si="23"/>
        <v>5.169741517231459E-2</v>
      </c>
      <c r="AA75">
        <f t="shared" si="13"/>
        <v>0.16739163055794026</v>
      </c>
      <c r="AB75">
        <f t="shared" si="17"/>
        <v>0.21418262438056765</v>
      </c>
      <c r="AC75">
        <f t="shared" si="14"/>
        <v>1.3625124714949894</v>
      </c>
      <c r="AD75">
        <f t="shared" si="21"/>
        <v>2.4684480526737977E-4</v>
      </c>
      <c r="AE75">
        <f t="shared" si="15"/>
        <v>0.87687271810015976</v>
      </c>
      <c r="AF75">
        <f t="shared" si="16"/>
        <v>2.045591972576255E-2</v>
      </c>
    </row>
    <row r="76" spans="1:32" x14ac:dyDescent="0.25">
      <c r="A76" s="6">
        <v>44396.333541666667</v>
      </c>
      <c r="B76">
        <v>60566641.916572571</v>
      </c>
      <c r="C76">
        <v>60538875.539913177</v>
      </c>
      <c r="D76">
        <v>31866.962817828171</v>
      </c>
      <c r="E76">
        <v>181699.92574971914</v>
      </c>
      <c r="F76">
        <v>1.2077570944855917E+19</v>
      </c>
      <c r="G76">
        <v>3817</v>
      </c>
      <c r="H76">
        <v>5.3645594011730749E-4</v>
      </c>
      <c r="I76">
        <v>1864.0859858524984</v>
      </c>
      <c r="J76">
        <f t="shared" si="22"/>
        <v>-5.0697465168981763E-2</v>
      </c>
      <c r="K76">
        <f t="shared" si="7"/>
        <v>-6.841405436695415E-2</v>
      </c>
      <c r="L76">
        <f t="shared" si="8"/>
        <v>0.94192449787532684</v>
      </c>
      <c r="M76">
        <f t="shared" si="9"/>
        <v>1.3029557950559236</v>
      </c>
      <c r="N76" s="2">
        <v>0.12513641305333589</v>
      </c>
      <c r="O76" s="9">
        <v>1.049473430143413</v>
      </c>
      <c r="P76">
        <f t="shared" si="18"/>
        <v>0</v>
      </c>
      <c r="Q76">
        <f t="shared" si="10"/>
        <v>0.78090286721437896</v>
      </c>
      <c r="R76">
        <f t="shared" si="19"/>
        <v>0.72798294059761737</v>
      </c>
      <c r="S76" s="9">
        <f t="shared" si="11"/>
        <v>1.1724039619241922</v>
      </c>
      <c r="T76">
        <v>1.0088999999999999</v>
      </c>
      <c r="U76">
        <v>0.99835000000000007</v>
      </c>
      <c r="V76">
        <v>0.37455463059857791</v>
      </c>
      <c r="W76" s="9">
        <v>0.89137636766014894</v>
      </c>
      <c r="X76">
        <f t="shared" si="20"/>
        <v>0</v>
      </c>
      <c r="Y76">
        <f t="shared" si="12"/>
        <v>0.73065349231706023</v>
      </c>
      <c r="Z76">
        <f t="shared" si="23"/>
        <v>-5.0697465168981763E-2</v>
      </c>
      <c r="AA76">
        <f t="shared" si="13"/>
        <v>0.18209089560693492</v>
      </c>
      <c r="AB76">
        <f t="shared" si="17"/>
        <v>0.21337933121122349</v>
      </c>
      <c r="AC76">
        <f t="shared" si="14"/>
        <v>1.3594091150717404</v>
      </c>
      <c r="AD76">
        <f t="shared" si="21"/>
        <v>3.4278073178899653E-4</v>
      </c>
      <c r="AE76">
        <f t="shared" si="15"/>
        <v>0.89682497789698634</v>
      </c>
      <c r="AF76">
        <f t="shared" si="16"/>
        <v>2.0912696696462119E-2</v>
      </c>
    </row>
    <row r="77" spans="1:32" x14ac:dyDescent="0.25">
      <c r="A77" s="6">
        <v>44397.333368055559</v>
      </c>
      <c r="B77">
        <v>83837282.105438232</v>
      </c>
      <c r="C77">
        <v>83795887.837219238</v>
      </c>
      <c r="D77">
        <v>47077.122567887418</v>
      </c>
      <c r="E77">
        <v>251511.84631631523</v>
      </c>
      <c r="F77">
        <v>9.0371592787256453E+18</v>
      </c>
      <c r="G77">
        <v>3791</v>
      </c>
      <c r="H77">
        <v>5.7002567247022484E-4</v>
      </c>
      <c r="I77">
        <v>1754.3069519421247</v>
      </c>
      <c r="J77">
        <f t="shared" si="22"/>
        <v>-6.0696965202311298E-2</v>
      </c>
      <c r="K77">
        <f t="shared" si="7"/>
        <v>-6.2503864497678446E-2</v>
      </c>
      <c r="L77">
        <f t="shared" si="8"/>
        <v>1.3499412616136721</v>
      </c>
      <c r="M77">
        <f t="shared" si="9"/>
        <v>1.306779512153043</v>
      </c>
      <c r="N77" s="2">
        <v>0.23967372218792513</v>
      </c>
      <c r="O77" s="9">
        <v>1.0415720145696192</v>
      </c>
      <c r="P77">
        <f t="shared" si="18"/>
        <v>0.87559207836542119</v>
      </c>
      <c r="Q77">
        <f t="shared" si="10"/>
        <v>0.78439408840112057</v>
      </c>
      <c r="R77">
        <f t="shared" si="19"/>
        <v>1.2026045213942396</v>
      </c>
      <c r="S77" s="9">
        <f t="shared" si="11"/>
        <v>1.1748696525440532</v>
      </c>
      <c r="T77">
        <v>1.0410999999999999</v>
      </c>
      <c r="U77">
        <v>0.99967666666666688</v>
      </c>
      <c r="V77">
        <v>0.31064718662122831</v>
      </c>
      <c r="W77" s="9">
        <v>0.84296894066757555</v>
      </c>
      <c r="X77">
        <f t="shared" si="20"/>
        <v>0.92832842944384042</v>
      </c>
      <c r="Y77">
        <f t="shared" si="12"/>
        <v>0.76159777329852163</v>
      </c>
      <c r="Z77">
        <f t="shared" si="23"/>
        <v>-6.0696965202311298E-2</v>
      </c>
      <c r="AA77">
        <f t="shared" si="13"/>
        <v>0.16959152056527257</v>
      </c>
      <c r="AB77">
        <f t="shared" si="17"/>
        <v>0.21021948920069128</v>
      </c>
      <c r="AC77">
        <f t="shared" si="14"/>
        <v>1.3471319008822695</v>
      </c>
      <c r="AD77">
        <f t="shared" si="21"/>
        <v>6.5642484082632205E-4</v>
      </c>
      <c r="AE77">
        <f t="shared" si="15"/>
        <v>0.88896793263788143</v>
      </c>
      <c r="AF77">
        <f t="shared" si="16"/>
        <v>2.0718793268052593E-2</v>
      </c>
    </row>
    <row r="78" spans="1:32" x14ac:dyDescent="0.25">
      <c r="A78" s="6">
        <v>44398.333379629628</v>
      </c>
      <c r="B78">
        <v>70654176.447494507</v>
      </c>
      <c r="C78">
        <v>70696585.380237579</v>
      </c>
      <c r="D78">
        <v>39093.790809638798</v>
      </c>
      <c r="E78">
        <v>211962.52934248</v>
      </c>
      <c r="F78">
        <v>1.3150476327673954E+19</v>
      </c>
      <c r="G78">
        <v>3790</v>
      </c>
      <c r="H78">
        <v>5.2478336217787376E-4</v>
      </c>
      <c r="I78">
        <v>1905.5482167916996</v>
      </c>
      <c r="J78">
        <f t="shared" si="22"/>
        <v>8.2695865275636646E-2</v>
      </c>
      <c r="K78">
        <f t="shared" si="7"/>
        <v>4.337613583494937E-4</v>
      </c>
      <c r="L78">
        <f t="shared" si="8"/>
        <v>1.0678913906793197</v>
      </c>
      <c r="M78">
        <f t="shared" si="9"/>
        <v>1.2249119580221479</v>
      </c>
      <c r="N78" s="2">
        <v>0.1425495750721586</v>
      </c>
      <c r="O78" s="9">
        <v>0.93420222950472609</v>
      </c>
      <c r="P78">
        <f t="shared" si="18"/>
        <v>0</v>
      </c>
      <c r="Q78">
        <f t="shared" si="10"/>
        <v>0.67209717274864111</v>
      </c>
      <c r="R78">
        <f t="shared" si="19"/>
        <v>0.81808584998870115</v>
      </c>
      <c r="S78" s="9">
        <f t="shared" si="11"/>
        <v>1.0865290425012519</v>
      </c>
      <c r="T78">
        <v>0.9909</v>
      </c>
      <c r="U78">
        <v>0.98727000000000009</v>
      </c>
      <c r="V78">
        <v>0.24769835922953029</v>
      </c>
      <c r="W78" s="9">
        <v>0.79968645309771824</v>
      </c>
      <c r="X78">
        <f t="shared" si="20"/>
        <v>0.5202511125019621</v>
      </c>
      <c r="Y78">
        <f t="shared" si="12"/>
        <v>0.64766969960405407</v>
      </c>
      <c r="Z78">
        <f t="shared" si="23"/>
        <v>8.2695865275636646E-2</v>
      </c>
      <c r="AA78">
        <f t="shared" si="13"/>
        <v>3.4998250116654486E-2</v>
      </c>
      <c r="AB78">
        <f t="shared" si="17"/>
        <v>0.20457977118189333</v>
      </c>
      <c r="AC78">
        <f t="shared" si="14"/>
        <v>1.3249366084431193</v>
      </c>
      <c r="AD78">
        <f t="shared" si="21"/>
        <v>3.9047053747607034E-4</v>
      </c>
      <c r="AE78">
        <f t="shared" si="15"/>
        <v>1.0199963104318825</v>
      </c>
      <c r="AF78">
        <f t="shared" si="16"/>
        <v>1.8475868664602046E-2</v>
      </c>
    </row>
    <row r="79" spans="1:32" x14ac:dyDescent="0.25">
      <c r="A79" s="6">
        <v>44399.333344907405</v>
      </c>
      <c r="B79">
        <v>188223910.61049271</v>
      </c>
      <c r="C79">
        <v>188310882.24880219</v>
      </c>
      <c r="D79">
        <v>94936.351945308037</v>
      </c>
      <c r="E79">
        <v>564671.73183148354</v>
      </c>
      <c r="F79">
        <v>1.5894209034146335E+19</v>
      </c>
      <c r="G79">
        <v>3793</v>
      </c>
      <c r="H79">
        <v>5.0521669377985145E-4</v>
      </c>
      <c r="I79">
        <v>1979.3486880220762</v>
      </c>
      <c r="J79">
        <f t="shared" si="22"/>
        <v>3.7998100126653181E-2</v>
      </c>
      <c r="K79">
        <f t="shared" si="7"/>
        <v>4.6866159778639102E-2</v>
      </c>
      <c r="L79">
        <f t="shared" si="8"/>
        <v>1.5105673829544586</v>
      </c>
      <c r="M79">
        <f t="shared" si="9"/>
        <v>1.1968033970463772</v>
      </c>
      <c r="N79" s="2">
        <v>0.29190694498047581</v>
      </c>
      <c r="O79" s="9">
        <v>0.93510610514140324</v>
      </c>
      <c r="P79">
        <f t="shared" si="18"/>
        <v>1.0883598991311116</v>
      </c>
      <c r="Q79">
        <f t="shared" si="10"/>
        <v>0.63844406946910159</v>
      </c>
      <c r="R79">
        <f t="shared" si="19"/>
        <v>1.3653290508951581</v>
      </c>
      <c r="S79" s="9">
        <f t="shared" si="11"/>
        <v>1.0569030771517136</v>
      </c>
      <c r="T79">
        <v>0.93120000000000003</v>
      </c>
      <c r="U79">
        <v>0.97474666666666687</v>
      </c>
      <c r="V79">
        <v>0.21362864031309525</v>
      </c>
      <c r="W79" s="9">
        <v>0.77362261062433169</v>
      </c>
      <c r="X79">
        <f t="shared" si="20"/>
        <v>1.2457466573264133</v>
      </c>
      <c r="Y79">
        <f t="shared" si="12"/>
        <v>0.62228345036586996</v>
      </c>
      <c r="Z79">
        <f t="shared" si="23"/>
        <v>3.7998100126653181E-2</v>
      </c>
      <c r="AA79">
        <f t="shared" si="13"/>
        <v>5.7797110192645662E-2</v>
      </c>
      <c r="AB79">
        <f t="shared" si="17"/>
        <v>0.20222655550738305</v>
      </c>
      <c r="AC79">
        <f t="shared" si="14"/>
        <v>1.3155654997048105</v>
      </c>
      <c r="AD79">
        <f t="shared" si="21"/>
        <v>7.9942542906606608E-4</v>
      </c>
      <c r="AE79">
        <f t="shared" si="15"/>
        <v>0.99203231162345473</v>
      </c>
      <c r="AF79">
        <f t="shared" si="16"/>
        <v>1.7397685230999382E-2</v>
      </c>
    </row>
    <row r="80" spans="1:32" x14ac:dyDescent="0.25">
      <c r="A80" s="6">
        <v>44400.33353009259</v>
      </c>
      <c r="B80">
        <v>103804179.59815979</v>
      </c>
      <c r="C80">
        <v>103805071.12717819</v>
      </c>
      <c r="D80">
        <v>51503.199668880552</v>
      </c>
      <c r="E80">
        <v>311412.53879448026</v>
      </c>
      <c r="F80">
        <v>1.7893922615610284E+19</v>
      </c>
      <c r="G80">
        <v>3819</v>
      </c>
      <c r="H80">
        <v>4.85407834617119E-4</v>
      </c>
      <c r="I80">
        <v>2060.1233204008381</v>
      </c>
      <c r="J80">
        <f t="shared" si="22"/>
        <v>3.9998000133319042E-2</v>
      </c>
      <c r="K80">
        <f t="shared" si="7"/>
        <v>3.3663521741189917E-2</v>
      </c>
      <c r="L80">
        <f t="shared" si="8"/>
        <v>1.0585180146290591</v>
      </c>
      <c r="M80">
        <f t="shared" si="9"/>
        <v>1.1629648115918987</v>
      </c>
      <c r="N80" s="2">
        <v>0.14350430178454721</v>
      </c>
      <c r="O80" s="9">
        <v>0.9271804870013004</v>
      </c>
      <c r="P80">
        <f t="shared" si="18"/>
        <v>0</v>
      </c>
      <c r="Q80">
        <f t="shared" si="10"/>
        <v>0.57858019212756517</v>
      </c>
      <c r="R80">
        <f t="shared" si="19"/>
        <v>0.82274070742296723</v>
      </c>
      <c r="S80" s="9">
        <f t="shared" si="11"/>
        <v>1.0184582703571592</v>
      </c>
      <c r="T80">
        <v>0.88629999999999998</v>
      </c>
      <c r="U80">
        <v>0.96711000000000003</v>
      </c>
      <c r="V80">
        <v>0.21094937334332781</v>
      </c>
      <c r="W80" s="9">
        <v>0.76629743087463686</v>
      </c>
      <c r="X80">
        <f t="shared" si="20"/>
        <v>0.54023353486898384</v>
      </c>
      <c r="Y80">
        <f t="shared" si="12"/>
        <v>0.57956866085965042</v>
      </c>
      <c r="Z80">
        <f t="shared" si="23"/>
        <v>3.9998000133319042E-2</v>
      </c>
      <c r="AA80">
        <f t="shared" si="13"/>
        <v>3.1998400106655098E-2</v>
      </c>
      <c r="AB80">
        <f t="shared" si="17"/>
        <v>0.1976034533253069</v>
      </c>
      <c r="AC80">
        <f t="shared" si="14"/>
        <v>1.2969609873852173</v>
      </c>
      <c r="AD80">
        <f t="shared" si="21"/>
        <v>3.9308520253037322E-4</v>
      </c>
      <c r="AE80">
        <f t="shared" si="15"/>
        <v>1.0508480660952355</v>
      </c>
      <c r="AF80">
        <f t="shared" si="16"/>
        <v>1.5970366198555741E-2</v>
      </c>
    </row>
    <row r="81" spans="1:32" x14ac:dyDescent="0.25">
      <c r="A81" s="6">
        <v>44401.333645833336</v>
      </c>
      <c r="B81">
        <v>80110368.451728821</v>
      </c>
      <c r="C81">
        <v>80158578.408782959</v>
      </c>
      <c r="D81">
        <v>38290.160723896697</v>
      </c>
      <c r="E81">
        <v>240331.1053551808</v>
      </c>
      <c r="F81">
        <v>1.4684450632280924E+19</v>
      </c>
      <c r="G81">
        <v>3822</v>
      </c>
      <c r="H81">
        <v>4.65583528361603E-4</v>
      </c>
      <c r="I81">
        <v>2147.8423077358825</v>
      </c>
      <c r="J81">
        <f t="shared" si="22"/>
        <v>4.1697915138984874E-2</v>
      </c>
      <c r="K81">
        <f t="shared" si="7"/>
        <v>6.3500217027850595E-2</v>
      </c>
      <c r="L81">
        <f t="shared" si="8"/>
        <v>0.98176525775245749</v>
      </c>
      <c r="M81">
        <f t="shared" si="9"/>
        <v>1.1522284768136699</v>
      </c>
      <c r="N81" s="2">
        <v>0.13274566183716929</v>
      </c>
      <c r="O81" s="9">
        <v>0.93210602201900217</v>
      </c>
      <c r="P81">
        <f t="shared" si="18"/>
        <v>0</v>
      </c>
      <c r="Q81">
        <f t="shared" si="10"/>
        <v>0.55100721041827383</v>
      </c>
      <c r="R81">
        <f t="shared" si="19"/>
        <v>0.7686567192653827</v>
      </c>
      <c r="S81" s="9">
        <f t="shared" si="11"/>
        <v>1.00515232840436</v>
      </c>
      <c r="T81">
        <v>0.90529999999999999</v>
      </c>
      <c r="U81">
        <v>0.96077999999999997</v>
      </c>
      <c r="V81">
        <v>0.18110372845182907</v>
      </c>
      <c r="W81" s="9">
        <v>0.74509089350549296</v>
      </c>
      <c r="X81">
        <f t="shared" si="20"/>
        <v>0.44125163602136569</v>
      </c>
      <c r="Y81">
        <f t="shared" si="12"/>
        <v>0.57267298187653082</v>
      </c>
      <c r="Z81">
        <f t="shared" si="23"/>
        <v>4.1697915138984874E-2</v>
      </c>
      <c r="AA81">
        <f t="shared" si="13"/>
        <v>9.1295435304300288E-2</v>
      </c>
      <c r="AB81">
        <f t="shared" si="17"/>
        <v>0.19373364681240832</v>
      </c>
      <c r="AC81">
        <f t="shared" si="14"/>
        <v>1.281184979438255</v>
      </c>
      <c r="AD81">
        <f t="shared" si="21"/>
        <v>3.6362062676557769E-4</v>
      </c>
      <c r="AE81">
        <f t="shared" si="15"/>
        <v>1.1582296267643672</v>
      </c>
      <c r="AF81">
        <f t="shared" si="16"/>
        <v>1.3279684723022323E-2</v>
      </c>
    </row>
    <row r="82" spans="1:32" x14ac:dyDescent="0.25">
      <c r="A82" s="6">
        <v>44402.333599537036</v>
      </c>
      <c r="B82">
        <v>72168934.614055634</v>
      </c>
      <c r="C82">
        <v>72179393.47990799</v>
      </c>
      <c r="D82">
        <v>33250.296468462795</v>
      </c>
      <c r="E82">
        <v>216506.80384217948</v>
      </c>
      <c r="F82">
        <v>1.4924717529855332E+19</v>
      </c>
      <c r="G82">
        <v>3842</v>
      </c>
      <c r="H82">
        <v>4.6242845751745011E-4</v>
      </c>
      <c r="I82">
        <v>2162.4966710926615</v>
      </c>
      <c r="J82">
        <f t="shared" si="22"/>
        <v>6.7996600226642723E-3</v>
      </c>
      <c r="K82">
        <f t="shared" si="7"/>
        <v>9.2268178491755157E-2</v>
      </c>
      <c r="L82">
        <f t="shared" si="8"/>
        <v>0.83865610970281645</v>
      </c>
      <c r="M82">
        <f t="shared" si="9"/>
        <v>1.1396504478799621</v>
      </c>
      <c r="N82" s="2">
        <v>0.11380380437430486</v>
      </c>
      <c r="O82" s="9">
        <v>0.86633616019802528</v>
      </c>
      <c r="P82">
        <f t="shared" si="18"/>
        <v>0</v>
      </c>
      <c r="Q82">
        <f t="shared" si="10"/>
        <v>0.5155202345059271</v>
      </c>
      <c r="R82">
        <f t="shared" si="19"/>
        <v>0.66279581499048845</v>
      </c>
      <c r="S82" s="9">
        <f t="shared" si="11"/>
        <v>0.98236309483415718</v>
      </c>
      <c r="T82">
        <v>0.88590000000000002</v>
      </c>
      <c r="U82">
        <v>0.95171666666666666</v>
      </c>
      <c r="V82">
        <v>0.19132405801885538</v>
      </c>
      <c r="W82" s="9">
        <v>0.75256698130869715</v>
      </c>
      <c r="X82">
        <f t="shared" si="20"/>
        <v>0.40119839920136446</v>
      </c>
      <c r="Y82">
        <f t="shared" si="12"/>
        <v>0.5545892012335164</v>
      </c>
      <c r="Z82">
        <f t="shared" si="23"/>
        <v>6.7996600226642723E-3</v>
      </c>
      <c r="AA82">
        <f t="shared" si="13"/>
        <v>0.15369231551227777</v>
      </c>
      <c r="AB82">
        <f t="shared" si="17"/>
        <v>0.18476742844918931</v>
      </c>
      <c r="AC82">
        <f t="shared" si="14"/>
        <v>1.243891379444606</v>
      </c>
      <c r="AD82">
        <f t="shared" si="21"/>
        <v>3.1174264807205755E-4</v>
      </c>
      <c r="AE82">
        <f t="shared" si="15"/>
        <v>1.198404334407863</v>
      </c>
      <c r="AF82">
        <f t="shared" si="16"/>
        <v>1.1392120620466573E-2</v>
      </c>
    </row>
    <row r="83" spans="1:32" x14ac:dyDescent="0.25">
      <c r="A83" s="6">
        <v>44403.333483796298</v>
      </c>
      <c r="B83">
        <v>125805652.83577347</v>
      </c>
      <c r="C83">
        <v>125857793.14255524</v>
      </c>
      <c r="D83">
        <v>55547.168572333641</v>
      </c>
      <c r="E83">
        <v>377416.95850731432</v>
      </c>
      <c r="F83">
        <v>1.7019900381956323E+19</v>
      </c>
      <c r="G83">
        <v>3778</v>
      </c>
      <c r="H83">
        <v>4.2623717205826818E-4</v>
      </c>
      <c r="I83">
        <v>2346.1116616626209</v>
      </c>
      <c r="J83">
        <f t="shared" si="22"/>
        <v>8.1495925271637321E-2</v>
      </c>
      <c r="K83">
        <f t="shared" si="7"/>
        <v>0.14670446848238516</v>
      </c>
      <c r="L83">
        <f t="shared" si="8"/>
        <v>0.93056072414813917</v>
      </c>
      <c r="M83">
        <f t="shared" si="9"/>
        <v>1.1357974423079527</v>
      </c>
      <c r="N83" s="2">
        <v>0.17364764853716824</v>
      </c>
      <c r="O83" s="9">
        <v>0.86743116144935661</v>
      </c>
      <c r="P83">
        <f t="shared" si="18"/>
        <v>0.48831639178940406</v>
      </c>
      <c r="Q83">
        <f t="shared" si="10"/>
        <v>0.50057628510022256</v>
      </c>
      <c r="R83">
        <f t="shared" si="19"/>
        <v>0.95814875967764679</v>
      </c>
      <c r="S83" s="9">
        <f t="shared" si="11"/>
        <v>0.97270970717603999</v>
      </c>
      <c r="T83">
        <v>1.0127999999999999</v>
      </c>
      <c r="U83">
        <v>0.94675000000000009</v>
      </c>
      <c r="V83">
        <v>0.1958010860434877</v>
      </c>
      <c r="W83" s="9">
        <v>0.75422094921248328</v>
      </c>
      <c r="X83">
        <f t="shared" si="20"/>
        <v>0.80858893894001704</v>
      </c>
      <c r="Y83">
        <f t="shared" si="12"/>
        <v>0.55503774436632058</v>
      </c>
      <c r="Z83">
        <f t="shared" si="23"/>
        <v>8.1495925271637321E-2</v>
      </c>
      <c r="AA83">
        <f t="shared" si="13"/>
        <v>0.26248687587490538</v>
      </c>
      <c r="AB83">
        <f t="shared" si="17"/>
        <v>0.17851440776168043</v>
      </c>
      <c r="AC83">
        <f t="shared" si="14"/>
        <v>1.2172407838049151</v>
      </c>
      <c r="AD83">
        <f t="shared" si="21"/>
        <v>4.7563385057795756E-4</v>
      </c>
      <c r="AE83">
        <f t="shared" si="15"/>
        <v>1.2762011401075657</v>
      </c>
      <c r="AF83">
        <f t="shared" si="16"/>
        <v>7.8117582560566223E-3</v>
      </c>
    </row>
    <row r="84" spans="1:32" x14ac:dyDescent="0.25">
      <c r="A84" s="6">
        <v>44404.333391203705</v>
      </c>
      <c r="B84">
        <v>196314297.57120132</v>
      </c>
      <c r="C84">
        <v>196259813.47145462</v>
      </c>
      <c r="D84">
        <v>86400.887988517061</v>
      </c>
      <c r="E84">
        <v>588942.89271360636</v>
      </c>
      <c r="F84">
        <v>1.7567886411435915E+19</v>
      </c>
      <c r="G84">
        <v>3788</v>
      </c>
      <c r="H84">
        <v>4.3978869299754903E-4</v>
      </c>
      <c r="I84">
        <v>2273.8192589357295</v>
      </c>
      <c r="J84">
        <f t="shared" si="22"/>
        <v>-3.1298435104321974E-2</v>
      </c>
      <c r="K84">
        <f t="shared" si="7"/>
        <v>0.12051948440863391</v>
      </c>
      <c r="L84">
        <f t="shared" si="8"/>
        <v>1.3067786421774141</v>
      </c>
      <c r="M84">
        <f t="shared" si="9"/>
        <v>1.131746750084186</v>
      </c>
      <c r="N84" s="2">
        <v>0.25761213474200229</v>
      </c>
      <c r="O84" s="9">
        <v>0.83202977950180779</v>
      </c>
      <c r="P84">
        <f t="shared" si="18"/>
        <v>0.95402766633305514</v>
      </c>
      <c r="Q84">
        <f t="shared" si="10"/>
        <v>0.49591919509806015</v>
      </c>
      <c r="R84">
        <f t="shared" si="19"/>
        <v>1.2608588086342123</v>
      </c>
      <c r="S84" s="9">
        <f t="shared" si="11"/>
        <v>0.96908427095159944</v>
      </c>
      <c r="T84">
        <v>1.0386</v>
      </c>
      <c r="U84">
        <v>0.94349333333333329</v>
      </c>
      <c r="V84">
        <v>0.188309497488623</v>
      </c>
      <c r="W84" s="9">
        <v>0.75051393335109173</v>
      </c>
      <c r="X84">
        <f t="shared" si="20"/>
        <v>1.2035064204735928</v>
      </c>
      <c r="Y84">
        <f t="shared" si="12"/>
        <v>0.56118345617716225</v>
      </c>
      <c r="Z84">
        <f t="shared" si="23"/>
        <v>-3.1298435104321974E-2</v>
      </c>
      <c r="AA84">
        <f t="shared" si="13"/>
        <v>0.21258937070859002</v>
      </c>
      <c r="AB84">
        <f t="shared" si="17"/>
        <v>0.17626118708750346</v>
      </c>
      <c r="AC84">
        <f t="shared" si="14"/>
        <v>1.2075024208357139</v>
      </c>
      <c r="AD84">
        <f t="shared" si="21"/>
        <v>7.055377202441703E-4</v>
      </c>
      <c r="AE84">
        <f t="shared" si="15"/>
        <v>1.136432086057388</v>
      </c>
      <c r="AF84">
        <f t="shared" si="16"/>
        <v>1.3142713725190491E-2</v>
      </c>
    </row>
    <row r="85" spans="1:32" x14ac:dyDescent="0.25">
      <c r="A85" s="6">
        <v>44405.333645833336</v>
      </c>
      <c r="B85">
        <v>154436442.8177681</v>
      </c>
      <c r="C85">
        <v>154455067.24246979</v>
      </c>
      <c r="D85">
        <v>67682.926126471721</v>
      </c>
      <c r="E85">
        <v>463309.32845330238</v>
      </c>
      <c r="F85">
        <v>1.8519514770538136E+19</v>
      </c>
      <c r="G85">
        <v>3794</v>
      </c>
      <c r="H85">
        <v>4.2841642504675966E-4</v>
      </c>
      <c r="I85">
        <v>2334.1775467428793</v>
      </c>
      <c r="J85">
        <f t="shared" si="22"/>
        <v>2.6198690087323933E-2</v>
      </c>
      <c r="K85">
        <f t="shared" si="7"/>
        <v>9.0741405258950705E-2</v>
      </c>
      <c r="L85">
        <f t="shared" si="8"/>
        <v>1.1624828348161553</v>
      </c>
      <c r="M85">
        <f t="shared" si="9"/>
        <v>1.1289085271921444</v>
      </c>
      <c r="N85" s="2">
        <v>0.19395729614086796</v>
      </c>
      <c r="O85" s="9">
        <v>0.81639606305460366</v>
      </c>
      <c r="P85">
        <f t="shared" si="18"/>
        <v>0.63319039736861182</v>
      </c>
      <c r="Q85">
        <f t="shared" si="10"/>
        <v>0.49260418971595471</v>
      </c>
      <c r="R85">
        <f t="shared" si="19"/>
        <v>1.0394836345519878</v>
      </c>
      <c r="S85" s="9">
        <f t="shared" si="11"/>
        <v>0.96697084658030164</v>
      </c>
      <c r="T85">
        <v>1.0207999999999999</v>
      </c>
      <c r="U85">
        <v>0.94166000000000005</v>
      </c>
      <c r="V85">
        <v>0.17380090486278879</v>
      </c>
      <c r="W85" s="9">
        <v>0.74408804013187935</v>
      </c>
      <c r="X85">
        <f t="shared" si="20"/>
        <v>0.95826893195377982</v>
      </c>
      <c r="Y85">
        <f t="shared" si="12"/>
        <v>0.57362346616021864</v>
      </c>
      <c r="Z85">
        <f t="shared" si="23"/>
        <v>2.6198690087323933E-2</v>
      </c>
      <c r="AA85">
        <f t="shared" si="13"/>
        <v>0.15409229551361142</v>
      </c>
      <c r="AB85">
        <f t="shared" si="17"/>
        <v>0.17465793391549295</v>
      </c>
      <c r="AC85">
        <f t="shared" si="14"/>
        <v>1.2005285045257055</v>
      </c>
      <c r="AD85">
        <f t="shared" si="21"/>
        <v>5.3124871485037031E-4</v>
      </c>
      <c r="AE85">
        <f t="shared" si="15"/>
        <v>1.07046870565245</v>
      </c>
      <c r="AF85">
        <f t="shared" si="16"/>
        <v>1.4579538680211446E-2</v>
      </c>
    </row>
    <row r="86" spans="1:32" x14ac:dyDescent="0.25">
      <c r="A86" s="6">
        <v>44406.333414351851</v>
      </c>
      <c r="B86">
        <v>91603694.168540955</v>
      </c>
      <c r="C86">
        <v>91587610.01966095</v>
      </c>
      <c r="D86">
        <v>39884.801278133877</v>
      </c>
      <c r="E86">
        <v>274811.08250562102</v>
      </c>
      <c r="F86">
        <v>1.8449707156548743E+19</v>
      </c>
      <c r="G86">
        <v>3824</v>
      </c>
      <c r="H86">
        <v>4.3593572307533824E-4</v>
      </c>
      <c r="I86">
        <v>2293.9161602665454</v>
      </c>
      <c r="J86">
        <f t="shared" si="22"/>
        <v>-1.7399130057993813E-2</v>
      </c>
      <c r="K86">
        <f t="shared" si="7"/>
        <v>3.9006032556923691E-2</v>
      </c>
      <c r="L86">
        <f t="shared" si="8"/>
        <v>0.9342722342311649</v>
      </c>
      <c r="M86">
        <f t="shared" si="9"/>
        <v>1.1095109460431012</v>
      </c>
      <c r="N86" s="2">
        <v>0.11373558894352265</v>
      </c>
      <c r="O86" s="9">
        <v>0.8152639237235163</v>
      </c>
      <c r="P86">
        <f t="shared" si="18"/>
        <v>0</v>
      </c>
      <c r="Q86">
        <f t="shared" si="10"/>
        <v>0.45653506794834176</v>
      </c>
      <c r="R86">
        <f t="shared" si="19"/>
        <v>0.66238400412649467</v>
      </c>
      <c r="S86" s="9">
        <f t="shared" si="11"/>
        <v>0.94370620268325223</v>
      </c>
      <c r="T86">
        <v>0.98010000000000008</v>
      </c>
      <c r="U86">
        <v>0.9405066666666666</v>
      </c>
      <c r="V86">
        <v>0.17600134759431194</v>
      </c>
      <c r="W86" s="9">
        <v>0.74500521366697647</v>
      </c>
      <c r="X86">
        <f t="shared" si="20"/>
        <v>0.49774028691610045</v>
      </c>
      <c r="Y86">
        <f t="shared" si="12"/>
        <v>0.55649737335793437</v>
      </c>
      <c r="Z86">
        <f t="shared" si="23"/>
        <v>-1.7399130057993813E-2</v>
      </c>
      <c r="AA86">
        <f t="shared" si="13"/>
        <v>5.0697465168981756E-2</v>
      </c>
      <c r="AB86">
        <f t="shared" si="17"/>
        <v>0.1724747097415493</v>
      </c>
      <c r="AC86">
        <f t="shared" si="14"/>
        <v>1.1909711052810092</v>
      </c>
      <c r="AD86">
        <f t="shared" si="21"/>
        <v>3.1155581471628942E-4</v>
      </c>
      <c r="AE86">
        <f t="shared" si="15"/>
        <v>1.0650234846256765</v>
      </c>
      <c r="AF86">
        <f t="shared" si="16"/>
        <v>1.4174129964254156E-2</v>
      </c>
    </row>
    <row r="87" spans="1:32" x14ac:dyDescent="0.25">
      <c r="A87" s="6">
        <v>44407.333703703705</v>
      </c>
      <c r="B87">
        <v>90075499.413471222</v>
      </c>
      <c r="C87">
        <v>90091172.639961243</v>
      </c>
      <c r="D87">
        <v>38168.021588535048</v>
      </c>
      <c r="E87">
        <v>270226.49824041128</v>
      </c>
      <c r="F87">
        <v>1.9105787518485856E+19</v>
      </c>
      <c r="G87">
        <v>3862</v>
      </c>
      <c r="H87">
        <v>4.2679161296887242E-4</v>
      </c>
      <c r="I87">
        <v>2343.0638503970176</v>
      </c>
      <c r="J87">
        <f t="shared" si="22"/>
        <v>2.1198940070658857E-2</v>
      </c>
      <c r="K87">
        <f t="shared" si="7"/>
        <v>5.5424101469894106E-2</v>
      </c>
      <c r="L87">
        <f t="shared" si="8"/>
        <v>0.88036440695542573</v>
      </c>
      <c r="M87">
        <f t="shared" si="9"/>
        <v>1.0985321520625682</v>
      </c>
      <c r="N87" s="2">
        <v>0.10622247650422671</v>
      </c>
      <c r="O87" s="9">
        <v>0.80532107967735256</v>
      </c>
      <c r="P87">
        <f t="shared" si="18"/>
        <v>0</v>
      </c>
      <c r="Q87">
        <f t="shared" si="10"/>
        <v>0.43522836790512454</v>
      </c>
      <c r="R87">
        <f t="shared" si="19"/>
        <v>0.61534353771554362</v>
      </c>
      <c r="S87" s="9">
        <f t="shared" si="11"/>
        <v>0.92944579323478294</v>
      </c>
      <c r="T87">
        <v>0.98269999999999991</v>
      </c>
      <c r="U87">
        <v>0.93777333333333324</v>
      </c>
      <c r="V87">
        <v>0.1660857751052793</v>
      </c>
      <c r="W87" s="9">
        <v>0.73838827939518858</v>
      </c>
      <c r="X87">
        <f t="shared" si="20"/>
        <v>0.45047838987865846</v>
      </c>
      <c r="Y87">
        <f t="shared" si="12"/>
        <v>0.55025910292259872</v>
      </c>
      <c r="Z87">
        <f t="shared" si="23"/>
        <v>2.1198940070658857E-2</v>
      </c>
      <c r="AA87">
        <f t="shared" si="13"/>
        <v>8.4195790280636285E-2</v>
      </c>
      <c r="AB87">
        <f t="shared" si="17"/>
        <v>0.16950819139832815</v>
      </c>
      <c r="AC87">
        <f t="shared" si="14"/>
        <v>1.1778705739537705</v>
      </c>
      <c r="AD87">
        <f t="shared" si="21"/>
        <v>2.9097814532639247E-4</v>
      </c>
      <c r="AE87">
        <f t="shared" si="15"/>
        <v>1.0976761347241035</v>
      </c>
      <c r="AF87">
        <f t="shared" si="16"/>
        <v>1.3330512013101536E-2</v>
      </c>
    </row>
    <row r="88" spans="1:32" x14ac:dyDescent="0.25">
      <c r="A88" s="6">
        <v>44408.333495370367</v>
      </c>
      <c r="B88">
        <v>84127156.419658661</v>
      </c>
      <c r="C88">
        <v>84165074.704395294</v>
      </c>
      <c r="D88">
        <v>34684.523511127569</v>
      </c>
      <c r="E88">
        <v>252381.46925897896</v>
      </c>
      <c r="F88">
        <v>1.4959961926221732E+19</v>
      </c>
      <c r="G88">
        <v>3865</v>
      </c>
      <c r="H88">
        <v>4.0593716154542139E-4</v>
      </c>
      <c r="I88">
        <v>2463.4354642303606</v>
      </c>
      <c r="J88">
        <f t="shared" si="22"/>
        <v>5.0097495166982225E-2</v>
      </c>
      <c r="K88">
        <f t="shared" si="7"/>
        <v>8.3548457273370971E-2</v>
      </c>
      <c r="L88">
        <f t="shared" si="8"/>
        <v>0.91729886846412301</v>
      </c>
      <c r="M88">
        <f t="shared" si="9"/>
        <v>1.083472867121601</v>
      </c>
      <c r="N88" s="2">
        <v>0.12640536122358836</v>
      </c>
      <c r="O88" s="9">
        <v>0.76107331491919017</v>
      </c>
      <c r="P88">
        <f t="shared" si="18"/>
        <v>0</v>
      </c>
      <c r="Q88">
        <f t="shared" si="10"/>
        <v>0.40409306579756171</v>
      </c>
      <c r="R88">
        <f t="shared" si="19"/>
        <v>0.73492227287188261</v>
      </c>
      <c r="S88" s="9">
        <f t="shared" si="11"/>
        <v>0.91241593577550106</v>
      </c>
      <c r="T88">
        <v>0.94989999999999997</v>
      </c>
      <c r="U88">
        <v>0.9355633333333333</v>
      </c>
      <c r="V88">
        <v>0.18060429074876172</v>
      </c>
      <c r="W88" s="9">
        <v>0.74580249804593812</v>
      </c>
      <c r="X88">
        <f t="shared" si="20"/>
        <v>0.66320618248464169</v>
      </c>
      <c r="Y88">
        <f t="shared" si="12"/>
        <v>0.54176420516867407</v>
      </c>
      <c r="Z88">
        <f t="shared" si="23"/>
        <v>5.0097495166982225E-2</v>
      </c>
      <c r="AA88">
        <f t="shared" si="13"/>
        <v>0.14329283547761518</v>
      </c>
      <c r="AB88">
        <f t="shared" si="17"/>
        <v>0.1674149627246844</v>
      </c>
      <c r="AC88">
        <f t="shared" si="14"/>
        <v>1.1685459602809993</v>
      </c>
      <c r="AD88">
        <f t="shared" si="21"/>
        <v>3.4625610458217975E-4</v>
      </c>
      <c r="AE88">
        <f t="shared" si="15"/>
        <v>1.2089962992565948</v>
      </c>
      <c r="AF88">
        <f t="shared" si="16"/>
        <v>9.5306594305173409E-3</v>
      </c>
    </row>
    <row r="89" spans="1:32" x14ac:dyDescent="0.25">
      <c r="A89" s="6">
        <v>44409.33353009259</v>
      </c>
      <c r="B89">
        <v>84296162.723644257</v>
      </c>
      <c r="C89">
        <v>84334471.828651428</v>
      </c>
      <c r="D89">
        <v>33247.494855253957</v>
      </c>
      <c r="E89">
        <v>252888.48817092925</v>
      </c>
      <c r="F89">
        <v>1.3093704075195605E+19</v>
      </c>
      <c r="G89">
        <v>3805</v>
      </c>
      <c r="H89">
        <v>3.8741664188982977E-4</v>
      </c>
      <c r="I89">
        <v>2581.2004231980604</v>
      </c>
      <c r="J89">
        <f t="shared" si="22"/>
        <v>4.6697665155649638E-2</v>
      </c>
      <c r="K89">
        <f t="shared" si="7"/>
        <v>0.13011842435291371</v>
      </c>
      <c r="L89">
        <f t="shared" si="8"/>
        <v>0.84969292834415977</v>
      </c>
      <c r="M89">
        <f t="shared" si="9"/>
        <v>1.0739897828239926</v>
      </c>
      <c r="N89" s="2">
        <v>0.1417088340853995</v>
      </c>
      <c r="O89" s="9">
        <v>0.76018706535152569</v>
      </c>
      <c r="P89">
        <f t="shared" si="18"/>
        <v>0</v>
      </c>
      <c r="Q89">
        <f t="shared" si="10"/>
        <v>0.38157047926209547</v>
      </c>
      <c r="R89">
        <f t="shared" si="19"/>
        <v>0.81396469828713269</v>
      </c>
      <c r="S89" s="9">
        <f t="shared" si="11"/>
        <v>0.90401819322324894</v>
      </c>
      <c r="T89">
        <v>0.99129999999999996</v>
      </c>
      <c r="U89">
        <v>0.93591999999999997</v>
      </c>
      <c r="V89">
        <v>0.18060429074876172</v>
      </c>
      <c r="W89" s="9">
        <v>0.75661688293198393</v>
      </c>
      <c r="X89">
        <f t="shared" si="20"/>
        <v>0.75417218245382378</v>
      </c>
      <c r="Y89">
        <f t="shared" si="12"/>
        <v>0.54547302791255203</v>
      </c>
      <c r="Z89">
        <f t="shared" si="23"/>
        <v>4.6697665155649638E-2</v>
      </c>
      <c r="AA89">
        <f t="shared" si="13"/>
        <v>0.23648817578824802</v>
      </c>
      <c r="AB89">
        <f t="shared" si="17"/>
        <v>0.16599503371995156</v>
      </c>
      <c r="AC89">
        <f t="shared" si="14"/>
        <v>1.1621820294252605</v>
      </c>
      <c r="AD89">
        <f t="shared" si="21"/>
        <v>3.8816803409568308E-4</v>
      </c>
      <c r="AE89">
        <f t="shared" si="15"/>
        <v>1.1692846838572157</v>
      </c>
      <c r="AF89">
        <f t="shared" si="16"/>
        <v>1.0823175258663831E-2</v>
      </c>
    </row>
    <row r="90" spans="1:32" x14ac:dyDescent="0.25">
      <c r="A90" s="6">
        <v>44410.333449074074</v>
      </c>
      <c r="B90">
        <v>162614230.4555397</v>
      </c>
      <c r="C90">
        <v>162596239.58283615</v>
      </c>
      <c r="D90">
        <v>62703.011519610882</v>
      </c>
      <c r="E90">
        <v>487842.69136662036</v>
      </c>
      <c r="F90">
        <v>1.291397779194744E+19</v>
      </c>
      <c r="G90">
        <v>3789</v>
      </c>
      <c r="H90">
        <v>3.8621756977456542E-4</v>
      </c>
      <c r="I90">
        <v>2589.2141587025635</v>
      </c>
      <c r="J90">
        <f t="shared" si="22"/>
        <v>3.0998450103322558E-3</v>
      </c>
      <c r="K90">
        <f t="shared" si="7"/>
        <v>9.1444290399849359E-2</v>
      </c>
      <c r="L90">
        <f t="shared" si="8"/>
        <v>1.4027668816720551</v>
      </c>
      <c r="M90">
        <f t="shared" si="9"/>
        <v>1.0872458397524531</v>
      </c>
      <c r="N90" s="2">
        <v>0.27139510241228926</v>
      </c>
      <c r="O90" s="9">
        <v>0.7545304355625273</v>
      </c>
      <c r="P90">
        <f t="shared" si="18"/>
        <v>1.0101646051467013</v>
      </c>
      <c r="Q90">
        <f t="shared" si="10"/>
        <v>0.40519711635268046</v>
      </c>
      <c r="R90">
        <f t="shared" si="19"/>
        <v>1.3038514779961639</v>
      </c>
      <c r="S90" s="9">
        <f t="shared" si="11"/>
        <v>0.91822210284374806</v>
      </c>
      <c r="T90">
        <v>0.97120000000000006</v>
      </c>
      <c r="U90">
        <v>0.93662666666666661</v>
      </c>
      <c r="V90">
        <v>0.19398496902397913</v>
      </c>
      <c r="W90" s="9">
        <v>0.76984501659437876</v>
      </c>
      <c r="X90">
        <f t="shared" si="20"/>
        <v>1.3082689743842115</v>
      </c>
      <c r="Y90">
        <f t="shared" si="12"/>
        <v>0.58054550752245759</v>
      </c>
      <c r="Z90">
        <f t="shared" si="23"/>
        <v>3.0998450103322558E-3</v>
      </c>
      <c r="AA90">
        <f t="shared" si="13"/>
        <v>0.15949202553160924</v>
      </c>
      <c r="AB90">
        <f t="shared" si="17"/>
        <v>0.16319850687729701</v>
      </c>
      <c r="AC90">
        <f t="shared" si="14"/>
        <v>1.1495555027451081</v>
      </c>
      <c r="AD90">
        <f t="shared" si="21"/>
        <v>7.4327193075575122E-4</v>
      </c>
      <c r="AE90">
        <f t="shared" si="15"/>
        <v>1.1078208420399811</v>
      </c>
      <c r="AF90">
        <f t="shared" si="16"/>
        <v>1.2910008666162653E-2</v>
      </c>
    </row>
    <row r="91" spans="1:32" x14ac:dyDescent="0.25">
      <c r="A91" s="6">
        <v>44411.333437499998</v>
      </c>
      <c r="B91">
        <v>155855586.25691223</v>
      </c>
      <c r="C91">
        <v>155813621.08747482</v>
      </c>
      <c r="D91">
        <v>60481.718747124076</v>
      </c>
      <c r="E91">
        <v>467566.75877074152</v>
      </c>
      <c r="F91">
        <v>1.488161905413504E+19</v>
      </c>
      <c r="G91">
        <v>3789</v>
      </c>
      <c r="H91">
        <v>4.008546942107925E-4</v>
      </c>
      <c r="I91">
        <v>2494.669550942423</v>
      </c>
      <c r="J91">
        <f t="shared" si="22"/>
        <v>-3.7198140123986492E-2</v>
      </c>
      <c r="K91">
        <f t="shared" si="7"/>
        <v>4.4469366787892053E-2</v>
      </c>
      <c r="L91">
        <f t="shared" si="8"/>
        <v>1.3174754052155022</v>
      </c>
      <c r="M91">
        <f t="shared" si="9"/>
        <v>1.0946343704572636</v>
      </c>
      <c r="N91" s="2">
        <v>0.2229821554742788</v>
      </c>
      <c r="O91" s="9">
        <v>0.76008015260861683</v>
      </c>
      <c r="P91">
        <f t="shared" si="18"/>
        <v>0.79569400776121668</v>
      </c>
      <c r="Q91">
        <f t="shared" si="10"/>
        <v>0.42246984741777899</v>
      </c>
      <c r="R91">
        <f t="shared" si="19"/>
        <v>1.1457421617312935</v>
      </c>
      <c r="S91" s="9">
        <f t="shared" si="11"/>
        <v>0.92741908157875552</v>
      </c>
      <c r="T91">
        <v>1.008</v>
      </c>
      <c r="U91">
        <v>0.93907999999999991</v>
      </c>
      <c r="V91">
        <v>0.20081722411319911</v>
      </c>
      <c r="W91" s="9">
        <v>0.77084770239122002</v>
      </c>
      <c r="X91">
        <f t="shared" si="20"/>
        <v>1.1260351328664986</v>
      </c>
      <c r="Y91">
        <f t="shared" si="12"/>
        <v>0.6100389437109659</v>
      </c>
      <c r="Z91">
        <f t="shared" si="23"/>
        <v>-3.7198140123986492E-2</v>
      </c>
      <c r="AA91">
        <f t="shared" si="13"/>
        <v>6.5196740217309937E-2</v>
      </c>
      <c r="AB91">
        <f t="shared" si="17"/>
        <v>0.16155192253847536</v>
      </c>
      <c r="AC91">
        <f t="shared" si="14"/>
        <v>1.1420625196623337</v>
      </c>
      <c r="AD91">
        <f t="shared" si="21"/>
        <v>6.1072348543946117E-4</v>
      </c>
      <c r="AE91">
        <f t="shared" si="15"/>
        <v>1.1387071107465492</v>
      </c>
      <c r="AF91">
        <f t="shared" si="16"/>
        <v>1.2295166510005284E-2</v>
      </c>
    </row>
    <row r="92" spans="1:32" x14ac:dyDescent="0.25">
      <c r="A92" s="6">
        <v>44412.333460648151</v>
      </c>
      <c r="B92">
        <v>157160679.41207886</v>
      </c>
      <c r="C92">
        <v>157165514.57054138</v>
      </c>
      <c r="D92">
        <v>62892.306615428999</v>
      </c>
      <c r="E92">
        <v>471482.03823623806</v>
      </c>
      <c r="F92">
        <v>1.6073889896958636E+19</v>
      </c>
      <c r="G92">
        <v>3806</v>
      </c>
      <c r="H92">
        <v>3.9957407330548644E-4</v>
      </c>
      <c r="I92">
        <v>2502.664879448947</v>
      </c>
      <c r="J92">
        <f t="shared" si="22"/>
        <v>3.1998400106653105E-3</v>
      </c>
      <c r="K92">
        <f t="shared" si="7"/>
        <v>7.9174148417851531E-2</v>
      </c>
      <c r="L92">
        <f t="shared" si="8"/>
        <v>1.2520464757698773</v>
      </c>
      <c r="M92">
        <f t="shared" si="9"/>
        <v>1.0964849764520941</v>
      </c>
      <c r="N92" s="2">
        <v>0.21501439595346225</v>
      </c>
      <c r="O92" s="9">
        <v>0.78392419948660841</v>
      </c>
      <c r="P92">
        <f t="shared" si="18"/>
        <v>0.75457728419332559</v>
      </c>
      <c r="Q92">
        <f t="shared" si="10"/>
        <v>0.42661617072961072</v>
      </c>
      <c r="R92">
        <f t="shared" si="19"/>
        <v>1.1175790911618582</v>
      </c>
      <c r="S92" s="9">
        <f t="shared" si="11"/>
        <v>0.93008314342000842</v>
      </c>
      <c r="T92">
        <v>1.0695999999999999</v>
      </c>
      <c r="U92">
        <v>0.94419666666666657</v>
      </c>
      <c r="V92">
        <v>0.22339090773731166</v>
      </c>
      <c r="W92" s="9">
        <v>0.783521223866536</v>
      </c>
      <c r="X92">
        <f t="shared" si="20"/>
        <v>1.07584198294208</v>
      </c>
      <c r="Y92">
        <f t="shared" si="12"/>
        <v>0.62600163923211316</v>
      </c>
      <c r="Z92">
        <f t="shared" si="23"/>
        <v>3.1998400106653105E-3</v>
      </c>
      <c r="AA92">
        <f t="shared" si="13"/>
        <v>0.13309334544361867</v>
      </c>
      <c r="AB92">
        <f t="shared" si="17"/>
        <v>0.15974201303244265</v>
      </c>
      <c r="AC92">
        <f t="shared" si="14"/>
        <v>1.1337754029900569</v>
      </c>
      <c r="AD92">
        <f t="shared" si="21"/>
        <v>5.8890709702946655E-4</v>
      </c>
      <c r="AE92">
        <f t="shared" si="15"/>
        <v>1.0886035796111715</v>
      </c>
      <c r="AF92">
        <f t="shared" si="16"/>
        <v>1.3577417559724969E-2</v>
      </c>
    </row>
    <row r="93" spans="1:32" x14ac:dyDescent="0.25">
      <c r="A93" s="6">
        <v>44413.333761574075</v>
      </c>
      <c r="B93">
        <v>213212858.73881531</v>
      </c>
      <c r="C93">
        <v>213252032.25128174</v>
      </c>
      <c r="D93">
        <v>80060.664542552084</v>
      </c>
      <c r="E93">
        <v>639638.57621644437</v>
      </c>
      <c r="F93">
        <v>2.1948580894728487E+19</v>
      </c>
      <c r="G93">
        <v>3789</v>
      </c>
      <c r="H93">
        <v>3.8229836842427133E-4</v>
      </c>
      <c r="I93">
        <v>2615.7579592131788</v>
      </c>
      <c r="J93">
        <f t="shared" si="22"/>
        <v>4.4197790147317506E-2</v>
      </c>
      <c r="K93">
        <f t="shared" si="7"/>
        <v>7.6790371037057686E-2</v>
      </c>
      <c r="L93">
        <f t="shared" si="8"/>
        <v>1.2230989002223822</v>
      </c>
      <c r="M93">
        <f t="shared" si="9"/>
        <v>1.095332400017889</v>
      </c>
      <c r="N93" s="2">
        <v>0.20492794148620291</v>
      </c>
      <c r="O93" s="9">
        <v>0.77191652290462143</v>
      </c>
      <c r="P93">
        <f t="shared" si="18"/>
        <v>0.6990674088258586</v>
      </c>
      <c r="Q93">
        <f t="shared" si="10"/>
        <v>0.4262085716997161</v>
      </c>
      <c r="R93">
        <f t="shared" si="19"/>
        <v>1.0808752884880337</v>
      </c>
      <c r="S93" s="9">
        <f t="shared" si="11"/>
        <v>0.92981819308296243</v>
      </c>
      <c r="T93">
        <v>1.1277999999999999</v>
      </c>
      <c r="U93">
        <v>0.94981333333333329</v>
      </c>
      <c r="V93">
        <v>0.22339090773731166</v>
      </c>
      <c r="W93" s="9">
        <v>0.79301996169130395</v>
      </c>
      <c r="X93">
        <f t="shared" si="20"/>
        <v>1.0438995966420161</v>
      </c>
      <c r="Y93">
        <f t="shared" si="12"/>
        <v>0.63874256106485627</v>
      </c>
      <c r="Z93">
        <f t="shared" si="23"/>
        <v>4.4197790147317506E-2</v>
      </c>
      <c r="AA93">
        <f t="shared" si="13"/>
        <v>0.12909354543028684</v>
      </c>
      <c r="AB93">
        <f t="shared" si="17"/>
        <v>0.15866540019552078</v>
      </c>
      <c r="AC93">
        <f t="shared" si="14"/>
        <v>1.1288202664684566</v>
      </c>
      <c r="AD93">
        <f t="shared" si="21"/>
        <v>5.6128886296088251E-4</v>
      </c>
      <c r="AE93">
        <f t="shared" si="15"/>
        <v>1.0967983888480479</v>
      </c>
      <c r="AF93">
        <f t="shared" si="16"/>
        <v>1.3403101314068966E-2</v>
      </c>
    </row>
    <row r="94" spans="1:32" x14ac:dyDescent="0.25">
      <c r="A94" s="6">
        <v>44414.333541666667</v>
      </c>
      <c r="B94">
        <v>241943976.70272446</v>
      </c>
      <c r="C94">
        <v>241892375.16854477</v>
      </c>
      <c r="D94">
        <v>88145.690580356866</v>
      </c>
      <c r="E94">
        <v>725831.93010817468</v>
      </c>
      <c r="F94">
        <v>2.3077610183835828E+19</v>
      </c>
      <c r="G94">
        <v>3810</v>
      </c>
      <c r="H94">
        <v>3.6423664963260253E-4</v>
      </c>
      <c r="I94">
        <v>2745.4678188169091</v>
      </c>
      <c r="J94">
        <f t="shared" si="22"/>
        <v>4.8397580161315921E-2</v>
      </c>
      <c r="K94">
        <f t="shared" si="7"/>
        <v>8.2668831553212987E-2</v>
      </c>
      <c r="L94">
        <f t="shared" si="8"/>
        <v>1.2619332697253014</v>
      </c>
      <c r="M94">
        <f t="shared" si="9"/>
        <v>1.0968496488692279</v>
      </c>
      <c r="N94" s="2">
        <v>0.21984069337399026</v>
      </c>
      <c r="O94" s="9">
        <v>0.77282237987596802</v>
      </c>
      <c r="P94">
        <f t="shared" si="18"/>
        <v>0.77974178878959599</v>
      </c>
      <c r="Q94">
        <f t="shared" si="10"/>
        <v>0.43087885166142659</v>
      </c>
      <c r="R94">
        <f t="shared" si="19"/>
        <v>1.1347217299260595</v>
      </c>
      <c r="S94" s="9">
        <f t="shared" si="11"/>
        <v>0.93286155653797986</v>
      </c>
      <c r="T94">
        <v>1.0582</v>
      </c>
      <c r="U94">
        <v>0.95456000000000008</v>
      </c>
      <c r="V94">
        <v>0.23133453562897219</v>
      </c>
      <c r="W94" s="9">
        <v>0.79659757855446089</v>
      </c>
      <c r="X94">
        <f t="shared" si="20"/>
        <v>1.103972935273529</v>
      </c>
      <c r="Y94">
        <f t="shared" si="12"/>
        <v>0.65550278296557851</v>
      </c>
      <c r="Z94">
        <f t="shared" si="23"/>
        <v>4.8397580161315921E-2</v>
      </c>
      <c r="AA94">
        <f t="shared" si="13"/>
        <v>0.14079296046928261</v>
      </c>
      <c r="AB94">
        <f t="shared" si="17"/>
        <v>0.15788210602624328</v>
      </c>
      <c r="AC94">
        <f t="shared" si="14"/>
        <v>1.1252030145229253</v>
      </c>
      <c r="AD94">
        <f t="shared" si="21"/>
        <v>6.0212195770295595E-4</v>
      </c>
      <c r="AE94">
        <f t="shared" si="15"/>
        <v>1.2698363778048498</v>
      </c>
      <c r="AF94">
        <f t="shared" si="16"/>
        <v>7.359281745520363E-3</v>
      </c>
    </row>
    <row r="95" spans="1:32" x14ac:dyDescent="0.25">
      <c r="A95" s="6">
        <v>44415.333483796298</v>
      </c>
      <c r="B95">
        <v>206786683.36188889</v>
      </c>
      <c r="C95">
        <v>207019782.03006363</v>
      </c>
      <c r="D95">
        <v>70343.550157573074</v>
      </c>
      <c r="E95">
        <v>620360.0500856638</v>
      </c>
      <c r="F95">
        <v>4.8775442710945579E+19</v>
      </c>
      <c r="G95">
        <v>3786</v>
      </c>
      <c r="H95">
        <v>3.2240544270726673E-4</v>
      </c>
      <c r="I95">
        <v>3101.6846105416598</v>
      </c>
      <c r="J95">
        <f t="shared" si="22"/>
        <v>0.12199390040662281</v>
      </c>
      <c r="K95">
        <f t="shared" si="7"/>
        <v>0.19177412190538132</v>
      </c>
      <c r="L95">
        <f t="shared" si="8"/>
        <v>0</v>
      </c>
      <c r="M95">
        <f t="shared" si="9"/>
        <v>1.0542393773429077</v>
      </c>
      <c r="N95" s="2">
        <v>8.8229036284263304E-2</v>
      </c>
      <c r="O95" s="9">
        <v>0.74266165364319781</v>
      </c>
      <c r="P95">
        <f t="shared" si="18"/>
        <v>0</v>
      </c>
      <c r="Q95">
        <f t="shared" si="10"/>
        <v>0.40618551386077889</v>
      </c>
      <c r="R95">
        <f t="shared" si="19"/>
        <v>0.48445861293672271</v>
      </c>
      <c r="S95" s="9">
        <f t="shared" si="11"/>
        <v>0.91206606022595704</v>
      </c>
      <c r="T95">
        <v>1.173</v>
      </c>
      <c r="U95">
        <v>0.96151333333333322</v>
      </c>
      <c r="V95">
        <v>0.24466459389866629</v>
      </c>
      <c r="W95" s="9">
        <v>0.80265474666729908</v>
      </c>
      <c r="X95">
        <f t="shared" si="20"/>
        <v>0.39405627169916435</v>
      </c>
      <c r="Y95">
        <f t="shared" si="12"/>
        <v>0.64696533439531623</v>
      </c>
      <c r="Z95">
        <f t="shared" si="23"/>
        <v>0.12199390040662281</v>
      </c>
      <c r="AA95">
        <f t="shared" si="13"/>
        <v>0.36088195620287022</v>
      </c>
      <c r="AB95">
        <f t="shared" si="17"/>
        <v>0.16469509871561858</v>
      </c>
      <c r="AC95">
        <f t="shared" si="14"/>
        <v>1.1563281601775535</v>
      </c>
      <c r="AD95">
        <f t="shared" si="21"/>
        <v>2.4169417668937023E-4</v>
      </c>
      <c r="AE95">
        <f t="shared" si="15"/>
        <v>1.4917948634345255</v>
      </c>
      <c r="AF95">
        <f t="shared" si="16"/>
        <v>-5.7408433066026276E-3</v>
      </c>
    </row>
    <row r="96" spans="1:32" x14ac:dyDescent="0.25">
      <c r="A96" s="6">
        <v>44416.333333333336</v>
      </c>
      <c r="B96">
        <v>291693745.09218597</v>
      </c>
      <c r="C96">
        <v>291686801.68852997</v>
      </c>
      <c r="D96">
        <v>93931.899231569842</v>
      </c>
      <c r="E96">
        <v>875081.23527655751</v>
      </c>
      <c r="F96">
        <v>2.1664099818346701E+19</v>
      </c>
      <c r="G96">
        <v>3747</v>
      </c>
      <c r="H96">
        <v>3.2176130837706292E-4</v>
      </c>
      <c r="I96">
        <v>3107.8938765009261</v>
      </c>
      <c r="J96">
        <f t="shared" si="22"/>
        <v>1.9999000066658868E-3</v>
      </c>
      <c r="K96">
        <f t="shared" ref="K96:K159" si="24">(AVERAGE(J67:J96))*(15)+POWER(O96/SQRT(365/15),2)/2</f>
        <v>0.21321756662006036</v>
      </c>
      <c r="L96">
        <f t="shared" ref="L96:L159" si="25">SQRT(MAX(0,8*(N96/(365/15)-LN(COSH(K96/2))),0))*SQRT(365/15)</f>
        <v>1.0099523389420126</v>
      </c>
      <c r="M96">
        <f t="shared" ref="M96:M159" si="26">AVERAGE(L67:L96)</f>
        <v>1.0466947876584638</v>
      </c>
      <c r="N96" s="2">
        <v>0.26551875366893612</v>
      </c>
      <c r="O96" s="9">
        <v>0.77141254175254825</v>
      </c>
      <c r="P96">
        <f t="shared" si="18"/>
        <v>0.98662137598187372</v>
      </c>
      <c r="Q96">
        <f t="shared" ref="Q96:Q159" si="27">AVERAGE(P67:P96)</f>
        <v>0.41536637846338276</v>
      </c>
      <c r="R96">
        <f t="shared" si="19"/>
        <v>1.2856974320289964</v>
      </c>
      <c r="S96" s="9">
        <f t="shared" ref="S96:S159" si="28">AVERAGE(R67:R96)</f>
        <v>0.91863069088403426</v>
      </c>
      <c r="T96">
        <v>1.0957999999999999</v>
      </c>
      <c r="U96">
        <v>0.96858333333333335</v>
      </c>
      <c r="V96">
        <v>0.27741093831580471</v>
      </c>
      <c r="W96" s="9">
        <v>0.82682350453515308</v>
      </c>
      <c r="X96">
        <f t="shared" si="20"/>
        <v>1.2762986750734986</v>
      </c>
      <c r="Y96">
        <f t="shared" ref="Y96:Y159" si="29">AVERAGE(X67:X96)</f>
        <v>0.66852572938924626</v>
      </c>
      <c r="Z96">
        <f t="shared" si="23"/>
        <v>1.9999000066658868E-3</v>
      </c>
      <c r="AA96">
        <f t="shared" ref="AA96:AA159" si="30">ABS(SUM(Z67:Z96))</f>
        <v>0.40197990133985523</v>
      </c>
      <c r="AB96">
        <f t="shared" si="17"/>
        <v>0.17152142407170501</v>
      </c>
      <c r="AC96">
        <f t="shared" ref="AC96:AC159" si="31">LN((EXP(AB96)-1)*365/30+1)</f>
        <v>1.1867757280287488</v>
      </c>
      <c r="AD96">
        <f t="shared" si="21"/>
        <v>7.271841776743574E-4</v>
      </c>
      <c r="AE96">
        <f t="shared" ref="AE96:AE159" si="32">I96/I67</f>
        <v>1.4692921603985107</v>
      </c>
      <c r="AF96">
        <f t="shared" ref="AF96:AF159" si="33">2*SQRT(AE96)*EXP(SUM(AD67:AD96))/(1+AE96)-1</f>
        <v>-4.1167224384001111E-3</v>
      </c>
    </row>
    <row r="97" spans="1:32" x14ac:dyDescent="0.25">
      <c r="A97" s="6">
        <v>44417.333391203705</v>
      </c>
      <c r="B97">
        <v>273312527.53959274</v>
      </c>
      <c r="C97">
        <v>273299654.05084991</v>
      </c>
      <c r="D97">
        <v>91027.778454655781</v>
      </c>
      <c r="E97">
        <v>819937.58261877298</v>
      </c>
      <c r="F97">
        <v>1.929588697470011E+19</v>
      </c>
      <c r="G97">
        <v>3751</v>
      </c>
      <c r="H97">
        <v>3.1974068481088953E-4</v>
      </c>
      <c r="I97">
        <v>3127.5344286932063</v>
      </c>
      <c r="J97">
        <f t="shared" si="22"/>
        <v>6.2996850209975433E-3</v>
      </c>
      <c r="K97">
        <f t="shared" si="24"/>
        <v>0.20791337703145993</v>
      </c>
      <c r="L97">
        <f t="shared" si="25"/>
        <v>1.1262400394655308</v>
      </c>
      <c r="M97">
        <f t="shared" si="26"/>
        <v>1.0407436428105887</v>
      </c>
      <c r="N97" s="2">
        <v>0.28980101474633213</v>
      </c>
      <c r="O97" s="9">
        <v>0.77598979083399533</v>
      </c>
      <c r="P97">
        <f t="shared" si="18"/>
        <v>1.0805923505945865</v>
      </c>
      <c r="Q97">
        <f t="shared" si="27"/>
        <v>0.42399331937341922</v>
      </c>
      <c r="R97">
        <f t="shared" si="19"/>
        <v>1.3591453106070461</v>
      </c>
      <c r="S97" s="9">
        <f t="shared" si="28"/>
        <v>0.92513511515053881</v>
      </c>
      <c r="T97">
        <v>1.1959</v>
      </c>
      <c r="U97">
        <v>0.97887000000000013</v>
      </c>
      <c r="V97">
        <v>0.29475459033209755</v>
      </c>
      <c r="W97" s="9">
        <v>0.85262562441288103</v>
      </c>
      <c r="X97">
        <f t="shared" si="20"/>
        <v>1.3573613164944205</v>
      </c>
      <c r="Y97">
        <f t="shared" si="29"/>
        <v>0.68792028036050268</v>
      </c>
      <c r="Z97">
        <f t="shared" si="23"/>
        <v>6.2996850209975433E-3</v>
      </c>
      <c r="AA97">
        <f t="shared" si="30"/>
        <v>0.39108044630352584</v>
      </c>
      <c r="AB97">
        <f t="shared" si="17"/>
        <v>0.17810776142699153</v>
      </c>
      <c r="AC97">
        <f t="shared" si="31"/>
        <v>1.2154886492485866</v>
      </c>
      <c r="AD97">
        <f t="shared" si="21"/>
        <v>7.9366035115303001E-4</v>
      </c>
      <c r="AE97">
        <f t="shared" si="32"/>
        <v>1.4719391355036249</v>
      </c>
      <c r="AF97">
        <f t="shared" si="33"/>
        <v>-4.1196445787200497E-3</v>
      </c>
    </row>
    <row r="98" spans="1:32" x14ac:dyDescent="0.25">
      <c r="A98" s="6">
        <v>44418.333460648151</v>
      </c>
      <c r="B98">
        <v>343657219.99753189</v>
      </c>
      <c r="C98">
        <v>343537325.46098328</v>
      </c>
      <c r="D98">
        <v>109971.94391073845</v>
      </c>
      <c r="E98">
        <v>1030971.659992598</v>
      </c>
      <c r="F98">
        <v>2.3568203621732602E+19</v>
      </c>
      <c r="G98">
        <v>3742</v>
      </c>
      <c r="H98">
        <v>3.194530620251265E-4</v>
      </c>
      <c r="I98">
        <v>3130.350335854177</v>
      </c>
      <c r="J98">
        <f t="shared" si="22"/>
        <v>8.9995500299990385E-4</v>
      </c>
      <c r="K98">
        <f t="shared" si="24"/>
        <v>0.20623253673202313</v>
      </c>
      <c r="L98">
        <f t="shared" si="25"/>
        <v>1.1229819059742399</v>
      </c>
      <c r="M98">
        <f t="shared" si="26"/>
        <v>1.0502269653194918</v>
      </c>
      <c r="N98" s="2">
        <v>0.2867751710964811</v>
      </c>
      <c r="O98" s="9">
        <v>0.77971461522660146</v>
      </c>
      <c r="P98">
        <f t="shared" si="18"/>
        <v>1.0693330065815445</v>
      </c>
      <c r="Q98">
        <f t="shared" si="27"/>
        <v>0.45963775292613734</v>
      </c>
      <c r="R98">
        <f t="shared" si="19"/>
        <v>1.3502108080393653</v>
      </c>
      <c r="S98" s="9">
        <f t="shared" si="28"/>
        <v>0.9521239559990502</v>
      </c>
      <c r="T98">
        <v>1.0619000000000001</v>
      </c>
      <c r="U98">
        <v>0.98604999999999998</v>
      </c>
      <c r="V98">
        <v>0.29475459033209755</v>
      </c>
      <c r="W98" s="9">
        <v>0.86061491040291427</v>
      </c>
      <c r="X98">
        <f t="shared" si="20"/>
        <v>1.3446181893132894</v>
      </c>
      <c r="Y98">
        <f t="shared" si="29"/>
        <v>0.73274088667094572</v>
      </c>
      <c r="Z98">
        <f t="shared" si="23"/>
        <v>8.9995500299990385E-4</v>
      </c>
      <c r="AA98">
        <f t="shared" si="30"/>
        <v>0.38748062629152707</v>
      </c>
      <c r="AB98">
        <f t="shared" ref="AB98:AB161" si="34">AVERAGE(AA69:AA98)</f>
        <v>0.18603736495342199</v>
      </c>
      <c r="AC98">
        <f t="shared" si="31"/>
        <v>1.2492382067292926</v>
      </c>
      <c r="AD98">
        <f t="shared" si="21"/>
        <v>7.8537691106332923E-4</v>
      </c>
      <c r="AE98">
        <f t="shared" si="32"/>
        <v>1.4892610931680015</v>
      </c>
      <c r="AF98">
        <f t="shared" si="33"/>
        <v>-4.7262416082110015E-3</v>
      </c>
    </row>
    <row r="99" spans="1:32" x14ac:dyDescent="0.25">
      <c r="A99" s="6">
        <v>44419.333703703705</v>
      </c>
      <c r="B99">
        <v>182531937.50097275</v>
      </c>
      <c r="C99">
        <v>182561879.7937088</v>
      </c>
      <c r="D99">
        <v>57742.26957850717</v>
      </c>
      <c r="E99">
        <v>547595.81250292063</v>
      </c>
      <c r="F99">
        <v>1.9909564762577678E+19</v>
      </c>
      <c r="G99">
        <v>3735</v>
      </c>
      <c r="H99">
        <v>3.1041552004684551E-4</v>
      </c>
      <c r="I99">
        <v>3221.4884096294145</v>
      </c>
      <c r="J99">
        <f t="shared" si="22"/>
        <v>2.8698565095656148E-2</v>
      </c>
      <c r="K99">
        <f t="shared" si="24"/>
        <v>0.22496460092627535</v>
      </c>
      <c r="L99">
        <f t="shared" si="25"/>
        <v>0.46655393266355727</v>
      </c>
      <c r="M99">
        <f t="shared" si="26"/>
        <v>1.040994881317848</v>
      </c>
      <c r="N99" s="2">
        <v>0.18082148242213608</v>
      </c>
      <c r="O99" s="9">
        <v>0.7473040838784224</v>
      </c>
      <c r="P99">
        <f t="shared" si="18"/>
        <v>0.54391503892608584</v>
      </c>
      <c r="Q99">
        <f t="shared" si="27"/>
        <v>0.47776825422367353</v>
      </c>
      <c r="R99">
        <f t="shared" si="19"/>
        <v>0.98764351704021003</v>
      </c>
      <c r="S99" s="9">
        <f t="shared" si="28"/>
        <v>0.97372131986602239</v>
      </c>
      <c r="T99">
        <v>0.99780000000000002</v>
      </c>
      <c r="U99">
        <v>0.99009999999999998</v>
      </c>
      <c r="V99">
        <v>0.29958652646561978</v>
      </c>
      <c r="W99" s="9">
        <v>0.86249822522294473</v>
      </c>
      <c r="X99">
        <f t="shared" si="20"/>
        <v>0.95992443137748984</v>
      </c>
      <c r="Y99">
        <f t="shared" si="29"/>
        <v>0.7647383677168621</v>
      </c>
      <c r="Z99">
        <f t="shared" si="23"/>
        <v>2.8698565095656148E-2</v>
      </c>
      <c r="AA99">
        <f t="shared" si="30"/>
        <v>0.42697865142317942</v>
      </c>
      <c r="AB99">
        <f t="shared" si="34"/>
        <v>0.1960868624869184</v>
      </c>
      <c r="AC99">
        <f t="shared" si="31"/>
        <v>1.2908006733224671</v>
      </c>
      <c r="AD99">
        <f t="shared" si="21"/>
        <v>4.9527865098216058E-4</v>
      </c>
      <c r="AE99">
        <f t="shared" si="32"/>
        <v>1.6094237675633731</v>
      </c>
      <c r="AF99">
        <f t="shared" si="33"/>
        <v>-1.270703440933707E-2</v>
      </c>
    </row>
    <row r="100" spans="1:32" x14ac:dyDescent="0.25">
      <c r="A100" s="6">
        <v>44420.333622685182</v>
      </c>
      <c r="B100">
        <v>152855844.26236725</v>
      </c>
      <c r="C100">
        <v>152791659.43721008</v>
      </c>
      <c r="D100">
        <v>47989.045054620132</v>
      </c>
      <c r="E100">
        <v>458567.53278709948</v>
      </c>
      <c r="F100">
        <v>2.2204993540544143E+19</v>
      </c>
      <c r="G100">
        <v>3744</v>
      </c>
      <c r="H100">
        <v>3.2227651276428115E-4</v>
      </c>
      <c r="I100">
        <v>3102.9254704993596</v>
      </c>
      <c r="J100">
        <f t="shared" si="22"/>
        <v>-3.7498125124986632E-2</v>
      </c>
      <c r="K100">
        <f t="shared" si="24"/>
        <v>0.23037095404012295</v>
      </c>
      <c r="L100">
        <f t="shared" si="25"/>
        <v>0</v>
      </c>
      <c r="M100">
        <f t="shared" si="26"/>
        <v>1.0072057206376708</v>
      </c>
      <c r="N100" s="2">
        <v>0.1322412007161653</v>
      </c>
      <c r="O100" s="9">
        <v>0.73768994010405131</v>
      </c>
      <c r="P100">
        <f t="shared" si="18"/>
        <v>0</v>
      </c>
      <c r="Q100">
        <f t="shared" si="27"/>
        <v>0.47776825422367353</v>
      </c>
      <c r="R100">
        <f t="shared" si="19"/>
        <v>0.76602706421104294</v>
      </c>
      <c r="S100" s="9">
        <f t="shared" si="28"/>
        <v>0.9726582373842777</v>
      </c>
      <c r="T100">
        <v>1.0327999999999999</v>
      </c>
      <c r="U100">
        <v>0.99290333333333336</v>
      </c>
      <c r="V100">
        <v>0.28241408847105337</v>
      </c>
      <c r="W100" s="9">
        <v>0.85152778058616696</v>
      </c>
      <c r="X100">
        <f t="shared" si="20"/>
        <v>0.72445430850204351</v>
      </c>
      <c r="Y100">
        <f t="shared" si="29"/>
        <v>0.78888684466693015</v>
      </c>
      <c r="Z100">
        <f t="shared" si="23"/>
        <v>-3.7498125124986632E-2</v>
      </c>
      <c r="AA100">
        <f t="shared" si="30"/>
        <v>0.43837808146117524</v>
      </c>
      <c r="AB100">
        <f t="shared" si="34"/>
        <v>0.20520640651731506</v>
      </c>
      <c r="AC100">
        <f t="shared" si="31"/>
        <v>1.3274209893868427</v>
      </c>
      <c r="AD100">
        <f t="shared" si="21"/>
        <v>3.6223904301141825E-4</v>
      </c>
      <c r="AE100">
        <f t="shared" si="32"/>
        <v>1.5895911209791689</v>
      </c>
      <c r="AF100">
        <f t="shared" si="33"/>
        <v>-1.1311341409953823E-2</v>
      </c>
    </row>
    <row r="101" spans="1:32" x14ac:dyDescent="0.25">
      <c r="A101" s="6">
        <v>44421.333344907405</v>
      </c>
      <c r="B101">
        <v>203069034.58288956</v>
      </c>
      <c r="C101">
        <v>203095788.71022797</v>
      </c>
      <c r="D101">
        <v>66138.484496425837</v>
      </c>
      <c r="E101">
        <v>609207.10374867171</v>
      </c>
      <c r="F101">
        <v>2.0756421931321012E+19</v>
      </c>
      <c r="G101">
        <v>3755</v>
      </c>
      <c r="H101">
        <v>3.0995026905441175E-4</v>
      </c>
      <c r="I101">
        <v>3226.3240262729055</v>
      </c>
      <c r="J101">
        <f t="shared" si="22"/>
        <v>3.8998050129986118E-2</v>
      </c>
      <c r="K101">
        <f t="shared" si="24"/>
        <v>0.26371210405146467</v>
      </c>
      <c r="L101">
        <f t="shared" si="25"/>
        <v>0</v>
      </c>
      <c r="M101">
        <f t="shared" si="26"/>
        <v>0.96517466430435861</v>
      </c>
      <c r="N101" s="2">
        <v>0.19881328215471905</v>
      </c>
      <c r="O101" s="9">
        <v>0.77916647648883341</v>
      </c>
      <c r="P101">
        <f t="shared" si="18"/>
        <v>0.66315757360572247</v>
      </c>
      <c r="Q101">
        <f t="shared" si="27"/>
        <v>0.47275656611180794</v>
      </c>
      <c r="R101">
        <f t="shared" si="19"/>
        <v>1.0580047800516874</v>
      </c>
      <c r="S101" s="9">
        <f t="shared" si="28"/>
        <v>0.96931890719519787</v>
      </c>
      <c r="T101">
        <v>1.0354999999999999</v>
      </c>
      <c r="U101">
        <v>0.9979566666666666</v>
      </c>
      <c r="V101">
        <v>0.26220227605081248</v>
      </c>
      <c r="W101" s="9">
        <v>0.83753263669597022</v>
      </c>
      <c r="X101">
        <f t="shared" si="20"/>
        <v>1.0121045003203286</v>
      </c>
      <c r="Y101">
        <f t="shared" si="29"/>
        <v>0.79677617034285497</v>
      </c>
      <c r="Z101">
        <f t="shared" si="23"/>
        <v>3.8998050129986118E-2</v>
      </c>
      <c r="AA101">
        <f t="shared" si="30"/>
        <v>0.50247487667481872</v>
      </c>
      <c r="AB101">
        <f t="shared" si="34"/>
        <v>0.21389930521295636</v>
      </c>
      <c r="AC101">
        <f t="shared" si="31"/>
        <v>1.361418741281778</v>
      </c>
      <c r="AD101">
        <f t="shared" si="21"/>
        <v>5.4454563182290065E-4</v>
      </c>
      <c r="AE101">
        <f t="shared" si="32"/>
        <v>1.684677114059302</v>
      </c>
      <c r="AF101">
        <f t="shared" si="33"/>
        <v>-1.829430299843493E-2</v>
      </c>
    </row>
    <row r="102" spans="1:32" x14ac:dyDescent="0.25">
      <c r="A102" s="6">
        <v>44422.333356481482</v>
      </c>
      <c r="B102">
        <v>120962764.68085098</v>
      </c>
      <c r="C102">
        <v>120977048.77158356</v>
      </c>
      <c r="D102">
        <v>37085.100406296551</v>
      </c>
      <c r="E102">
        <v>362888.29404254258</v>
      </c>
      <c r="F102">
        <v>2.1298984107876614E+19</v>
      </c>
      <c r="G102">
        <v>3746</v>
      </c>
      <c r="H102">
        <v>3.0896006287773763E-4</v>
      </c>
      <c r="I102">
        <v>3236.6642817383236</v>
      </c>
      <c r="J102">
        <f t="shared" si="22"/>
        <v>3.1998400106655316E-3</v>
      </c>
      <c r="K102">
        <f t="shared" si="24"/>
        <v>0.27424061883901379</v>
      </c>
      <c r="L102">
        <f t="shared" si="25"/>
        <v>0</v>
      </c>
      <c r="M102">
        <f t="shared" si="26"/>
        <v>0.92887269262072936</v>
      </c>
      <c r="N102" s="2">
        <v>0.10881256609140465</v>
      </c>
      <c r="O102" s="9">
        <v>0.75952742825357666</v>
      </c>
      <c r="P102">
        <f t="shared" si="18"/>
        <v>0</v>
      </c>
      <c r="Q102">
        <f t="shared" si="27"/>
        <v>0.45155310511643587</v>
      </c>
      <c r="R102">
        <f t="shared" si="19"/>
        <v>0.63195600013426889</v>
      </c>
      <c r="S102" s="9">
        <f t="shared" si="28"/>
        <v>0.95567541105037934</v>
      </c>
      <c r="T102">
        <v>0.95889999999999997</v>
      </c>
      <c r="U102">
        <v>0.99998666666666669</v>
      </c>
      <c r="V102">
        <v>0.25834970929861423</v>
      </c>
      <c r="W102" s="9">
        <v>0.82961145369166578</v>
      </c>
      <c r="X102">
        <f t="shared" si="20"/>
        <v>0.54518648972676587</v>
      </c>
      <c r="Y102">
        <f t="shared" si="29"/>
        <v>0.79556822203914523</v>
      </c>
      <c r="Z102">
        <f t="shared" si="23"/>
        <v>3.1998400106655316E-3</v>
      </c>
      <c r="AA102">
        <f t="shared" si="30"/>
        <v>0.52477376174914436</v>
      </c>
      <c r="AB102">
        <f t="shared" si="34"/>
        <v>0.22150225840496468</v>
      </c>
      <c r="AC102">
        <f t="shared" si="31"/>
        <v>1.3904670956986231</v>
      </c>
      <c r="AD102">
        <f t="shared" si="21"/>
        <v>2.9807219149866168E-4</v>
      </c>
      <c r="AE102">
        <f t="shared" si="32"/>
        <v>1.741196066899108</v>
      </c>
      <c r="AF102">
        <f t="shared" si="33"/>
        <v>-2.2769629516825374E-2</v>
      </c>
    </row>
    <row r="103" spans="1:32" x14ac:dyDescent="0.25">
      <c r="A103" s="6">
        <v>44423.333344907405</v>
      </c>
      <c r="B103">
        <v>126737606.38712311</v>
      </c>
      <c r="C103">
        <v>126699422.1687851</v>
      </c>
      <c r="D103">
        <v>39470.803097175434</v>
      </c>
      <c r="E103">
        <v>380212.8191613704</v>
      </c>
      <c r="F103">
        <v>2.1374878163116618E+19</v>
      </c>
      <c r="G103">
        <v>3744</v>
      </c>
      <c r="H103">
        <v>3.1678102815658565E-4</v>
      </c>
      <c r="I103">
        <v>3156.7547015653272</v>
      </c>
      <c r="J103">
        <f t="shared" si="22"/>
        <v>-2.4998750083324466E-2</v>
      </c>
      <c r="K103">
        <f t="shared" si="24"/>
        <v>0.27633651350177962</v>
      </c>
      <c r="L103">
        <f t="shared" si="25"/>
        <v>0</v>
      </c>
      <c r="M103">
        <f t="shared" si="26"/>
        <v>0.89060874017697433</v>
      </c>
      <c r="N103" s="2">
        <v>0.11396785853864731</v>
      </c>
      <c r="O103" s="9">
        <v>0.74972525687846359</v>
      </c>
      <c r="P103">
        <f t="shared" si="18"/>
        <v>0</v>
      </c>
      <c r="Q103">
        <f t="shared" si="27"/>
        <v>0.42776914603226801</v>
      </c>
      <c r="R103">
        <f t="shared" si="19"/>
        <v>0.66378515024339424</v>
      </c>
      <c r="S103" s="9">
        <f t="shared" si="28"/>
        <v>0.94145899696246016</v>
      </c>
      <c r="T103">
        <v>0.95330000000000004</v>
      </c>
      <c r="U103">
        <v>1.0027733333333333</v>
      </c>
      <c r="V103">
        <v>0.25834970929861423</v>
      </c>
      <c r="W103" s="9">
        <v>0.83767658375629461</v>
      </c>
      <c r="X103">
        <f t="shared" si="20"/>
        <v>0.59563294567453995</v>
      </c>
      <c r="Y103">
        <f t="shared" si="29"/>
        <v>0.79073593447118873</v>
      </c>
      <c r="Z103">
        <f t="shared" si="23"/>
        <v>-2.4998750083324466E-2</v>
      </c>
      <c r="AA103">
        <f t="shared" si="30"/>
        <v>0.52957352176514227</v>
      </c>
      <c r="AB103">
        <f t="shared" si="34"/>
        <v>0.2297085147656506</v>
      </c>
      <c r="AC103">
        <f t="shared" si="31"/>
        <v>1.4211394738277372</v>
      </c>
      <c r="AD103">
        <f t="shared" si="21"/>
        <v>3.1219197134002216E-4</v>
      </c>
      <c r="AE103">
        <f t="shared" si="32"/>
        <v>1.6951540332192714</v>
      </c>
      <c r="AF103">
        <f t="shared" si="33"/>
        <v>-1.9555547337315571E-2</v>
      </c>
    </row>
    <row r="104" spans="1:32" x14ac:dyDescent="0.25">
      <c r="A104" s="6">
        <v>44424.333356481482</v>
      </c>
      <c r="B104">
        <v>105287848.40917587</v>
      </c>
      <c r="C104">
        <v>105343645.12316132</v>
      </c>
      <c r="D104">
        <v>32607.901418315247</v>
      </c>
      <c r="E104">
        <v>315863.54522752762</v>
      </c>
      <c r="F104">
        <v>2.150087128595071E+19</v>
      </c>
      <c r="G104">
        <v>3751</v>
      </c>
      <c r="H104">
        <v>3.0314552542179114E-4</v>
      </c>
      <c r="I104">
        <v>3298.7457050821326</v>
      </c>
      <c r="J104">
        <f t="shared" si="22"/>
        <v>4.3997800146650667E-2</v>
      </c>
      <c r="K104">
        <f t="shared" si="24"/>
        <v>0.29852893905743166</v>
      </c>
      <c r="L104">
        <f t="shared" si="25"/>
        <v>0</v>
      </c>
      <c r="M104">
        <f t="shared" si="26"/>
        <v>0.85690357027719088</v>
      </c>
      <c r="N104" s="2">
        <v>9.5682136440380164E-2</v>
      </c>
      <c r="O104" s="9">
        <v>0.78441316350974077</v>
      </c>
      <c r="P104">
        <f t="shared" si="18"/>
        <v>0</v>
      </c>
      <c r="Q104">
        <f t="shared" si="27"/>
        <v>0.41407836244647062</v>
      </c>
      <c r="R104">
        <f t="shared" si="19"/>
        <v>0.54251723373318583</v>
      </c>
      <c r="S104" s="9">
        <f t="shared" si="28"/>
        <v>0.92884201901072638</v>
      </c>
      <c r="T104">
        <v>0.93799999999999994</v>
      </c>
      <c r="U104">
        <v>1.0058866666666666</v>
      </c>
      <c r="V104">
        <v>0.27429604414082048</v>
      </c>
      <c r="W104" s="9">
        <v>0.84936549015393226</v>
      </c>
      <c r="X104">
        <f t="shared" si="20"/>
        <v>0.388709200656636</v>
      </c>
      <c r="Y104">
        <f t="shared" si="29"/>
        <v>0.78897786844703532</v>
      </c>
      <c r="Z104">
        <f t="shared" si="23"/>
        <v>4.3997800146650667E-2</v>
      </c>
      <c r="AA104">
        <f t="shared" si="30"/>
        <v>0.57177141190579372</v>
      </c>
      <c r="AB104">
        <f t="shared" si="34"/>
        <v>0.23985800729948029</v>
      </c>
      <c r="AC104">
        <f t="shared" si="31"/>
        <v>1.4581502564818805</v>
      </c>
      <c r="AD104">
        <f t="shared" si="21"/>
        <v>2.6210848613197934E-4</v>
      </c>
      <c r="AE104">
        <f t="shared" si="32"/>
        <v>1.6821521188556847</v>
      </c>
      <c r="AF104">
        <f t="shared" si="33"/>
        <v>-1.8774408042179558E-2</v>
      </c>
    </row>
    <row r="105" spans="1:32" x14ac:dyDescent="0.25">
      <c r="A105" s="6">
        <v>44425.333333333336</v>
      </c>
      <c r="B105">
        <v>168228941.8735733</v>
      </c>
      <c r="C105">
        <v>168187570.84833908</v>
      </c>
      <c r="D105">
        <v>52544.95293219015</v>
      </c>
      <c r="E105">
        <v>504686.82562072575</v>
      </c>
      <c r="F105">
        <v>2.1561591778347975E+19</v>
      </c>
      <c r="G105">
        <v>3749</v>
      </c>
      <c r="H105">
        <v>3.0652901521246756E-4</v>
      </c>
      <c r="I105">
        <v>3262.333907629788</v>
      </c>
      <c r="J105">
        <f t="shared" si="22"/>
        <v>-1.1099445036995894E-2</v>
      </c>
      <c r="K105">
        <f t="shared" si="24"/>
        <v>0.26804544242859185</v>
      </c>
      <c r="L105">
        <f t="shared" si="25"/>
        <v>0</v>
      </c>
      <c r="M105">
        <f t="shared" si="26"/>
        <v>0.83045879013313839</v>
      </c>
      <c r="N105" s="2">
        <v>0.1528987898063239</v>
      </c>
      <c r="O105" s="9">
        <v>0.81229968212294945</v>
      </c>
      <c r="P105">
        <f t="shared" si="18"/>
        <v>0.2691877200829712</v>
      </c>
      <c r="Q105">
        <f t="shared" si="27"/>
        <v>0.42305128644923629</v>
      </c>
      <c r="R105">
        <f t="shared" si="19"/>
        <v>0.86721287803229619</v>
      </c>
      <c r="S105" s="9">
        <f t="shared" si="28"/>
        <v>0.94109099522603623</v>
      </c>
      <c r="T105">
        <v>0.96079999999999999</v>
      </c>
      <c r="U105">
        <v>1.0088099999999998</v>
      </c>
      <c r="V105">
        <v>0.29092094496034698</v>
      </c>
      <c r="W105" s="9">
        <v>0.85739916435117525</v>
      </c>
      <c r="X105">
        <f t="shared" si="20"/>
        <v>0.75941226108306603</v>
      </c>
      <c r="Y105">
        <f t="shared" si="29"/>
        <v>0.81429161048313747</v>
      </c>
      <c r="Z105">
        <f t="shared" si="23"/>
        <v>-1.1099445036995894E-2</v>
      </c>
      <c r="AA105">
        <f t="shared" si="30"/>
        <v>0.5089745516964832</v>
      </c>
      <c r="AB105">
        <f t="shared" si="34"/>
        <v>0.25124410467076502</v>
      </c>
      <c r="AC105">
        <f t="shared" si="31"/>
        <v>1.498526564412493</v>
      </c>
      <c r="AD105">
        <f t="shared" si="21"/>
        <v>4.1881307954718256E-4</v>
      </c>
      <c r="AE105">
        <f t="shared" si="32"/>
        <v>1.7500984033941074</v>
      </c>
      <c r="AF105">
        <f t="shared" si="33"/>
        <v>-2.3713410307851901E-2</v>
      </c>
    </row>
    <row r="106" spans="1:32" x14ac:dyDescent="0.25">
      <c r="A106" s="6">
        <v>44426.333391203705</v>
      </c>
      <c r="B106">
        <v>245016092.74258423</v>
      </c>
      <c r="C106">
        <v>244886815.16116714</v>
      </c>
      <c r="D106">
        <v>79785.351245364174</v>
      </c>
      <c r="E106">
        <v>735048.27822776139</v>
      </c>
      <c r="F106">
        <v>2.0858240324218941E+19</v>
      </c>
      <c r="G106">
        <v>3754</v>
      </c>
      <c r="H106">
        <v>3.3325509156164322E-4</v>
      </c>
      <c r="I106">
        <v>3000.7043412719381</v>
      </c>
      <c r="J106">
        <f t="shared" si="22"/>
        <v>-8.3595820278636573E-2</v>
      </c>
      <c r="K106">
        <f t="shared" si="24"/>
        <v>0.25076952850601603</v>
      </c>
      <c r="L106">
        <f t="shared" si="25"/>
        <v>0.56136805355481945</v>
      </c>
      <c r="M106">
        <f t="shared" si="26"/>
        <v>0.81777357532245487</v>
      </c>
      <c r="N106" s="2">
        <v>0.23016895850976576</v>
      </c>
      <c r="O106" s="9">
        <v>0.78714437706599782</v>
      </c>
      <c r="P106">
        <f t="shared" si="18"/>
        <v>0.83103753120482049</v>
      </c>
      <c r="Q106">
        <f t="shared" si="27"/>
        <v>0.45075253748939698</v>
      </c>
      <c r="R106">
        <f t="shared" si="19"/>
        <v>1.1705637639413724</v>
      </c>
      <c r="S106" s="9">
        <f t="shared" si="28"/>
        <v>0.95584368933749475</v>
      </c>
      <c r="T106">
        <v>0.91220000000000001</v>
      </c>
      <c r="U106">
        <v>1.0055866666666664</v>
      </c>
      <c r="V106">
        <v>0.29326574049300319</v>
      </c>
      <c r="W106" s="9">
        <v>0.85897495017353509</v>
      </c>
      <c r="X106">
        <f t="shared" si="20"/>
        <v>1.1336677098039194</v>
      </c>
      <c r="Y106">
        <f t="shared" si="29"/>
        <v>0.85208053414326812</v>
      </c>
      <c r="Z106">
        <f t="shared" si="23"/>
        <v>-8.3595820278636573E-2</v>
      </c>
      <c r="AA106">
        <f t="shared" si="30"/>
        <v>0.47607619658682854</v>
      </c>
      <c r="AB106">
        <f t="shared" si="34"/>
        <v>0.26104361470342813</v>
      </c>
      <c r="AC106">
        <f t="shared" si="31"/>
        <v>1.5323679755026003</v>
      </c>
      <c r="AD106">
        <f t="shared" si="21"/>
        <v>6.3040114176756649E-4</v>
      </c>
      <c r="AE106">
        <f t="shared" si="32"/>
        <v>1.7104785100178594</v>
      </c>
      <c r="AF106">
        <f t="shared" si="33"/>
        <v>-2.043766400701863E-2</v>
      </c>
    </row>
    <row r="107" spans="1:32" x14ac:dyDescent="0.25">
      <c r="A107" s="6">
        <v>44427.333472222221</v>
      </c>
      <c r="B107">
        <v>156369823.13247299</v>
      </c>
      <c r="C107">
        <v>156344462.06686401</v>
      </c>
      <c r="D107">
        <v>51644.777318753302</v>
      </c>
      <c r="E107">
        <v>469109.46939741075</v>
      </c>
      <c r="F107">
        <v>2.094741289181123E+19</v>
      </c>
      <c r="G107">
        <v>3768</v>
      </c>
      <c r="H107">
        <v>3.3526053214639161E-4</v>
      </c>
      <c r="I107">
        <v>2982.7549148056287</v>
      </c>
      <c r="J107">
        <f t="shared" si="22"/>
        <v>-5.9997000199977536E-3</v>
      </c>
      <c r="K107">
        <f t="shared" si="24"/>
        <v>0.27811381823598813</v>
      </c>
      <c r="L107">
        <f t="shared" si="25"/>
        <v>0</v>
      </c>
      <c r="M107">
        <f t="shared" si="26"/>
        <v>0.77277553326866577</v>
      </c>
      <c r="N107" s="2">
        <v>0.14790895067841689</v>
      </c>
      <c r="O107" s="9">
        <v>0.7870101128759186</v>
      </c>
      <c r="P107">
        <f t="shared" si="18"/>
        <v>0.1803976596860723</v>
      </c>
      <c r="Q107">
        <f t="shared" si="27"/>
        <v>0.42757939020008534</v>
      </c>
      <c r="R107">
        <f t="shared" si="19"/>
        <v>0.84388355997839071</v>
      </c>
      <c r="S107" s="9">
        <f t="shared" si="28"/>
        <v>0.94388632395696637</v>
      </c>
      <c r="T107">
        <v>0.94189999999999996</v>
      </c>
      <c r="U107">
        <v>1.0022799999999998</v>
      </c>
      <c r="V107">
        <v>0.30138560443851642</v>
      </c>
      <c r="W107" s="9">
        <v>0.86223002111521596</v>
      </c>
      <c r="X107">
        <f t="shared" si="20"/>
        <v>0.75977577657598616</v>
      </c>
      <c r="Y107">
        <f t="shared" si="29"/>
        <v>0.84646211238100633</v>
      </c>
      <c r="Z107">
        <f t="shared" si="23"/>
        <v>-5.9997000199977536E-3</v>
      </c>
      <c r="AA107">
        <f t="shared" si="30"/>
        <v>0.53077346176914209</v>
      </c>
      <c r="AB107">
        <f t="shared" si="34"/>
        <v>0.27308301274355712</v>
      </c>
      <c r="AC107">
        <f t="shared" si="31"/>
        <v>1.5728666051846183</v>
      </c>
      <c r="AD107">
        <f t="shared" si="21"/>
        <v>4.0514791835583866E-4</v>
      </c>
      <c r="AE107">
        <f t="shared" si="32"/>
        <v>1.5653001527442751</v>
      </c>
      <c r="AF107">
        <f t="shared" si="33"/>
        <v>-1.0146930674119314E-2</v>
      </c>
    </row>
    <row r="108" spans="1:32" x14ac:dyDescent="0.25">
      <c r="A108" s="6">
        <v>44428.333541666667</v>
      </c>
      <c r="B108">
        <v>117479943.09649658</v>
      </c>
      <c r="C108">
        <v>117566873.31160736</v>
      </c>
      <c r="D108">
        <v>37372.825311936438</v>
      </c>
      <c r="E108">
        <v>352439.82928948104</v>
      </c>
      <c r="F108">
        <v>2.2122926755037069E+19</v>
      </c>
      <c r="G108">
        <v>3779</v>
      </c>
      <c r="H108">
        <v>3.1147267610503906E-4</v>
      </c>
      <c r="I108">
        <v>3210.5544939125457</v>
      </c>
      <c r="J108">
        <f t="shared" si="22"/>
        <v>7.3596320245306518E-2</v>
      </c>
      <c r="K108">
        <f t="shared" si="24"/>
        <v>0.27152977963141262</v>
      </c>
      <c r="L108">
        <f t="shared" si="25"/>
        <v>0</v>
      </c>
      <c r="M108">
        <f t="shared" si="26"/>
        <v>0.73717915357935504</v>
      </c>
      <c r="N108" s="2">
        <v>0.10514606573759566</v>
      </c>
      <c r="O108" s="9">
        <v>0.72137643992878164</v>
      </c>
      <c r="P108">
        <f t="shared" si="18"/>
        <v>0</v>
      </c>
      <c r="Q108">
        <f t="shared" si="27"/>
        <v>0.42757939020008534</v>
      </c>
      <c r="R108">
        <f t="shared" si="19"/>
        <v>0.60830615916266395</v>
      </c>
      <c r="S108" s="9">
        <f t="shared" si="28"/>
        <v>0.93689366759609849</v>
      </c>
      <c r="T108">
        <v>0.88170000000000004</v>
      </c>
      <c r="U108">
        <v>0.99863999999999975</v>
      </c>
      <c r="V108">
        <v>0.30138560443851642</v>
      </c>
      <c r="W108" s="9">
        <v>0.86069870195565779</v>
      </c>
      <c r="X108">
        <f t="shared" si="20"/>
        <v>0.57017105179776739</v>
      </c>
      <c r="Y108">
        <f t="shared" si="29"/>
        <v>0.84812611035753327</v>
      </c>
      <c r="Z108">
        <f t="shared" si="23"/>
        <v>7.3596320245306518E-2</v>
      </c>
      <c r="AA108">
        <f t="shared" si="30"/>
        <v>0.52167391673881192</v>
      </c>
      <c r="AB108">
        <f t="shared" si="34"/>
        <v>0.28930553496429573</v>
      </c>
      <c r="AC108">
        <f t="shared" si="31"/>
        <v>1.6256877880710909</v>
      </c>
      <c r="AD108">
        <f t="shared" si="21"/>
        <v>2.880299283771573E-4</v>
      </c>
      <c r="AE108">
        <f t="shared" si="32"/>
        <v>1.6220257266145406</v>
      </c>
      <c r="AF108">
        <f t="shared" si="33"/>
        <v>-1.4270989102288856E-2</v>
      </c>
    </row>
    <row r="109" spans="1:32" x14ac:dyDescent="0.25">
      <c r="A109" s="6">
        <v>44429.333761574075</v>
      </c>
      <c r="B109">
        <v>81860774.254051208</v>
      </c>
      <c r="C109">
        <v>81872953.456142426</v>
      </c>
      <c r="D109">
        <v>25059.337366709486</v>
      </c>
      <c r="E109">
        <v>245582.32276216149</v>
      </c>
      <c r="F109">
        <v>2.3899669668342493E+19</v>
      </c>
      <c r="G109">
        <v>3774</v>
      </c>
      <c r="H109">
        <v>3.0723480800899904E-4</v>
      </c>
      <c r="I109">
        <v>3254.8395361853322</v>
      </c>
      <c r="J109">
        <f t="shared" si="22"/>
        <v>1.3699315045661877E-2</v>
      </c>
      <c r="K109">
        <f t="shared" si="24"/>
        <v>0.2596934010007842</v>
      </c>
      <c r="L109">
        <f t="shared" si="25"/>
        <v>0</v>
      </c>
      <c r="M109">
        <f t="shared" si="26"/>
        <v>0.68682690748087316</v>
      </c>
      <c r="N109" s="2">
        <v>6.5710100424186998E-2</v>
      </c>
      <c r="O109" s="9">
        <v>0.73185880584841256</v>
      </c>
      <c r="P109">
        <f t="shared" si="18"/>
        <v>0</v>
      </c>
      <c r="Q109">
        <f t="shared" si="27"/>
        <v>0.39130072689571488</v>
      </c>
      <c r="R109">
        <f t="shared" si="19"/>
        <v>0.23355654725989355</v>
      </c>
      <c r="S109" s="9">
        <f t="shared" si="28"/>
        <v>0.89916791747492286</v>
      </c>
      <c r="T109">
        <v>0.86419999999999997</v>
      </c>
      <c r="U109">
        <v>0.99640666666666655</v>
      </c>
      <c r="V109">
        <v>0.30138560443851642</v>
      </c>
      <c r="W109" s="9">
        <v>0.8658922385761213</v>
      </c>
      <c r="X109">
        <f t="shared" si="20"/>
        <v>0</v>
      </c>
      <c r="Y109">
        <f t="shared" si="29"/>
        <v>0.80660122177998617</v>
      </c>
      <c r="Z109">
        <f t="shared" si="23"/>
        <v>1.3699315045661877E-2</v>
      </c>
      <c r="AA109">
        <f t="shared" si="30"/>
        <v>0.4973751316578206</v>
      </c>
      <c r="AB109">
        <f t="shared" si="34"/>
        <v>0.30395813567980157</v>
      </c>
      <c r="AC109">
        <f t="shared" si="31"/>
        <v>1.6718021762660709</v>
      </c>
      <c r="AD109">
        <f t="shared" si="21"/>
        <v>1.8001146935833125E-4</v>
      </c>
      <c r="AE109">
        <f t="shared" si="32"/>
        <v>1.57992461128591</v>
      </c>
      <c r="AF109">
        <f t="shared" si="33"/>
        <v>-1.1884352963757561E-2</v>
      </c>
    </row>
    <row r="110" spans="1:32" x14ac:dyDescent="0.25">
      <c r="A110" s="6">
        <v>44430.333715277775</v>
      </c>
      <c r="B110">
        <v>64026817.031616211</v>
      </c>
      <c r="C110">
        <v>64032047.361679077</v>
      </c>
      <c r="D110">
        <v>19669.239367172122</v>
      </c>
      <c r="E110">
        <v>192080.4510948509</v>
      </c>
      <c r="F110">
        <v>2.127086774064366E+19</v>
      </c>
      <c r="G110">
        <v>3770</v>
      </c>
      <c r="H110">
        <v>3.0659032408080026E-4</v>
      </c>
      <c r="I110">
        <v>3261.6815387052311</v>
      </c>
      <c r="J110">
        <f t="shared" si="22"/>
        <v>2.0998950069989553E-3</v>
      </c>
      <c r="K110">
        <f t="shared" si="24"/>
        <v>0.24048445552861406</v>
      </c>
      <c r="L110">
        <f t="shared" si="25"/>
        <v>0</v>
      </c>
      <c r="M110">
        <f t="shared" si="26"/>
        <v>0.65154297365990443</v>
      </c>
      <c r="N110" s="2">
        <v>5.8011325806973345E-2</v>
      </c>
      <c r="O110" s="9">
        <v>0.72316608751104972</v>
      </c>
      <c r="P110">
        <f t="shared" si="18"/>
        <v>0</v>
      </c>
      <c r="Q110">
        <f t="shared" si="27"/>
        <v>0.39130072689571488</v>
      </c>
      <c r="R110">
        <f t="shared" si="19"/>
        <v>0</v>
      </c>
      <c r="S110" s="9">
        <f t="shared" si="28"/>
        <v>0.87174322722749065</v>
      </c>
      <c r="T110">
        <v>0.92059999999999997</v>
      </c>
      <c r="U110">
        <v>0.99754999999999994</v>
      </c>
      <c r="V110">
        <v>0.32136417277205076</v>
      </c>
      <c r="W110" s="9">
        <v>0.8795821589258922</v>
      </c>
      <c r="X110">
        <f t="shared" si="20"/>
        <v>0</v>
      </c>
      <c r="Y110">
        <f t="shared" si="29"/>
        <v>0.78859343728435327</v>
      </c>
      <c r="Z110">
        <f t="shared" si="23"/>
        <v>2.0998950069989553E-3</v>
      </c>
      <c r="AA110">
        <f t="shared" si="30"/>
        <v>0.45947702653150047</v>
      </c>
      <c r="AB110">
        <f t="shared" si="34"/>
        <v>0.31820742322729639</v>
      </c>
      <c r="AC110">
        <f t="shared" si="31"/>
        <v>1.7153066955997411</v>
      </c>
      <c r="AD110">
        <f t="shared" si="21"/>
        <v>1.5892251034615011E-4</v>
      </c>
      <c r="AE110">
        <f t="shared" si="32"/>
        <v>1.5185851991822836</v>
      </c>
      <c r="AF110">
        <f t="shared" si="33"/>
        <v>-7.8945193788926282E-3</v>
      </c>
    </row>
    <row r="111" spans="1:32" x14ac:dyDescent="0.25">
      <c r="A111" s="6">
        <v>44431.333344907405</v>
      </c>
      <c r="B111">
        <v>111428780.64816666</v>
      </c>
      <c r="C111">
        <v>111449119.48628998</v>
      </c>
      <c r="D111">
        <v>34409.293045828119</v>
      </c>
      <c r="E111">
        <v>334286.3419445008</v>
      </c>
      <c r="F111">
        <v>1.8566520169267315E+19</v>
      </c>
      <c r="G111">
        <v>3766</v>
      </c>
      <c r="H111">
        <v>2.9920041319160832E-4</v>
      </c>
      <c r="I111">
        <v>3342.2413737095967</v>
      </c>
      <c r="J111">
        <f t="shared" si="22"/>
        <v>2.4398780081324518E-2</v>
      </c>
      <c r="K111">
        <f t="shared" si="24"/>
        <v>0.23179303242956745</v>
      </c>
      <c r="L111">
        <f t="shared" si="25"/>
        <v>0</v>
      </c>
      <c r="M111">
        <f t="shared" si="26"/>
        <v>0.61881746506815594</v>
      </c>
      <c r="N111" s="2">
        <v>0.11769385732136513</v>
      </c>
      <c r="O111" s="9">
        <v>0.72175634326424465</v>
      </c>
      <c r="P111">
        <f t="shared" si="18"/>
        <v>0</v>
      </c>
      <c r="Q111">
        <f t="shared" si="27"/>
        <v>0.39130072689571488</v>
      </c>
      <c r="R111">
        <f t="shared" si="19"/>
        <v>0.68587077204484226</v>
      </c>
      <c r="S111" s="9">
        <f t="shared" si="28"/>
        <v>0.86898369565347278</v>
      </c>
      <c r="T111">
        <v>0.88090000000000002</v>
      </c>
      <c r="U111">
        <v>0.99673666666666649</v>
      </c>
      <c r="V111">
        <v>0.34738044739451379</v>
      </c>
      <c r="W111" s="9">
        <v>0.8980605407355603</v>
      </c>
      <c r="X111">
        <f t="shared" si="20"/>
        <v>0.65424902553883157</v>
      </c>
      <c r="Y111">
        <f t="shared" si="29"/>
        <v>0.79569335026826882</v>
      </c>
      <c r="Z111">
        <f t="shared" si="23"/>
        <v>2.4398780081324518E-2</v>
      </c>
      <c r="AA111">
        <f t="shared" si="30"/>
        <v>0.44217789147384007</v>
      </c>
      <c r="AB111">
        <f t="shared" si="34"/>
        <v>0.32990350509961441</v>
      </c>
      <c r="AC111">
        <f t="shared" si="31"/>
        <v>1.7500944022175879</v>
      </c>
      <c r="AD111">
        <f t="shared" si="21"/>
        <v>3.2239694868652709E-4</v>
      </c>
      <c r="AE111">
        <f t="shared" si="32"/>
        <v>1.5455475230955322</v>
      </c>
      <c r="AF111">
        <f t="shared" si="33"/>
        <v>-9.7679391276092042E-3</v>
      </c>
    </row>
    <row r="112" spans="1:32" x14ac:dyDescent="0.25">
      <c r="A112" s="6">
        <v>44432.333344907405</v>
      </c>
      <c r="B112">
        <v>74484501.374656677</v>
      </c>
      <c r="C112">
        <v>74466041.837875366</v>
      </c>
      <c r="D112">
        <v>22390.366685478017</v>
      </c>
      <c r="E112">
        <v>223453.50412397087</v>
      </c>
      <c r="F112">
        <v>1.9704635048976941E+19</v>
      </c>
      <c r="G112">
        <v>3745</v>
      </c>
      <c r="H112">
        <v>3.0178450320396947E-4</v>
      </c>
      <c r="I112">
        <v>3313.6227651958725</v>
      </c>
      <c r="J112">
        <f t="shared" si="22"/>
        <v>-8.5995700286634526E-3</v>
      </c>
      <c r="K112">
        <f t="shared" si="24"/>
        <v>0.22493559761508297</v>
      </c>
      <c r="L112">
        <f t="shared" si="25"/>
        <v>0</v>
      </c>
      <c r="M112">
        <f t="shared" si="26"/>
        <v>0.59086226141139531</v>
      </c>
      <c r="N112" s="2">
        <v>7.1851195401775772E-2</v>
      </c>
      <c r="O112" s="9">
        <v>0.74961211479864887</v>
      </c>
      <c r="P112">
        <f t="shared" si="18"/>
        <v>0</v>
      </c>
      <c r="Q112">
        <f t="shared" si="27"/>
        <v>0.39130072689571488</v>
      </c>
      <c r="R112">
        <f t="shared" si="19"/>
        <v>0.321989783360704</v>
      </c>
      <c r="S112" s="9">
        <f t="shared" si="28"/>
        <v>0.85762349459914655</v>
      </c>
      <c r="T112">
        <v>0.89800000000000002</v>
      </c>
      <c r="U112">
        <v>0.9971399999999998</v>
      </c>
      <c r="V112">
        <v>0.33570541257345032</v>
      </c>
      <c r="W112" s="9">
        <v>0.88963039304041991</v>
      </c>
      <c r="X112">
        <f t="shared" si="20"/>
        <v>0.11357009459207845</v>
      </c>
      <c r="Y112">
        <f t="shared" si="29"/>
        <v>0.78610574011462597</v>
      </c>
      <c r="Z112">
        <f t="shared" si="23"/>
        <v>-8.5995700286634526E-3</v>
      </c>
      <c r="AA112">
        <f t="shared" si="30"/>
        <v>0.42677866142251242</v>
      </c>
      <c r="AB112">
        <f t="shared" si="34"/>
        <v>0.33900638329662219</v>
      </c>
      <c r="AC112">
        <f t="shared" si="31"/>
        <v>1.7766266046866863</v>
      </c>
      <c r="AD112">
        <f t="shared" si="21"/>
        <v>1.968332172131479E-4</v>
      </c>
      <c r="AE112">
        <f t="shared" si="32"/>
        <v>1.4123891967049875</v>
      </c>
      <c r="AF112">
        <f t="shared" si="33"/>
        <v>-1.2496946710505163E-3</v>
      </c>
    </row>
    <row r="113" spans="1:32" x14ac:dyDescent="0.25">
      <c r="A113" s="6">
        <v>44433.333356481482</v>
      </c>
      <c r="B113">
        <v>149482448.62274933</v>
      </c>
      <c r="C113">
        <v>149411117.42103958</v>
      </c>
      <c r="D113">
        <v>46835.955645354465</v>
      </c>
      <c r="E113">
        <v>448447.34586824477</v>
      </c>
      <c r="F113">
        <v>2.1471018685875896E+19</v>
      </c>
      <c r="G113">
        <v>3727</v>
      </c>
      <c r="H113">
        <v>3.192933834008947E-4</v>
      </c>
      <c r="I113">
        <v>3131.9158240884422</v>
      </c>
      <c r="J113">
        <f t="shared" si="22"/>
        <v>-5.6397180187979713E-2</v>
      </c>
      <c r="K113">
        <f t="shared" si="24"/>
        <v>0.15598183392982531</v>
      </c>
      <c r="L113">
        <f t="shared" si="25"/>
        <v>0.6937888564906759</v>
      </c>
      <c r="M113">
        <f t="shared" si="26"/>
        <v>0.58296986582281329</v>
      </c>
      <c r="N113" s="2">
        <v>0.13409773169008973</v>
      </c>
      <c r="O113" s="9">
        <v>0.74937800173724778</v>
      </c>
      <c r="P113">
        <f t="shared" si="18"/>
        <v>0</v>
      </c>
      <c r="Q113">
        <f t="shared" si="27"/>
        <v>0.37502351383606813</v>
      </c>
      <c r="R113">
        <f t="shared" si="19"/>
        <v>0.77566082207056508</v>
      </c>
      <c r="S113" s="9">
        <f t="shared" si="28"/>
        <v>0.85154056334557715</v>
      </c>
      <c r="T113">
        <v>0.88760000000000006</v>
      </c>
      <c r="U113">
        <v>0.99296666666666644</v>
      </c>
      <c r="V113">
        <v>0.34039011934842889</v>
      </c>
      <c r="W113" s="9">
        <v>0.89193129829027518</v>
      </c>
      <c r="X113">
        <f t="shared" si="20"/>
        <v>0.72263129216715138</v>
      </c>
      <c r="Y113">
        <f t="shared" si="29"/>
        <v>0.78324048522219702</v>
      </c>
      <c r="Z113">
        <f t="shared" si="23"/>
        <v>-5.6397180187979713E-2</v>
      </c>
      <c r="AA113">
        <f t="shared" si="30"/>
        <v>0.28888555596289539</v>
      </c>
      <c r="AB113">
        <f t="shared" si="34"/>
        <v>0.33988633929955525</v>
      </c>
      <c r="AC113">
        <f t="shared" si="31"/>
        <v>1.7791671172726051</v>
      </c>
      <c r="AD113">
        <f t="shared" si="21"/>
        <v>3.673235741611376E-4</v>
      </c>
      <c r="AE113">
        <f t="shared" si="32"/>
        <v>1.3773811668541978</v>
      </c>
      <c r="AF113">
        <f t="shared" si="33"/>
        <v>7.1018561036884087E-4</v>
      </c>
    </row>
    <row r="114" spans="1:32" x14ac:dyDescent="0.25">
      <c r="A114" s="6">
        <v>44434.333553240744</v>
      </c>
      <c r="B114">
        <v>114203882.98991013</v>
      </c>
      <c r="C114">
        <v>114188967.78128815</v>
      </c>
      <c r="D114">
        <v>36112.021462867036</v>
      </c>
      <c r="E114">
        <v>342611.64896973968</v>
      </c>
      <c r="F114">
        <v>2.0305965140205867E+19</v>
      </c>
      <c r="G114">
        <v>3732</v>
      </c>
      <c r="H114">
        <v>3.2276026607044574E-4</v>
      </c>
      <c r="I114">
        <v>3098.2748036951357</v>
      </c>
      <c r="J114">
        <f t="shared" si="22"/>
        <v>-1.0799460035996127E-2</v>
      </c>
      <c r="K114">
        <f t="shared" si="24"/>
        <v>0.16681140552298945</v>
      </c>
      <c r="L114">
        <f t="shared" si="25"/>
        <v>0.4399773184973737</v>
      </c>
      <c r="M114">
        <f t="shared" si="26"/>
        <v>0.55407648836681189</v>
      </c>
      <c r="N114" s="2">
        <v>0.10873710998495589</v>
      </c>
      <c r="O114" s="9">
        <v>0.76798316845212888</v>
      </c>
      <c r="P114">
        <f t="shared" si="18"/>
        <v>0</v>
      </c>
      <c r="Q114">
        <f t="shared" si="27"/>
        <v>0.34322259162496621</v>
      </c>
      <c r="R114">
        <f t="shared" si="19"/>
        <v>0.63147821597749043</v>
      </c>
      <c r="S114" s="9">
        <f t="shared" si="28"/>
        <v>0.83056121025701979</v>
      </c>
      <c r="T114">
        <v>0.87909999999999999</v>
      </c>
      <c r="U114">
        <v>0.98764999999999981</v>
      </c>
      <c r="V114">
        <v>0.3283792578924204</v>
      </c>
      <c r="W114" s="9">
        <v>0.8864912410708633</v>
      </c>
      <c r="X114">
        <f t="shared" si="20"/>
        <v>0.53233722918210857</v>
      </c>
      <c r="Y114">
        <f t="shared" si="29"/>
        <v>0.76086817884581415</v>
      </c>
      <c r="Z114">
        <f t="shared" si="23"/>
        <v>-1.0799460035996127E-2</v>
      </c>
      <c r="AA114">
        <f t="shared" si="30"/>
        <v>0.30938453103122121</v>
      </c>
      <c r="AB114">
        <f t="shared" si="34"/>
        <v>0.34311284464364289</v>
      </c>
      <c r="AC114">
        <f t="shared" si="31"/>
        <v>1.7884464463159435</v>
      </c>
      <c r="AD114">
        <f t="shared" si="21"/>
        <v>2.9786552402954645E-4</v>
      </c>
      <c r="AE114">
        <f t="shared" si="32"/>
        <v>1.3273518152115209</v>
      </c>
      <c r="AF114">
        <f t="shared" si="33"/>
        <v>3.0763792460362094E-3</v>
      </c>
    </row>
    <row r="115" spans="1:32" x14ac:dyDescent="0.25">
      <c r="A115" s="6">
        <v>44435.333634259259</v>
      </c>
      <c r="B115">
        <v>117382148.71622086</v>
      </c>
      <c r="C115">
        <v>117410759.28020096</v>
      </c>
      <c r="D115">
        <v>37718.344215540215</v>
      </c>
      <c r="E115">
        <v>352146.44614866376</v>
      </c>
      <c r="F115">
        <v>2.2214430635672744E+19</v>
      </c>
      <c r="G115">
        <v>3736</v>
      </c>
      <c r="H115">
        <v>3.1681270625940125E-4</v>
      </c>
      <c r="I115">
        <v>3156.4390576595615</v>
      </c>
      <c r="J115">
        <f t="shared" si="22"/>
        <v>1.8599070061993319E-2</v>
      </c>
      <c r="K115">
        <f t="shared" si="24"/>
        <v>0.16344544228560615</v>
      </c>
      <c r="L115">
        <f t="shared" si="25"/>
        <v>0.43470042836481237</v>
      </c>
      <c r="M115">
        <f t="shared" si="26"/>
        <v>0.52981707481843365</v>
      </c>
      <c r="N115" s="2">
        <v>0.10478661042241849</v>
      </c>
      <c r="O115" s="9">
        <v>0.78160861268465431</v>
      </c>
      <c r="P115">
        <f t="shared" si="18"/>
        <v>0</v>
      </c>
      <c r="Q115">
        <f t="shared" si="27"/>
        <v>0.32211624504601249</v>
      </c>
      <c r="R115">
        <f t="shared" si="19"/>
        <v>0.60593790173070938</v>
      </c>
      <c r="S115" s="9">
        <f t="shared" si="28"/>
        <v>0.81610968582964394</v>
      </c>
      <c r="T115">
        <v>0.87319999999999998</v>
      </c>
      <c r="U115">
        <v>0.98272999999999988</v>
      </c>
      <c r="V115">
        <v>0.3283792578924204</v>
      </c>
      <c r="W115" s="9">
        <v>0.88605826911753749</v>
      </c>
      <c r="X115">
        <f t="shared" si="20"/>
        <v>0.47910673073449894</v>
      </c>
      <c r="Y115">
        <f t="shared" si="29"/>
        <v>0.74489610547183804</v>
      </c>
      <c r="Z115">
        <f t="shared" si="23"/>
        <v>1.8599070061993319E-2</v>
      </c>
      <c r="AA115">
        <f t="shared" si="30"/>
        <v>0.3017849110058905</v>
      </c>
      <c r="AB115">
        <f t="shared" si="34"/>
        <v>0.34803593182671888</v>
      </c>
      <c r="AC115">
        <f t="shared" si="31"/>
        <v>1.8024979687132789</v>
      </c>
      <c r="AD115">
        <f t="shared" si="21"/>
        <v>2.8704540242342785E-4</v>
      </c>
      <c r="AE115">
        <f t="shared" si="32"/>
        <v>1.3760045429440604</v>
      </c>
      <c r="AF115">
        <f t="shared" si="33"/>
        <v>1.3731074432343782E-4</v>
      </c>
    </row>
    <row r="116" spans="1:32" x14ac:dyDescent="0.25">
      <c r="A116" s="6">
        <v>44436.333356481482</v>
      </c>
      <c r="B116">
        <v>60665828.565013885</v>
      </c>
      <c r="C116">
        <v>60698251.735126495</v>
      </c>
      <c r="D116">
        <v>18781.748544162139</v>
      </c>
      <c r="E116">
        <v>181997.48569503427</v>
      </c>
      <c r="F116">
        <v>2.4694079368718172E+19</v>
      </c>
      <c r="G116">
        <v>3747</v>
      </c>
      <c r="H116">
        <v>3.1013628571458423E-4</v>
      </c>
      <c r="I116">
        <v>3224.3889092045533</v>
      </c>
      <c r="J116">
        <f t="shared" si="22"/>
        <v>2.1298935070992082E-2</v>
      </c>
      <c r="K116">
        <f t="shared" si="24"/>
        <v>0.18272650574496413</v>
      </c>
      <c r="L116">
        <f t="shared" si="25"/>
        <v>0</v>
      </c>
      <c r="M116">
        <f t="shared" si="26"/>
        <v>0.49867466701072821</v>
      </c>
      <c r="N116" s="2">
        <v>4.7441296202708899E-2</v>
      </c>
      <c r="O116" s="9">
        <v>0.77948970079122537</v>
      </c>
      <c r="P116">
        <f t="shared" si="18"/>
        <v>0</v>
      </c>
      <c r="Q116">
        <f t="shared" si="27"/>
        <v>0.32211624504601249</v>
      </c>
      <c r="R116">
        <f t="shared" si="19"/>
        <v>0</v>
      </c>
      <c r="S116" s="9">
        <f t="shared" si="28"/>
        <v>0.79403021902542725</v>
      </c>
      <c r="T116">
        <v>0.85809999999999997</v>
      </c>
      <c r="U116">
        <v>0.97866333333333322</v>
      </c>
      <c r="V116">
        <v>0.31467026038202522</v>
      </c>
      <c r="W116" s="9">
        <v>0.88096307641347316</v>
      </c>
      <c r="X116">
        <f t="shared" si="20"/>
        <v>0</v>
      </c>
      <c r="Y116">
        <f t="shared" si="29"/>
        <v>0.72830476257463472</v>
      </c>
      <c r="Z116">
        <f t="shared" si="23"/>
        <v>2.1298935070992082E-2</v>
      </c>
      <c r="AA116">
        <f t="shared" si="30"/>
        <v>0.34048297613487644</v>
      </c>
      <c r="AB116">
        <f t="shared" si="34"/>
        <v>0.35769544885891535</v>
      </c>
      <c r="AC116">
        <f t="shared" si="31"/>
        <v>1.8297024618466624</v>
      </c>
      <c r="AD116">
        <f t="shared" si="21"/>
        <v>1.2996770781147337E-4</v>
      </c>
      <c r="AE116">
        <f t="shared" si="32"/>
        <v>1.3761421433983545</v>
      </c>
      <c r="AF116">
        <f t="shared" si="33"/>
        <v>-5.2198787785506795E-5</v>
      </c>
    </row>
    <row r="117" spans="1:32" x14ac:dyDescent="0.25">
      <c r="A117" s="6">
        <v>44437.333333333336</v>
      </c>
      <c r="B117">
        <v>81489976.662502289</v>
      </c>
      <c r="C117">
        <v>81460163.511978149</v>
      </c>
      <c r="D117">
        <v>25269.091586796567</v>
      </c>
      <c r="E117">
        <v>244469.92998750508</v>
      </c>
      <c r="F117">
        <v>2.559901635323752E+19</v>
      </c>
      <c r="G117">
        <v>3738</v>
      </c>
      <c r="H117">
        <v>3.1303386113789065E-4</v>
      </c>
      <c r="I117">
        <v>3194.5425851534396</v>
      </c>
      <c r="J117">
        <f t="shared" si="22"/>
        <v>-9.299535030996545E-3</v>
      </c>
      <c r="K117">
        <f t="shared" si="24"/>
        <v>0.16736270646429299</v>
      </c>
      <c r="L117">
        <f t="shared" si="25"/>
        <v>0</v>
      </c>
      <c r="M117">
        <f t="shared" si="26"/>
        <v>0.46932918677888069</v>
      </c>
      <c r="N117" s="2">
        <v>6.1285868873405917E-2</v>
      </c>
      <c r="O117" s="9">
        <v>0.77590518500687289</v>
      </c>
      <c r="P117">
        <f t="shared" si="18"/>
        <v>0</v>
      </c>
      <c r="Q117">
        <f t="shared" si="27"/>
        <v>0.32211624504601249</v>
      </c>
      <c r="R117">
        <f t="shared" si="19"/>
        <v>0.13840089725761981</v>
      </c>
      <c r="S117" s="9">
        <f t="shared" si="28"/>
        <v>0.77813213101016321</v>
      </c>
      <c r="T117">
        <v>0.87170000000000003</v>
      </c>
      <c r="U117">
        <v>0.97496333333333318</v>
      </c>
      <c r="V117">
        <v>0.32386819838824293</v>
      </c>
      <c r="W117" s="9">
        <v>0.88734429601158971</v>
      </c>
      <c r="X117">
        <f t="shared" si="20"/>
        <v>0</v>
      </c>
      <c r="Y117">
        <f t="shared" si="29"/>
        <v>0.71328881624534612</v>
      </c>
      <c r="Z117">
        <f t="shared" si="23"/>
        <v>-9.299535030996545E-3</v>
      </c>
      <c r="AA117">
        <f t="shared" si="30"/>
        <v>0.30998450103322095</v>
      </c>
      <c r="AB117">
        <f t="shared" si="34"/>
        <v>0.36522173921733481</v>
      </c>
      <c r="AC117">
        <f t="shared" si="31"/>
        <v>1.8505744212997162</v>
      </c>
      <c r="AD117">
        <f t="shared" si="21"/>
        <v>1.6789239534715611E-4</v>
      </c>
      <c r="AE117">
        <f t="shared" si="32"/>
        <v>1.2967835494531599</v>
      </c>
      <c r="AF117">
        <f t="shared" si="33"/>
        <v>4.1031308376993092E-3</v>
      </c>
    </row>
    <row r="118" spans="1:32" x14ac:dyDescent="0.25">
      <c r="A118" s="6">
        <v>44438.333518518521</v>
      </c>
      <c r="B118">
        <v>69154485.111717224</v>
      </c>
      <c r="C118">
        <v>69153659.123966217</v>
      </c>
      <c r="D118">
        <v>21593.239037724212</v>
      </c>
      <c r="E118">
        <v>207463.45533515513</v>
      </c>
      <c r="F118">
        <v>2.7735912510972092E+19</v>
      </c>
      <c r="G118">
        <v>3741</v>
      </c>
      <c r="H118">
        <v>3.144141755772969E-4</v>
      </c>
      <c r="I118">
        <v>3180.5181753141273</v>
      </c>
      <c r="J118">
        <f t="shared" si="22"/>
        <v>-4.3997800146650858E-3</v>
      </c>
      <c r="K118">
        <f t="shared" si="24"/>
        <v>0.14004099760722882</v>
      </c>
      <c r="L118">
        <f t="shared" si="25"/>
        <v>0</v>
      </c>
      <c r="M118">
        <f t="shared" si="26"/>
        <v>0.43875255783007661</v>
      </c>
      <c r="N118" s="2">
        <v>4.8229629928829836E-2</v>
      </c>
      <c r="O118" s="9">
        <v>0.77361018682764704</v>
      </c>
      <c r="P118">
        <f t="shared" si="18"/>
        <v>0</v>
      </c>
      <c r="Q118">
        <f t="shared" si="27"/>
        <v>0.32211624504601249</v>
      </c>
      <c r="R118">
        <f t="shared" si="19"/>
        <v>0</v>
      </c>
      <c r="S118" s="9">
        <f t="shared" si="28"/>
        <v>0.7536347219144337</v>
      </c>
      <c r="T118">
        <v>0.93079999999999996</v>
      </c>
      <c r="U118">
        <v>0.97432666666666667</v>
      </c>
      <c r="V118">
        <v>0.33277916112749995</v>
      </c>
      <c r="W118" s="9">
        <v>0.8923770536488943</v>
      </c>
      <c r="X118">
        <f t="shared" si="20"/>
        <v>0</v>
      </c>
      <c r="Y118">
        <f t="shared" si="29"/>
        <v>0.69118194349585804</v>
      </c>
      <c r="Z118">
        <f t="shared" si="23"/>
        <v>-4.3997800146650858E-3</v>
      </c>
      <c r="AA118">
        <f t="shared" si="30"/>
        <v>0.2554872258515738</v>
      </c>
      <c r="AB118">
        <f t="shared" si="34"/>
        <v>0.36896155222980015</v>
      </c>
      <c r="AC118">
        <f t="shared" si="31"/>
        <v>1.8608432665272345</v>
      </c>
      <c r="AD118">
        <f t="shared" si="21"/>
        <v>1.3212724321914795E-4</v>
      </c>
      <c r="AE118">
        <f t="shared" si="32"/>
        <v>1.2321856709497681</v>
      </c>
      <c r="AF118">
        <f t="shared" si="33"/>
        <v>6.883931031026691E-3</v>
      </c>
    </row>
    <row r="119" spans="1:32" x14ac:dyDescent="0.25">
      <c r="A119" s="6">
        <v>44439.333391203705</v>
      </c>
      <c r="B119">
        <v>208106401.82429504</v>
      </c>
      <c r="C119">
        <v>208209221.49843979</v>
      </c>
      <c r="D119">
        <v>63420.941430615261</v>
      </c>
      <c r="E119">
        <v>624319.20547288656</v>
      </c>
      <c r="F119">
        <v>1.8956942403805139E+19</v>
      </c>
      <c r="G119">
        <v>3732</v>
      </c>
      <c r="H119">
        <v>2.9216386226428424E-4</v>
      </c>
      <c r="I119">
        <v>3422.7367897246122</v>
      </c>
      <c r="J119">
        <f t="shared" si="22"/>
        <v>7.3396330244640193E-2</v>
      </c>
      <c r="K119">
        <f t="shared" si="24"/>
        <v>0.15414483401307691</v>
      </c>
      <c r="L119">
        <f t="shared" si="25"/>
        <v>1.0688336850918811</v>
      </c>
      <c r="M119">
        <f t="shared" si="26"/>
        <v>0.44605724972166738</v>
      </c>
      <c r="N119" s="2">
        <v>0.21500115864362113</v>
      </c>
      <c r="O119" s="9">
        <v>0.79698927789693419</v>
      </c>
      <c r="P119">
        <f t="shared" si="18"/>
        <v>0.75450711019966266</v>
      </c>
      <c r="Q119">
        <f t="shared" si="27"/>
        <v>0.34726648205266797</v>
      </c>
      <c r="R119">
        <f t="shared" si="19"/>
        <v>1.1175317116410772</v>
      </c>
      <c r="S119" s="9">
        <f t="shared" si="28"/>
        <v>0.76375362235956523</v>
      </c>
      <c r="T119">
        <v>0.92330000000000001</v>
      </c>
      <c r="U119">
        <v>0.97206000000000015</v>
      </c>
      <c r="V119">
        <v>0.35476233975114341</v>
      </c>
      <c r="W119" s="9">
        <v>0.90044963807507739</v>
      </c>
      <c r="X119">
        <f t="shared" si="20"/>
        <v>1.065236783567534</v>
      </c>
      <c r="Y119">
        <f t="shared" si="29"/>
        <v>0.70155076353298174</v>
      </c>
      <c r="Z119">
        <f t="shared" si="23"/>
        <v>7.3396330244640193E-2</v>
      </c>
      <c r="AA119">
        <f t="shared" si="30"/>
        <v>0.28218589094056434</v>
      </c>
      <c r="AB119">
        <f t="shared" si="34"/>
        <v>0.37048480940154399</v>
      </c>
      <c r="AC119">
        <f t="shared" si="31"/>
        <v>1.8650067347936292</v>
      </c>
      <c r="AD119">
        <f t="shared" si="21"/>
        <v>5.8887085177779372E-4</v>
      </c>
      <c r="AE119">
        <f t="shared" si="32"/>
        <v>1.3219210849054375</v>
      </c>
      <c r="AF119">
        <f t="shared" si="33"/>
        <v>2.7995318844529216E-3</v>
      </c>
    </row>
    <row r="120" spans="1:32" x14ac:dyDescent="0.25">
      <c r="A120" s="6">
        <v>44440.333460648151</v>
      </c>
      <c r="B120">
        <v>183567959.78251648</v>
      </c>
      <c r="C120">
        <v>183598990.4887352</v>
      </c>
      <c r="D120">
        <v>53606.072017498314</v>
      </c>
      <c r="E120">
        <v>550703.87934754789</v>
      </c>
      <c r="F120">
        <v>1.7679974131970222E+19</v>
      </c>
      <c r="G120">
        <v>3685</v>
      </c>
      <c r="H120">
        <v>2.8265200364975632E-4</v>
      </c>
      <c r="I120">
        <v>3537.9193746637434</v>
      </c>
      <c r="J120">
        <f t="shared" si="22"/>
        <v>3.3098345110321427E-2</v>
      </c>
      <c r="K120">
        <f t="shared" si="24"/>
        <v>0.17167409250235285</v>
      </c>
      <c r="L120">
        <f t="shared" si="25"/>
        <v>0.93197052877932551</v>
      </c>
      <c r="M120">
        <f t="shared" si="26"/>
        <v>0.43036403795857636</v>
      </c>
      <c r="N120" s="2">
        <v>0.1981052481957315</v>
      </c>
      <c r="O120" s="9">
        <v>0.87081512760231516</v>
      </c>
      <c r="P120">
        <f t="shared" si="18"/>
        <v>0.65887304980453465</v>
      </c>
      <c r="Q120">
        <f t="shared" si="27"/>
        <v>0.3355567635412624</v>
      </c>
      <c r="R120">
        <f t="shared" si="19"/>
        <v>1.0553245202023493</v>
      </c>
      <c r="S120" s="9">
        <f t="shared" si="28"/>
        <v>0.75546939043310457</v>
      </c>
      <c r="T120">
        <v>1.0321</v>
      </c>
      <c r="U120">
        <v>0.97409000000000023</v>
      </c>
      <c r="V120">
        <v>0.34494154246343028</v>
      </c>
      <c r="W120" s="9">
        <v>0.8975946164663493</v>
      </c>
      <c r="X120">
        <f t="shared" si="20"/>
        <v>0.92486554193214288</v>
      </c>
      <c r="Y120">
        <f t="shared" si="29"/>
        <v>0.68877064911791286</v>
      </c>
      <c r="Z120">
        <f t="shared" si="23"/>
        <v>3.3098345110321427E-2</v>
      </c>
      <c r="AA120">
        <f t="shared" si="30"/>
        <v>0.31218439104055351</v>
      </c>
      <c r="AB120">
        <f t="shared" si="34"/>
        <v>0.37557455491850877</v>
      </c>
      <c r="AC120">
        <f t="shared" si="31"/>
        <v>1.8788393270140431</v>
      </c>
      <c r="AD120">
        <f t="shared" si="21"/>
        <v>5.4260686691034131E-4</v>
      </c>
      <c r="AE120">
        <f t="shared" si="32"/>
        <v>1.418191589073273</v>
      </c>
      <c r="AF120">
        <f t="shared" si="33"/>
        <v>-2.8777400044377455E-3</v>
      </c>
    </row>
    <row r="121" spans="1:32" x14ac:dyDescent="0.25">
      <c r="A121" s="6">
        <v>44441.333495370367</v>
      </c>
      <c r="B121">
        <v>120748476.79183578</v>
      </c>
      <c r="C121">
        <v>120817784.26163864</v>
      </c>
      <c r="D121">
        <v>32490.217110868543</v>
      </c>
      <c r="E121">
        <v>362245.43037550151</v>
      </c>
      <c r="F121">
        <v>1.8077835281009142E+19</v>
      </c>
      <c r="G121">
        <v>3624</v>
      </c>
      <c r="H121">
        <v>2.6632555374408692E-4</v>
      </c>
      <c r="I121">
        <v>3754.8030444007009</v>
      </c>
      <c r="J121">
        <f t="shared" si="22"/>
        <v>5.9497025198311869E-2</v>
      </c>
      <c r="K121">
        <f t="shared" si="24"/>
        <v>0.21938413660415548</v>
      </c>
      <c r="L121">
        <f t="shared" si="25"/>
        <v>0</v>
      </c>
      <c r="M121">
        <f t="shared" si="26"/>
        <v>0.38644819111805967</v>
      </c>
      <c r="N121" s="2">
        <v>0.12097327112641985</v>
      </c>
      <c r="O121" s="9">
        <v>0.85281422942289764</v>
      </c>
      <c r="P121">
        <f t="shared" si="18"/>
        <v>0</v>
      </c>
      <c r="Q121">
        <f t="shared" si="27"/>
        <v>0.3090336299492219</v>
      </c>
      <c r="R121">
        <f t="shared" si="19"/>
        <v>0.70473684903361322</v>
      </c>
      <c r="S121" s="9">
        <f t="shared" si="28"/>
        <v>0.74076921334318191</v>
      </c>
      <c r="T121">
        <v>0.94330000000000003</v>
      </c>
      <c r="U121">
        <v>0.97193333333333354</v>
      </c>
      <c r="V121">
        <v>0.35802069350776705</v>
      </c>
      <c r="W121" s="9">
        <v>0.9032135849988665</v>
      </c>
      <c r="X121">
        <f t="shared" si="20"/>
        <v>0.49286264707067357</v>
      </c>
      <c r="Y121">
        <f t="shared" si="29"/>
        <v>0.66766489959138531</v>
      </c>
      <c r="Z121">
        <f t="shared" si="23"/>
        <v>5.9497025198311869E-2</v>
      </c>
      <c r="AA121">
        <f t="shared" si="30"/>
        <v>0.40887955636285189</v>
      </c>
      <c r="AB121">
        <f t="shared" si="34"/>
        <v>0.38703064879002685</v>
      </c>
      <c r="AC121">
        <f t="shared" si="31"/>
        <v>1.9095404938918277</v>
      </c>
      <c r="AD121">
        <f t="shared" si="21"/>
        <v>3.3137870753507736E-4</v>
      </c>
      <c r="AE121">
        <f t="shared" si="32"/>
        <v>1.5003219469110294</v>
      </c>
      <c r="AF121">
        <f t="shared" si="33"/>
        <v>-8.376876405942979E-3</v>
      </c>
    </row>
    <row r="122" spans="1:32" x14ac:dyDescent="0.25">
      <c r="A122" s="6">
        <v>44442.333495370367</v>
      </c>
      <c r="B122">
        <v>196559584.68764114</v>
      </c>
      <c r="C122">
        <v>196618672.37041855</v>
      </c>
      <c r="D122">
        <v>51532.847511861473</v>
      </c>
      <c r="E122">
        <v>589678.75406292081</v>
      </c>
      <c r="F122">
        <v>8.0093343289701396E+18</v>
      </c>
      <c r="G122">
        <v>3604</v>
      </c>
      <c r="H122">
        <v>2.5283119346360833E-4</v>
      </c>
      <c r="I122">
        <v>3955.2081620179379</v>
      </c>
      <c r="J122">
        <f t="shared" si="22"/>
        <v>5.1997400173314549E-2</v>
      </c>
      <c r="K122">
        <f t="shared" si="24"/>
        <v>0.24261125028788616</v>
      </c>
      <c r="L122">
        <f t="shared" si="25"/>
        <v>1.4584766075505975</v>
      </c>
      <c r="M122">
        <f t="shared" si="26"/>
        <v>0.39332919551075035</v>
      </c>
      <c r="N122" s="2">
        <v>0.44449005208857029</v>
      </c>
      <c r="O122" s="9">
        <v>0.818700807309931</v>
      </c>
      <c r="P122">
        <f t="shared" si="18"/>
        <v>1.5508681848891734</v>
      </c>
      <c r="Q122">
        <f t="shared" si="27"/>
        <v>0.33557665997241681</v>
      </c>
      <c r="R122">
        <f t="shared" si="19"/>
        <v>1.7563565338743239</v>
      </c>
      <c r="S122" s="9">
        <f t="shared" si="28"/>
        <v>0.76206179476693081</v>
      </c>
      <c r="T122">
        <v>0.9012</v>
      </c>
      <c r="U122">
        <v>0.96632000000000018</v>
      </c>
      <c r="V122">
        <v>0.3511680952908029</v>
      </c>
      <c r="W122" s="9">
        <v>0.89930975318129169</v>
      </c>
      <c r="X122">
        <f t="shared" si="20"/>
        <v>1.8024441849593216</v>
      </c>
      <c r="Y122">
        <f t="shared" si="29"/>
        <v>0.69188497299196006</v>
      </c>
      <c r="Z122">
        <f t="shared" si="23"/>
        <v>5.1997400173314549E-2</v>
      </c>
      <c r="AA122">
        <f t="shared" si="30"/>
        <v>0.45767711652550114</v>
      </c>
      <c r="AB122">
        <f t="shared" si="34"/>
        <v>0.39785010782608954</v>
      </c>
      <c r="AC122">
        <f t="shared" si="31"/>
        <v>1.9380057601195468</v>
      </c>
      <c r="AD122">
        <f t="shared" si="21"/>
        <v>1.2170400708239998E-3</v>
      </c>
      <c r="AE122">
        <f t="shared" si="32"/>
        <v>1.5120696271178189</v>
      </c>
      <c r="AF122">
        <f t="shared" si="33"/>
        <v>-8.5350531514106764E-3</v>
      </c>
    </row>
    <row r="123" spans="1:32" x14ac:dyDescent="0.25">
      <c r="A123" s="6">
        <v>44443.333414351851</v>
      </c>
      <c r="B123">
        <v>89530851.841362</v>
      </c>
      <c r="C123">
        <v>89494996.390174866</v>
      </c>
      <c r="D123">
        <v>22717.05816135183</v>
      </c>
      <c r="E123">
        <v>268592.55552409589</v>
      </c>
      <c r="F123">
        <v>2.1430562096481534E+19</v>
      </c>
      <c r="G123">
        <v>3569</v>
      </c>
      <c r="H123">
        <v>2.5624176070023565E-4</v>
      </c>
      <c r="I123">
        <v>3902.564504970951</v>
      </c>
      <c r="J123">
        <f t="shared" si="22"/>
        <v>-1.3399330044661741E-2</v>
      </c>
      <c r="K123">
        <f t="shared" si="24"/>
        <v>0.21380485637453522</v>
      </c>
      <c r="L123">
        <f t="shared" si="25"/>
        <v>0</v>
      </c>
      <c r="M123">
        <f t="shared" si="26"/>
        <v>0.35255923217000429</v>
      </c>
      <c r="N123" s="2">
        <v>7.2741663379513752E-2</v>
      </c>
      <c r="O123" s="9">
        <v>0.81846793835292186</v>
      </c>
      <c r="P123">
        <f t="shared" si="18"/>
        <v>0</v>
      </c>
      <c r="Q123">
        <f t="shared" si="27"/>
        <v>0.31227441301155479</v>
      </c>
      <c r="R123">
        <f t="shared" si="19"/>
        <v>0.33286808860354417</v>
      </c>
      <c r="S123" s="9">
        <f t="shared" si="28"/>
        <v>0.73712822143744772</v>
      </c>
      <c r="T123">
        <v>0.89670000000000005</v>
      </c>
      <c r="U123">
        <v>0.95861666666666678</v>
      </c>
      <c r="V123">
        <v>0.3511680952908029</v>
      </c>
      <c r="W123" s="9">
        <v>0.89545090428648844</v>
      </c>
      <c r="X123">
        <f t="shared" si="20"/>
        <v>0</v>
      </c>
      <c r="Y123">
        <f t="shared" si="29"/>
        <v>0.65708831977055948</v>
      </c>
      <c r="Z123">
        <f t="shared" si="23"/>
        <v>-1.3399330044661741E-2</v>
      </c>
      <c r="AA123">
        <f t="shared" si="30"/>
        <v>0.40007999633352187</v>
      </c>
      <c r="AB123">
        <f t="shared" si="34"/>
        <v>0.40688298952286406</v>
      </c>
      <c r="AC123">
        <f t="shared" si="31"/>
        <v>1.9613936616351901</v>
      </c>
      <c r="AD123">
        <f t="shared" si="21"/>
        <v>1.9927237237896849E-4</v>
      </c>
      <c r="AE123">
        <f t="shared" si="32"/>
        <v>1.4214570202657353</v>
      </c>
      <c r="AF123">
        <f t="shared" si="33"/>
        <v>-3.0898409448499864E-3</v>
      </c>
    </row>
    <row r="124" spans="1:32" x14ac:dyDescent="0.25">
      <c r="A124" s="6">
        <v>44444.333541666667</v>
      </c>
      <c r="B124">
        <v>87907250.337867737</v>
      </c>
      <c r="C124">
        <v>87911282.517360687</v>
      </c>
      <c r="D124">
        <v>22611.46458700113</v>
      </c>
      <c r="E124">
        <v>263721.75101360679</v>
      </c>
      <c r="F124">
        <v>1.9365630352972726E+19</v>
      </c>
      <c r="G124">
        <v>3561</v>
      </c>
      <c r="H124">
        <v>2.548363696527241E-4</v>
      </c>
      <c r="I124">
        <v>3924.0866653482026</v>
      </c>
      <c r="J124">
        <f t="shared" si="22"/>
        <v>5.4997250183313577E-3</v>
      </c>
      <c r="K124">
        <f t="shared" si="24"/>
        <v>0.19232930108541504</v>
      </c>
      <c r="L124">
        <f t="shared" si="25"/>
        <v>0</v>
      </c>
      <c r="M124">
        <f t="shared" si="26"/>
        <v>0.31049478984582757</v>
      </c>
      <c r="N124" s="2">
        <v>8.0344472849097695E-2</v>
      </c>
      <c r="O124" s="9">
        <v>0.81767590392146938</v>
      </c>
      <c r="P124">
        <f t="shared" si="18"/>
        <v>0</v>
      </c>
      <c r="Q124">
        <f t="shared" si="27"/>
        <v>0.28628302005190159</v>
      </c>
      <c r="R124">
        <f t="shared" si="19"/>
        <v>0.41427483651224639</v>
      </c>
      <c r="S124" s="9">
        <f t="shared" si="28"/>
        <v>0.71311332499032065</v>
      </c>
      <c r="T124">
        <v>0.92689999999999995</v>
      </c>
      <c r="U124">
        <v>0.9542400000000002</v>
      </c>
      <c r="V124">
        <v>0.33321997287884886</v>
      </c>
      <c r="W124" s="9">
        <v>0.88858486980031681</v>
      </c>
      <c r="X124">
        <f t="shared" si="20"/>
        <v>0</v>
      </c>
      <c r="Y124">
        <f t="shared" si="29"/>
        <v>0.62028922192810854</v>
      </c>
      <c r="Z124">
        <f t="shared" si="23"/>
        <v>5.4997250183313577E-3</v>
      </c>
      <c r="AA124">
        <f t="shared" si="30"/>
        <v>0.35718214119053726</v>
      </c>
      <c r="AB124">
        <f t="shared" si="34"/>
        <v>0.41409596221357253</v>
      </c>
      <c r="AC124">
        <f t="shared" si="31"/>
        <v>1.9798322499814176</v>
      </c>
      <c r="AD124">
        <f t="shared" si="21"/>
        <v>2.200976201637987E-4</v>
      </c>
      <c r="AE124">
        <f t="shared" si="32"/>
        <v>1.2651468985632692</v>
      </c>
      <c r="AF124">
        <f t="shared" si="33"/>
        <v>5.0186357598391851E-3</v>
      </c>
    </row>
    <row r="125" spans="1:32" x14ac:dyDescent="0.25">
      <c r="A125" s="6">
        <v>44445.333449074074</v>
      </c>
      <c r="B125">
        <v>51962835.638568878</v>
      </c>
      <c r="C125">
        <v>51959951.668292999</v>
      </c>
      <c r="D125">
        <v>13199.781172916293</v>
      </c>
      <c r="E125">
        <v>155888.50691568851</v>
      </c>
      <c r="F125">
        <v>1.9452896521622835E+19</v>
      </c>
      <c r="G125">
        <v>3497</v>
      </c>
      <c r="H125">
        <v>2.5590887947478424E-4</v>
      </c>
      <c r="I125">
        <v>3907.6408839441392</v>
      </c>
      <c r="J125">
        <f t="shared" si="22"/>
        <v>-4.1997900139985724E-3</v>
      </c>
      <c r="K125">
        <f t="shared" si="24"/>
        <v>0.12766495045723397</v>
      </c>
      <c r="L125">
        <f t="shared" si="25"/>
        <v>0</v>
      </c>
      <c r="M125">
        <f t="shared" si="26"/>
        <v>0.31049478984582757</v>
      </c>
      <c r="N125" s="2">
        <v>4.6593939589288293E-2</v>
      </c>
      <c r="O125" s="9">
        <v>0.76961589132767927</v>
      </c>
      <c r="P125">
        <f t="shared" si="18"/>
        <v>0</v>
      </c>
      <c r="Q125">
        <f t="shared" si="27"/>
        <v>0.28628302005190159</v>
      </c>
      <c r="R125">
        <f t="shared" si="19"/>
        <v>0</v>
      </c>
      <c r="S125" s="9">
        <f t="shared" si="28"/>
        <v>0.69696470455909665</v>
      </c>
      <c r="T125">
        <v>0.87849999999999995</v>
      </c>
      <c r="U125">
        <v>0.9444233333333335</v>
      </c>
      <c r="V125">
        <v>0.37982751088549432</v>
      </c>
      <c r="W125" s="9">
        <v>0.92397964145964795</v>
      </c>
      <c r="X125">
        <f t="shared" si="20"/>
        <v>0</v>
      </c>
      <c r="Y125">
        <f t="shared" si="29"/>
        <v>0.60715401287146975</v>
      </c>
      <c r="Z125">
        <f t="shared" si="23"/>
        <v>-4.1997900139985724E-3</v>
      </c>
      <c r="AA125">
        <f t="shared" si="30"/>
        <v>0.23098845076991595</v>
      </c>
      <c r="AB125">
        <f t="shared" si="34"/>
        <v>0.40976617869914073</v>
      </c>
      <c r="AC125">
        <f t="shared" si="31"/>
        <v>1.9687888414125991</v>
      </c>
      <c r="AD125">
        <f t="shared" si="21"/>
        <v>1.2764648185284008E-4</v>
      </c>
      <c r="AE125">
        <f t="shared" si="32"/>
        <v>1.2573276434855689</v>
      </c>
      <c r="AF125">
        <f t="shared" si="33"/>
        <v>5.2639555799234294E-3</v>
      </c>
    </row>
    <row r="126" spans="1:32" x14ac:dyDescent="0.25">
      <c r="A126" s="6">
        <v>44446.333553240744</v>
      </c>
      <c r="B126">
        <v>123533478.02762985</v>
      </c>
      <c r="C126">
        <v>123467147.01563644</v>
      </c>
      <c r="D126">
        <v>32363.118763487786</v>
      </c>
      <c r="E126">
        <v>370600.43408289552</v>
      </c>
      <c r="F126">
        <v>9.6797227649982259E+18</v>
      </c>
      <c r="G126">
        <v>3470</v>
      </c>
      <c r="H126">
        <v>2.6645874315617773E-4</v>
      </c>
      <c r="I126">
        <v>3752.9262059675652</v>
      </c>
      <c r="J126">
        <f t="shared" si="22"/>
        <v>-4.0397980134652234E-2</v>
      </c>
      <c r="K126">
        <f t="shared" si="24"/>
        <v>0.11101020059074401</v>
      </c>
      <c r="L126">
        <f t="shared" si="25"/>
        <v>1.2248278163387911</v>
      </c>
      <c r="M126">
        <f t="shared" si="26"/>
        <v>0.31765730575905349</v>
      </c>
      <c r="N126" s="2">
        <v>0.22498943001507141</v>
      </c>
      <c r="O126" s="9">
        <v>0.90191973596342156</v>
      </c>
      <c r="P126">
        <f t="shared" si="18"/>
        <v>0.80572150915403029</v>
      </c>
      <c r="Q126">
        <f t="shared" si="27"/>
        <v>0.2802530244909735</v>
      </c>
      <c r="R126">
        <f t="shared" si="19"/>
        <v>1.1527286313330811</v>
      </c>
      <c r="S126" s="9">
        <f t="shared" si="28"/>
        <v>0.69253241120256603</v>
      </c>
      <c r="T126">
        <v>1.0239</v>
      </c>
      <c r="U126">
        <v>0.9420266666666669</v>
      </c>
      <c r="V126">
        <v>0.38856934244246388</v>
      </c>
      <c r="W126" s="9">
        <v>0.930994387323686</v>
      </c>
      <c r="X126">
        <f t="shared" si="20"/>
        <v>1.0137368227138017</v>
      </c>
      <c r="Y126">
        <f t="shared" si="29"/>
        <v>0.59840195112614647</v>
      </c>
      <c r="Z126">
        <f t="shared" si="23"/>
        <v>-4.0397980134652234E-2</v>
      </c>
      <c r="AA126">
        <f t="shared" si="30"/>
        <v>0.18859057062859783</v>
      </c>
      <c r="AB126">
        <f t="shared" si="34"/>
        <v>0.40265320100876545</v>
      </c>
      <c r="AC126">
        <f t="shared" si="31"/>
        <v>1.950483690301134</v>
      </c>
      <c r="AD126">
        <f t="shared" si="21"/>
        <v>6.1621949506336627E-4</v>
      </c>
      <c r="AE126">
        <f t="shared" si="32"/>
        <v>1.1999631951408027</v>
      </c>
      <c r="AF126">
        <f t="shared" si="33"/>
        <v>7.5598085330641496E-3</v>
      </c>
    </row>
    <row r="127" spans="1:32" x14ac:dyDescent="0.25">
      <c r="A127" s="6">
        <v>44447.33384259259</v>
      </c>
      <c r="B127">
        <v>479218811.69507599</v>
      </c>
      <c r="C127">
        <v>479105955.58351898</v>
      </c>
      <c r="D127">
        <v>139357.85386740416</v>
      </c>
      <c r="E127">
        <v>1437656.4350852221</v>
      </c>
      <c r="F127">
        <v>7.7967648059354747E+18</v>
      </c>
      <c r="G127">
        <v>3479</v>
      </c>
      <c r="H127">
        <v>2.9283657883974457E-4</v>
      </c>
      <c r="I127">
        <v>3414.8739339946055</v>
      </c>
      <c r="J127">
        <f t="shared" si="22"/>
        <v>-9.4395280314632679E-2</v>
      </c>
      <c r="K127">
        <f t="shared" si="24"/>
        <v>6.0185504655061062E-2</v>
      </c>
      <c r="L127">
        <f t="shared" si="25"/>
        <v>3.0150672285213389</v>
      </c>
      <c r="M127">
        <f t="shared" si="26"/>
        <v>0.38061821206091379</v>
      </c>
      <c r="N127" s="2">
        <v>1.1473449504260822</v>
      </c>
      <c r="O127" s="9">
        <v>0.88895153472171562</v>
      </c>
      <c r="P127">
        <f t="shared" si="18"/>
        <v>2.8333780745960349</v>
      </c>
      <c r="Q127">
        <f t="shared" si="27"/>
        <v>0.33867921529102174</v>
      </c>
      <c r="R127">
        <f t="shared" si="19"/>
        <v>2.9508689331759763</v>
      </c>
      <c r="S127" s="9">
        <f t="shared" si="28"/>
        <v>0.74558986528819704</v>
      </c>
      <c r="T127">
        <v>0.98470000000000002</v>
      </c>
      <c r="U127">
        <v>0.93498666666666685</v>
      </c>
      <c r="V127">
        <v>0.39305465587528482</v>
      </c>
      <c r="W127" s="9">
        <v>0.93359394198194889</v>
      </c>
      <c r="X127">
        <f t="shared" si="20"/>
        <v>3.4189835844512033</v>
      </c>
      <c r="Y127">
        <f t="shared" si="29"/>
        <v>0.66712269339137253</v>
      </c>
      <c r="Z127">
        <f t="shared" si="23"/>
        <v>-9.4395280314632679E-2</v>
      </c>
      <c r="AA127">
        <f t="shared" si="30"/>
        <v>8.7895605292967582E-2</v>
      </c>
      <c r="AB127">
        <f t="shared" si="34"/>
        <v>0.39254703964174686</v>
      </c>
      <c r="AC127">
        <f t="shared" si="31"/>
        <v>1.924116496965748</v>
      </c>
      <c r="AD127">
        <f t="shared" si="21"/>
        <v>3.1384806363169652E-3</v>
      </c>
      <c r="AE127">
        <f t="shared" si="32"/>
        <v>1.0908919346443664</v>
      </c>
      <c r="AF127">
        <f t="shared" si="33"/>
        <v>1.3164369099758266E-2</v>
      </c>
    </row>
    <row r="128" spans="1:32" x14ac:dyDescent="0.25">
      <c r="A128" s="6">
        <v>44448.333634259259</v>
      </c>
      <c r="B128">
        <v>118719815.68626022</v>
      </c>
      <c r="C128">
        <v>118724028.39518356</v>
      </c>
      <c r="D128">
        <v>34248.747939350083</v>
      </c>
      <c r="E128">
        <v>356159.44705878198</v>
      </c>
      <c r="F128">
        <v>9.2786856563831992E+18</v>
      </c>
      <c r="G128">
        <v>3486</v>
      </c>
      <c r="H128">
        <v>2.8712443319880689E-4</v>
      </c>
      <c r="I128">
        <v>3482.8105322112842</v>
      </c>
      <c r="J128">
        <f t="shared" si="22"/>
        <v>1.9699015065659499E-2</v>
      </c>
      <c r="K128">
        <f t="shared" si="24"/>
        <v>6.9691993423726714E-2</v>
      </c>
      <c r="L128">
        <f t="shared" si="25"/>
        <v>1.3401887283917218</v>
      </c>
      <c r="M128">
        <f t="shared" si="26"/>
        <v>0.38785843947482979</v>
      </c>
      <c r="N128" s="2">
        <v>0.23928353545813996</v>
      </c>
      <c r="O128" s="9">
        <v>0.89187451824856279</v>
      </c>
      <c r="P128">
        <f t="shared" si="18"/>
        <v>0.87380775566367941</v>
      </c>
      <c r="Q128">
        <f t="shared" si="27"/>
        <v>0.33216170692709296</v>
      </c>
      <c r="R128">
        <f t="shared" si="19"/>
        <v>1.2013060147354573</v>
      </c>
      <c r="S128" s="9">
        <f t="shared" si="28"/>
        <v>0.74062637217806682</v>
      </c>
      <c r="T128">
        <v>0.9466</v>
      </c>
      <c r="U128">
        <v>0.93114333333333343</v>
      </c>
      <c r="V128">
        <v>0.42864222402749053</v>
      </c>
      <c r="W128" s="9">
        <v>0.95298025919648699</v>
      </c>
      <c r="X128">
        <f t="shared" si="20"/>
        <v>1.082565385792325</v>
      </c>
      <c r="Y128">
        <f t="shared" si="29"/>
        <v>0.65838759994067375</v>
      </c>
      <c r="Z128">
        <f t="shared" si="23"/>
        <v>1.9699015065659499E-2</v>
      </c>
      <c r="AA128">
        <f t="shared" si="30"/>
        <v>0.10669466535562716</v>
      </c>
      <c r="AB128">
        <f t="shared" si="34"/>
        <v>0.38318750761055032</v>
      </c>
      <c r="AC128">
        <f t="shared" si="31"/>
        <v>1.8993069429410805</v>
      </c>
      <c r="AD128">
        <f t="shared" si="21"/>
        <v>6.5535653700751458E-4</v>
      </c>
      <c r="AE128">
        <f t="shared" si="32"/>
        <v>1.0811184425809965</v>
      </c>
      <c r="AF128">
        <f t="shared" si="33"/>
        <v>1.3220581586817159E-2</v>
      </c>
    </row>
    <row r="129" spans="1:32" x14ac:dyDescent="0.25">
      <c r="A129" s="6">
        <v>44449.333356481482</v>
      </c>
      <c r="B129">
        <v>119466414.5749588</v>
      </c>
      <c r="C129">
        <v>119439446.75099564</v>
      </c>
      <c r="D129">
        <v>34604.464635597542</v>
      </c>
      <c r="E129">
        <v>358399.2437248826</v>
      </c>
      <c r="F129">
        <v>9.8854465220751217E+18</v>
      </c>
      <c r="G129">
        <v>3493</v>
      </c>
      <c r="H129">
        <v>2.9459879155539174E-4</v>
      </c>
      <c r="I129">
        <v>3394.4470536362523</v>
      </c>
      <c r="J129">
        <f t="shared" si="22"/>
        <v>-2.5698715085657343E-2</v>
      </c>
      <c r="K129">
        <f t="shared" si="24"/>
        <v>4.3637680145720802E-2</v>
      </c>
      <c r="L129">
        <f t="shared" si="25"/>
        <v>1.3213337351691676</v>
      </c>
      <c r="M129">
        <f t="shared" si="26"/>
        <v>0.4163510995583502</v>
      </c>
      <c r="N129" s="2">
        <v>0.22403198047115261</v>
      </c>
      <c r="O129" s="9">
        <v>0.9225674652024709</v>
      </c>
      <c r="P129">
        <f t="shared" si="18"/>
        <v>0.80095415222227151</v>
      </c>
      <c r="Q129">
        <f t="shared" si="27"/>
        <v>0.34072967737029908</v>
      </c>
      <c r="R129">
        <f t="shared" si="19"/>
        <v>1.1494014534285608</v>
      </c>
      <c r="S129" s="9">
        <f t="shared" si="28"/>
        <v>0.74601830339101183</v>
      </c>
      <c r="T129">
        <v>0.95069999999999988</v>
      </c>
      <c r="U129">
        <v>0.92957333333333347</v>
      </c>
      <c r="V129">
        <v>0.43063085845676835</v>
      </c>
      <c r="W129" s="9">
        <v>0.9539365424394155</v>
      </c>
      <c r="X129">
        <f t="shared" si="20"/>
        <v>0.98924402887832152</v>
      </c>
      <c r="Y129">
        <f t="shared" si="29"/>
        <v>0.65936491985736823</v>
      </c>
      <c r="Z129">
        <f t="shared" si="23"/>
        <v>-2.5698715085657343E-2</v>
      </c>
      <c r="AA129">
        <f t="shared" si="30"/>
        <v>5.229738517431369E-2</v>
      </c>
      <c r="AB129">
        <f t="shared" si="34"/>
        <v>0.37069813206892138</v>
      </c>
      <c r="AC129">
        <f t="shared" si="31"/>
        <v>1.8655889263275272</v>
      </c>
      <c r="AD129">
        <f t="shared" si="21"/>
        <v>6.1359795812958122E-4</v>
      </c>
      <c r="AE129">
        <f t="shared" si="32"/>
        <v>1.0939505592088803</v>
      </c>
      <c r="AF129">
        <f t="shared" si="33"/>
        <v>1.3089869190350933E-2</v>
      </c>
    </row>
    <row r="130" spans="1:32" x14ac:dyDescent="0.25">
      <c r="A130" s="6">
        <v>44450.333460648151</v>
      </c>
      <c r="B130">
        <v>172427583.05700302</v>
      </c>
      <c r="C130">
        <v>172406511.9524765</v>
      </c>
      <c r="D130">
        <v>52966.128431702033</v>
      </c>
      <c r="E130">
        <v>517282.7491710186</v>
      </c>
      <c r="F130">
        <v>1.1155446061532781E+19</v>
      </c>
      <c r="G130">
        <v>3499</v>
      </c>
      <c r="H130">
        <v>3.03509500195051E-4</v>
      </c>
      <c r="I130">
        <v>3294.7897820573917</v>
      </c>
      <c r="J130">
        <f t="shared" si="22"/>
        <v>-2.9798510099322481E-2</v>
      </c>
      <c r="K130">
        <f t="shared" si="24"/>
        <v>4.7137836469008237E-2</v>
      </c>
      <c r="L130">
        <f t="shared" si="25"/>
        <v>1.5300107499465676</v>
      </c>
      <c r="M130">
        <f t="shared" si="26"/>
        <v>0.46735145788990246</v>
      </c>
      <c r="N130" s="2">
        <v>0.29937449544196115</v>
      </c>
      <c r="O130" s="9">
        <v>0.91329862036408405</v>
      </c>
      <c r="P130">
        <f t="shared" si="18"/>
        <v>1.1154674687002601</v>
      </c>
      <c r="Q130">
        <f t="shared" si="27"/>
        <v>0.3779119263269744</v>
      </c>
      <c r="R130">
        <f t="shared" si="19"/>
        <v>1.3870341815940068</v>
      </c>
      <c r="S130" s="9">
        <f t="shared" si="28"/>
        <v>0.76671854063711076</v>
      </c>
      <c r="T130">
        <v>0.96909999999999996</v>
      </c>
      <c r="U130">
        <v>0.92745000000000022</v>
      </c>
      <c r="V130">
        <v>0.44602889461913525</v>
      </c>
      <c r="W130" s="9">
        <v>0.96400259906595132</v>
      </c>
      <c r="X130">
        <f t="shared" si="20"/>
        <v>1.2903478287570662</v>
      </c>
      <c r="Y130">
        <f t="shared" si="29"/>
        <v>0.67822803719920233</v>
      </c>
      <c r="Z130">
        <f t="shared" si="23"/>
        <v>-2.9798510099322481E-2</v>
      </c>
      <c r="AA130">
        <f t="shared" si="30"/>
        <v>5.9997000199977862E-2</v>
      </c>
      <c r="AB130">
        <f t="shared" si="34"/>
        <v>0.35808542936021481</v>
      </c>
      <c r="AC130">
        <f t="shared" si="31"/>
        <v>1.8307908362187078</v>
      </c>
      <c r="AD130">
        <f t="shared" si="21"/>
        <v>8.1986791353434523E-4</v>
      </c>
      <c r="AE130">
        <f t="shared" si="32"/>
        <v>1.0212209794264151</v>
      </c>
      <c r="AF130">
        <f t="shared" si="33"/>
        <v>1.4519410709438185E-2</v>
      </c>
    </row>
    <row r="131" spans="1:32" x14ac:dyDescent="0.25">
      <c r="A131" s="6">
        <v>44451.333449074074</v>
      </c>
      <c r="B131">
        <v>70338825.891448975</v>
      </c>
      <c r="C131">
        <v>70362839.434398651</v>
      </c>
      <c r="D131">
        <v>21209.87385221757</v>
      </c>
      <c r="E131">
        <v>211016.47767435014</v>
      </c>
      <c r="F131">
        <v>9.705476787077931E+18</v>
      </c>
      <c r="G131">
        <v>3503</v>
      </c>
      <c r="H131">
        <v>2.9114312711073334E-4</v>
      </c>
      <c r="I131">
        <v>3434.7367561922906</v>
      </c>
      <c r="J131">
        <f t="shared" si="22"/>
        <v>4.1597920138651434E-2</v>
      </c>
      <c r="K131">
        <f t="shared" si="24"/>
        <v>4.6943089944640387E-2</v>
      </c>
      <c r="L131">
        <f t="shared" si="25"/>
        <v>1.0353202779493405</v>
      </c>
      <c r="M131">
        <f t="shared" si="26"/>
        <v>0.5018621338215471</v>
      </c>
      <c r="N131" s="2">
        <v>0.14068817437467535</v>
      </c>
      <c r="O131" s="9">
        <v>0.87256701876065001</v>
      </c>
      <c r="P131">
        <f t="shared" ref="P131:P194" si="35">SQRT(MAX(0,8*(N131-LN(COSH(LN(3)/2))),0))</f>
        <v>0</v>
      </c>
      <c r="Q131">
        <f t="shared" si="27"/>
        <v>0.35580667387345033</v>
      </c>
      <c r="R131">
        <f t="shared" ref="R131:R194" si="36">SQRT(MAX(0,8*(N131-LN(COSH(LN(2)/2))),0))</f>
        <v>0.80893340416369863</v>
      </c>
      <c r="S131" s="9">
        <f t="shared" si="28"/>
        <v>0.75841616144084445</v>
      </c>
      <c r="T131">
        <v>0.97230000000000005</v>
      </c>
      <c r="U131">
        <v>0.92534333333333352</v>
      </c>
      <c r="V131">
        <v>0.47859509604966655</v>
      </c>
      <c r="W131" s="9">
        <v>0.9864964193493273</v>
      </c>
      <c r="X131">
        <f t="shared" ref="X131:X194" si="37">IF(EXP(2*N131-O131*O131/4)-1&lt;0,0,2*LN(EXP(N131-O131*O131/8)+SQRT(EXP(2*N131-O131*O131/4)-1)))</f>
        <v>0.60802161769123353</v>
      </c>
      <c r="Y131">
        <f t="shared" si="29"/>
        <v>0.66475860777823226</v>
      </c>
      <c r="Z131">
        <f t="shared" si="23"/>
        <v>4.1597920138651434E-2</v>
      </c>
      <c r="AA131">
        <f t="shared" si="30"/>
        <v>6.2596870208643157E-2</v>
      </c>
      <c r="AB131">
        <f t="shared" si="34"/>
        <v>0.3434228291446757</v>
      </c>
      <c r="AC131">
        <f t="shared" si="31"/>
        <v>1.7893350038098172</v>
      </c>
      <c r="AD131">
        <f t="shared" ref="AD131:AD194" si="38">LN(N131/365+1)</f>
        <v>3.8537278744896902E-4</v>
      </c>
      <c r="AE131">
        <f t="shared" si="32"/>
        <v>1.0611964841616468</v>
      </c>
      <c r="AF131">
        <f t="shared" si="33"/>
        <v>1.3966657948758066E-2</v>
      </c>
    </row>
    <row r="132" spans="1:32" x14ac:dyDescent="0.25">
      <c r="A132" s="6">
        <v>44452.333680555559</v>
      </c>
      <c r="B132">
        <v>105429581.18824005</v>
      </c>
      <c r="C132">
        <v>105385682.06964493</v>
      </c>
      <c r="D132">
        <v>31869.84222863242</v>
      </c>
      <c r="E132">
        <v>316288.74356471002</v>
      </c>
      <c r="F132">
        <v>9.3016934146851738E+18</v>
      </c>
      <c r="G132">
        <v>3501</v>
      </c>
      <c r="H132">
        <v>3.0809622782612906E-4</v>
      </c>
      <c r="I132">
        <v>3245.7391869281169</v>
      </c>
      <c r="J132">
        <f t="shared" ref="J132:J195" si="39">LN(I132/I131)</f>
        <v>-5.6597170188646302E-2</v>
      </c>
      <c r="K132">
        <f t="shared" si="24"/>
        <v>1.7331773670230474E-2</v>
      </c>
      <c r="L132">
        <f t="shared" si="25"/>
        <v>1.3069226833856851</v>
      </c>
      <c r="M132">
        <f t="shared" si="26"/>
        <v>0.5454262232677366</v>
      </c>
      <c r="N132" s="2">
        <v>0.21441953850922102</v>
      </c>
      <c r="O132" s="9">
        <v>0.88053945116473198</v>
      </c>
      <c r="P132">
        <f t="shared" si="35"/>
        <v>0.75141733961004986</v>
      </c>
      <c r="Q132">
        <f t="shared" si="27"/>
        <v>0.38085391852711864</v>
      </c>
      <c r="R132">
        <f t="shared" si="36"/>
        <v>1.1154479662665735</v>
      </c>
      <c r="S132" s="9">
        <f t="shared" si="28"/>
        <v>0.7745325603119213</v>
      </c>
      <c r="T132">
        <v>0.94279999999999997</v>
      </c>
      <c r="U132">
        <v>0.92480666666666678</v>
      </c>
      <c r="V132">
        <v>0.48784550722659664</v>
      </c>
      <c r="W132" s="9">
        <v>0.99566407507374843</v>
      </c>
      <c r="X132">
        <f t="shared" si="37"/>
        <v>0.98863315112918104</v>
      </c>
      <c r="Y132">
        <f t="shared" si="29"/>
        <v>0.679540163158313</v>
      </c>
      <c r="Z132">
        <f t="shared" ref="Z132:Z195" si="40">LN(I132/I131)</f>
        <v>-5.6597170188646302E-2</v>
      </c>
      <c r="AA132">
        <f t="shared" si="30"/>
        <v>2.7998600093313217E-3</v>
      </c>
      <c r="AB132">
        <f t="shared" si="34"/>
        <v>0.32602369908668188</v>
      </c>
      <c r="AC132">
        <f t="shared" si="31"/>
        <v>1.7386434260719403</v>
      </c>
      <c r="AD132">
        <f t="shared" si="38"/>
        <v>5.8727830876696989E-4</v>
      </c>
      <c r="AE132">
        <f t="shared" si="32"/>
        <v>1.0281885967632092</v>
      </c>
      <c r="AF132">
        <f t="shared" si="33"/>
        <v>1.4609260037782734E-2</v>
      </c>
    </row>
    <row r="133" spans="1:32" x14ac:dyDescent="0.25">
      <c r="A133" s="6">
        <v>44453.333379629628</v>
      </c>
      <c r="B133">
        <v>141272326.54024124</v>
      </c>
      <c r="C133">
        <v>141285894.25268173</v>
      </c>
      <c r="D133">
        <v>43509.054158292711</v>
      </c>
      <c r="E133">
        <v>423816.97962072492</v>
      </c>
      <c r="F133">
        <v>9.804210579189631E+18</v>
      </c>
      <c r="G133">
        <v>3501</v>
      </c>
      <c r="H133">
        <v>3.0042959152159061E-4</v>
      </c>
      <c r="I133">
        <v>3328.5669195743462</v>
      </c>
      <c r="J133">
        <f t="shared" si="39"/>
        <v>2.5198740083990812E-2</v>
      </c>
      <c r="K133">
        <f t="shared" si="24"/>
        <v>4.2845232149106835E-2</v>
      </c>
      <c r="L133">
        <f t="shared" si="25"/>
        <v>1.4850242361361929</v>
      </c>
      <c r="M133">
        <f t="shared" si="26"/>
        <v>0.59492703113894307</v>
      </c>
      <c r="N133" s="2">
        <v>0.28124532554376319</v>
      </c>
      <c r="O133" s="9">
        <v>0.89192625458879637</v>
      </c>
      <c r="P133">
        <f t="shared" si="35"/>
        <v>1.0484437584071844</v>
      </c>
      <c r="Q133">
        <f t="shared" si="27"/>
        <v>0.41580204380735813</v>
      </c>
      <c r="R133">
        <f t="shared" si="36"/>
        <v>1.3337280313934219</v>
      </c>
      <c r="S133" s="9">
        <f t="shared" si="28"/>
        <v>0.79686398968358885</v>
      </c>
      <c r="T133">
        <v>0.93909999999999993</v>
      </c>
      <c r="U133">
        <v>0.92433333333333334</v>
      </c>
      <c r="V133">
        <v>0.48784550722659664</v>
      </c>
      <c r="W133" s="9">
        <v>0.99603238543354722</v>
      </c>
      <c r="X133">
        <f t="shared" si="37"/>
        <v>1.2428504806567888</v>
      </c>
      <c r="Y133">
        <f t="shared" si="29"/>
        <v>0.70111408099105466</v>
      </c>
      <c r="Z133">
        <f t="shared" si="40"/>
        <v>2.5198740083990812E-2</v>
      </c>
      <c r="AA133">
        <f t="shared" si="30"/>
        <v>5.2997350176646606E-2</v>
      </c>
      <c r="AB133">
        <f t="shared" si="34"/>
        <v>0.31013782670039869</v>
      </c>
      <c r="AC133">
        <f t="shared" si="31"/>
        <v>1.6908259354764559</v>
      </c>
      <c r="AD133">
        <f t="shared" si="38"/>
        <v>7.7023842868342081E-4</v>
      </c>
      <c r="AE133">
        <f t="shared" si="32"/>
        <v>1.0090401677359579</v>
      </c>
      <c r="AF133">
        <f t="shared" si="33"/>
        <v>1.5161880170619035E-2</v>
      </c>
    </row>
    <row r="134" spans="1:32" x14ac:dyDescent="0.25">
      <c r="A134" s="6">
        <v>44454.333333333336</v>
      </c>
      <c r="B134">
        <v>63179720.921226501</v>
      </c>
      <c r="C134">
        <v>63200301.534759521</v>
      </c>
      <c r="D134">
        <v>18720.680151216686</v>
      </c>
      <c r="E134">
        <v>189539.16276367009</v>
      </c>
      <c r="F134">
        <v>9.3877510208329892E+18</v>
      </c>
      <c r="G134">
        <v>3511</v>
      </c>
      <c r="H134">
        <v>2.9327614131969247E-4</v>
      </c>
      <c r="I134">
        <v>3409.7557186212662</v>
      </c>
      <c r="J134">
        <f t="shared" si="39"/>
        <v>2.4098795080324895E-2</v>
      </c>
      <c r="K134">
        <f t="shared" si="24"/>
        <v>3.288327858010609E-2</v>
      </c>
      <c r="L134">
        <f t="shared" si="25"/>
        <v>0.99849158621558787</v>
      </c>
      <c r="M134">
        <f t="shared" si="26"/>
        <v>0.6282100840127961</v>
      </c>
      <c r="N134" s="2">
        <v>0.12791201740905275</v>
      </c>
      <c r="O134" s="9">
        <v>0.8915865034947662</v>
      </c>
      <c r="P134">
        <f t="shared" si="35"/>
        <v>0</v>
      </c>
      <c r="Q134">
        <f t="shared" si="27"/>
        <v>0.41580204380735813</v>
      </c>
      <c r="R134">
        <f t="shared" si="36"/>
        <v>0.74307738267753043</v>
      </c>
      <c r="S134" s="9">
        <f t="shared" si="28"/>
        <v>0.80354932798173373</v>
      </c>
      <c r="T134">
        <v>0.88109999999999999</v>
      </c>
      <c r="U134">
        <v>0.92243666666666668</v>
      </c>
      <c r="V134">
        <v>0.48320310000753991</v>
      </c>
      <c r="W134" s="9">
        <v>0.99397483972167655</v>
      </c>
      <c r="X134">
        <f t="shared" si="37"/>
        <v>0.48015719183218175</v>
      </c>
      <c r="Y134">
        <f t="shared" si="29"/>
        <v>0.70416234736357275</v>
      </c>
      <c r="Z134">
        <f t="shared" si="40"/>
        <v>2.4098795080324895E-2</v>
      </c>
      <c r="AA134">
        <f t="shared" si="30"/>
        <v>3.3098345110320837E-2</v>
      </c>
      <c r="AB134">
        <f t="shared" si="34"/>
        <v>0.29218205780721634</v>
      </c>
      <c r="AC134">
        <f t="shared" si="31"/>
        <v>1.6348560790282782</v>
      </c>
      <c r="AD134">
        <f t="shared" si="38"/>
        <v>3.5038249219706755E-4</v>
      </c>
      <c r="AE134">
        <f t="shared" si="32"/>
        <v>1.0451890625440563</v>
      </c>
      <c r="AF134">
        <f t="shared" si="33"/>
        <v>1.5013918167090523E-2</v>
      </c>
    </row>
    <row r="135" spans="1:32" x14ac:dyDescent="0.25">
      <c r="A135" s="6">
        <v>44455.333344907405</v>
      </c>
      <c r="B135">
        <v>93746748.664241791</v>
      </c>
      <c r="C135">
        <v>93781667.104541779</v>
      </c>
      <c r="D135">
        <v>26239.738153180107</v>
      </c>
      <c r="E135">
        <v>281240.24599273503</v>
      </c>
      <c r="F135">
        <v>1.2658300912337525E+19</v>
      </c>
      <c r="G135">
        <v>3507</v>
      </c>
      <c r="H135">
        <v>2.7652951680630648E-4</v>
      </c>
      <c r="I135">
        <v>3616.2504876484641</v>
      </c>
      <c r="J135">
        <f t="shared" si="39"/>
        <v>5.8797060195978565E-2</v>
      </c>
      <c r="K135">
        <f t="shared" si="24"/>
        <v>6.7236424601006012E-2</v>
      </c>
      <c r="L135">
        <f t="shared" si="25"/>
        <v>0.99270699071031654</v>
      </c>
      <c r="M135">
        <f t="shared" si="26"/>
        <v>0.66130031703647341</v>
      </c>
      <c r="N135" s="2">
        <v>0.13693138125476481</v>
      </c>
      <c r="O135" s="9">
        <v>0.87519405784970905</v>
      </c>
      <c r="P135">
        <f t="shared" si="35"/>
        <v>0</v>
      </c>
      <c r="Q135">
        <f t="shared" si="27"/>
        <v>0.40682911980459241</v>
      </c>
      <c r="R135">
        <f t="shared" si="36"/>
        <v>0.79013853684818169</v>
      </c>
      <c r="S135" s="9">
        <f t="shared" si="28"/>
        <v>0.8009801832755965</v>
      </c>
      <c r="T135">
        <v>0.81220000000000003</v>
      </c>
      <c r="U135">
        <v>0.91748333333333343</v>
      </c>
      <c r="V135">
        <v>0.48322626450022549</v>
      </c>
      <c r="W135" s="9">
        <v>0.99398683664336551</v>
      </c>
      <c r="X135">
        <f t="shared" si="37"/>
        <v>0.57795723378039465</v>
      </c>
      <c r="Y135">
        <f t="shared" si="29"/>
        <v>0.69811384645348373</v>
      </c>
      <c r="Z135">
        <f t="shared" si="40"/>
        <v>5.8797060195978565E-2</v>
      </c>
      <c r="AA135">
        <f t="shared" si="30"/>
        <v>0.10299485034329529</v>
      </c>
      <c r="AB135">
        <f t="shared" si="34"/>
        <v>0.27864940109544339</v>
      </c>
      <c r="AC135">
        <f t="shared" si="31"/>
        <v>1.5912098550639153</v>
      </c>
      <c r="AD135">
        <f t="shared" si="38"/>
        <v>3.7508411634825869E-4</v>
      </c>
      <c r="AE135">
        <f t="shared" si="32"/>
        <v>1.2051338873711257</v>
      </c>
      <c r="AF135">
        <f t="shared" si="33"/>
        <v>1.0815110575700615E-2</v>
      </c>
    </row>
    <row r="136" spans="1:32" x14ac:dyDescent="0.25">
      <c r="A136" s="6">
        <v>44456.333391203705</v>
      </c>
      <c r="B136">
        <v>100961803.9330368</v>
      </c>
      <c r="C136">
        <v>100916014.70041275</v>
      </c>
      <c r="D136">
        <v>28411.60998749733</v>
      </c>
      <c r="E136">
        <v>302885.41179910302</v>
      </c>
      <c r="F136">
        <v>9.6381912604058358E+18</v>
      </c>
      <c r="G136">
        <v>3513</v>
      </c>
      <c r="H136">
        <v>2.9070676159393153E-4</v>
      </c>
      <c r="I136">
        <v>3439.8924693634472</v>
      </c>
      <c r="J136">
        <f t="shared" si="39"/>
        <v>-4.9997500166648487E-2</v>
      </c>
      <c r="K136">
        <f t="shared" si="24"/>
        <v>8.4797775486549556E-2</v>
      </c>
      <c r="L136">
        <f t="shared" si="25"/>
        <v>1.1594871870937651</v>
      </c>
      <c r="M136">
        <f t="shared" si="26"/>
        <v>0.68123762148777156</v>
      </c>
      <c r="N136" s="2">
        <v>0.18991636642781398</v>
      </c>
      <c r="O136" s="9">
        <v>0.89613499314194733</v>
      </c>
      <c r="P136">
        <f t="shared" si="35"/>
        <v>0.60712654497673602</v>
      </c>
      <c r="Q136">
        <f t="shared" si="27"/>
        <v>0.39936542026365635</v>
      </c>
      <c r="R136">
        <f t="shared" si="36"/>
        <v>1.0238157982747573</v>
      </c>
      <c r="S136" s="9">
        <f t="shared" si="28"/>
        <v>0.7960885844200426</v>
      </c>
      <c r="T136">
        <v>0.84109999999999996</v>
      </c>
      <c r="U136">
        <v>0.91511333333333345</v>
      </c>
      <c r="V136">
        <v>0.45710350264071342</v>
      </c>
      <c r="W136" s="9">
        <v>0.97994962906272887</v>
      </c>
      <c r="X136">
        <f t="shared" si="37"/>
        <v>0.8590130793829881</v>
      </c>
      <c r="Y136">
        <f t="shared" si="29"/>
        <v>0.68895869210611915</v>
      </c>
      <c r="Z136">
        <f t="shared" si="40"/>
        <v>-4.9997500166648487E-2</v>
      </c>
      <c r="AA136">
        <f t="shared" si="30"/>
        <v>0.1365931704552833</v>
      </c>
      <c r="AB136">
        <f t="shared" si="34"/>
        <v>0.26733330022439189</v>
      </c>
      <c r="AC136">
        <f t="shared" si="31"/>
        <v>1.5536691809834093</v>
      </c>
      <c r="AD136">
        <f t="shared" si="38"/>
        <v>5.2018349323514122E-4</v>
      </c>
      <c r="AE136">
        <f t="shared" si="32"/>
        <v>1.1532601798051543</v>
      </c>
      <c r="AF136">
        <f t="shared" si="33"/>
        <v>1.2530961157953158E-2</v>
      </c>
    </row>
    <row r="137" spans="1:32" x14ac:dyDescent="0.25">
      <c r="A137" s="6">
        <v>44457.333333333336</v>
      </c>
      <c r="B137">
        <v>75742104.233470917</v>
      </c>
      <c r="C137">
        <v>75749820.693546295</v>
      </c>
      <c r="D137">
        <v>22064.418671632186</v>
      </c>
      <c r="E137">
        <v>227226.31270042062</v>
      </c>
      <c r="F137">
        <v>1.5478330887093144E+19</v>
      </c>
      <c r="G137">
        <v>3514</v>
      </c>
      <c r="H137">
        <v>2.8543547082779034E-4</v>
      </c>
      <c r="I137">
        <v>3503.4188186209085</v>
      </c>
      <c r="J137">
        <f t="shared" si="39"/>
        <v>1.8299085060993234E-2</v>
      </c>
      <c r="K137">
        <f t="shared" si="24"/>
        <v>9.6331839001445069E-2</v>
      </c>
      <c r="L137">
        <f t="shared" si="25"/>
        <v>0.71815666431056313</v>
      </c>
      <c r="M137">
        <f t="shared" si="26"/>
        <v>0.7051761769647904</v>
      </c>
      <c r="N137" s="2">
        <v>9.2683846080066953E-2</v>
      </c>
      <c r="O137" s="9">
        <v>0.87926782799913628</v>
      </c>
      <c r="P137">
        <f t="shared" si="35"/>
        <v>0</v>
      </c>
      <c r="Q137">
        <f t="shared" si="27"/>
        <v>0.39335216494078729</v>
      </c>
      <c r="R137">
        <f t="shared" si="36"/>
        <v>0.51994098320386573</v>
      </c>
      <c r="S137" s="9">
        <f t="shared" si="28"/>
        <v>0.78529049852755861</v>
      </c>
      <c r="T137">
        <v>0.82590000000000008</v>
      </c>
      <c r="U137">
        <v>0.91124666666666676</v>
      </c>
      <c r="V137">
        <v>0.44916914887984277</v>
      </c>
      <c r="W137" s="9">
        <v>0.97674740626453471</v>
      </c>
      <c r="X137">
        <f>IF(EXP(2*N137-O137*O137/4)-1&lt;0,0,2*LN(EXP(N137-O137*O137/8)+SQRT(EXP(2*N137-O137*O137/4)-1)))</f>
        <v>0</v>
      </c>
      <c r="Y137">
        <f t="shared" si="29"/>
        <v>0.66363283288691965</v>
      </c>
      <c r="Z137">
        <f t="shared" si="40"/>
        <v>1.8299085060993234E-2</v>
      </c>
      <c r="AA137">
        <f t="shared" si="30"/>
        <v>0.16089195553627431</v>
      </c>
      <c r="AB137">
        <f t="shared" si="34"/>
        <v>0.25500391668329631</v>
      </c>
      <c r="AC137">
        <f t="shared" si="31"/>
        <v>1.5116070256337855</v>
      </c>
      <c r="AD137">
        <f t="shared" si="38"/>
        <v>2.5389611107920306E-4</v>
      </c>
      <c r="AE137">
        <f t="shared" si="32"/>
        <v>1.0912192349526089</v>
      </c>
      <c r="AF137">
        <f t="shared" si="33"/>
        <v>1.3985924069832567E-2</v>
      </c>
    </row>
    <row r="138" spans="1:32" x14ac:dyDescent="0.25">
      <c r="A138" s="6">
        <v>44458.333414351851</v>
      </c>
      <c r="B138">
        <v>50876282.710926056</v>
      </c>
      <c r="C138">
        <v>50840386.943187714</v>
      </c>
      <c r="D138">
        <v>14866.205833453685</v>
      </c>
      <c r="E138">
        <v>152628.84813277423</v>
      </c>
      <c r="F138">
        <v>9.5777565183114547E+18</v>
      </c>
      <c r="G138">
        <v>3507</v>
      </c>
      <c r="H138">
        <v>3.0073015634248613E-4</v>
      </c>
      <c r="I138">
        <v>3325.2401826345322</v>
      </c>
      <c r="J138">
        <f t="shared" si="39"/>
        <v>-5.2197390173980979E-2</v>
      </c>
      <c r="K138">
        <f t="shared" si="24"/>
        <v>3.3452123568505215E-2</v>
      </c>
      <c r="L138">
        <f t="shared" si="25"/>
        <v>0.87139158610206002</v>
      </c>
      <c r="M138">
        <f t="shared" si="26"/>
        <v>0.73422256316819234</v>
      </c>
      <c r="N138" s="2">
        <v>9.8319013917228235E-2</v>
      </c>
      <c r="O138" s="9">
        <v>0.87974203557287556</v>
      </c>
      <c r="P138">
        <f t="shared" si="35"/>
        <v>0</v>
      </c>
      <c r="Q138">
        <f t="shared" si="27"/>
        <v>0.39335216494078729</v>
      </c>
      <c r="R138">
        <f t="shared" si="36"/>
        <v>0.56162262126119245</v>
      </c>
      <c r="S138" s="9">
        <f t="shared" si="28"/>
        <v>0.78373438059750955</v>
      </c>
      <c r="T138">
        <v>0.82269999999999999</v>
      </c>
      <c r="U138">
        <v>0.9092800000000002</v>
      </c>
      <c r="V138">
        <v>0.49876549410646454</v>
      </c>
      <c r="W138" s="9">
        <v>1.0095761026019558</v>
      </c>
      <c r="X138">
        <f t="shared" si="37"/>
        <v>0.1123062106107342</v>
      </c>
      <c r="Y138">
        <f t="shared" si="29"/>
        <v>0.64837067151401861</v>
      </c>
      <c r="Z138">
        <f t="shared" si="40"/>
        <v>-5.2197390173980979E-2</v>
      </c>
      <c r="AA138">
        <f t="shared" si="30"/>
        <v>3.5098245116986865E-2</v>
      </c>
      <c r="AB138">
        <f t="shared" si="34"/>
        <v>0.23878472762923547</v>
      </c>
      <c r="AC138">
        <f t="shared" si="31"/>
        <v>1.4542830857365499</v>
      </c>
      <c r="AD138">
        <f t="shared" si="38"/>
        <v>2.6933088859695548E-4</v>
      </c>
      <c r="AE138">
        <f t="shared" si="32"/>
        <v>1.0216295290955293</v>
      </c>
      <c r="AF138">
        <f t="shared" si="33"/>
        <v>1.4874896225004264E-2</v>
      </c>
    </row>
    <row r="139" spans="1:32" x14ac:dyDescent="0.25">
      <c r="A139" s="6">
        <v>44459.333368055559</v>
      </c>
      <c r="B139">
        <v>147469825.23610687</v>
      </c>
      <c r="C139">
        <v>147438011.02172852</v>
      </c>
      <c r="D139">
        <v>46199.334985906258</v>
      </c>
      <c r="E139">
        <v>442409.47570832074</v>
      </c>
      <c r="F139">
        <v>2.340004509693644E+19</v>
      </c>
      <c r="G139">
        <v>3505</v>
      </c>
      <c r="H139">
        <v>3.2921428054586734E-4</v>
      </c>
      <c r="I139">
        <v>3037.5353047926983</v>
      </c>
      <c r="J139">
        <f t="shared" si="39"/>
        <v>-9.0495475301634168E-2</v>
      </c>
      <c r="K139">
        <f t="shared" si="24"/>
        <v>-1.5200104574283752E-2</v>
      </c>
      <c r="L139">
        <f t="shared" si="25"/>
        <v>0.97498786717290153</v>
      </c>
      <c r="M139">
        <f t="shared" si="26"/>
        <v>0.76672215874062244</v>
      </c>
      <c r="N139" s="2">
        <v>0.11952791721294141</v>
      </c>
      <c r="O139" s="9">
        <v>0.97036634559104229</v>
      </c>
      <c r="P139">
        <f t="shared" si="35"/>
        <v>0</v>
      </c>
      <c r="Q139">
        <f t="shared" si="27"/>
        <v>0.39335216494078729</v>
      </c>
      <c r="R139">
        <f t="shared" si="36"/>
        <v>0.69648488503197126</v>
      </c>
      <c r="S139" s="9">
        <f t="shared" si="28"/>
        <v>0.79916532518991212</v>
      </c>
      <c r="T139">
        <v>0.97860000000000003</v>
      </c>
      <c r="U139">
        <v>0.91309333333333353</v>
      </c>
      <c r="V139">
        <v>0.54674495931466782</v>
      </c>
      <c r="W139" s="9">
        <v>1.0419673280622499</v>
      </c>
      <c r="X139">
        <f t="shared" si="37"/>
        <v>0.12091894842140091</v>
      </c>
      <c r="Y139">
        <f t="shared" si="29"/>
        <v>0.65240130312806532</v>
      </c>
      <c r="Z139">
        <f t="shared" si="40"/>
        <v>-9.0495475301634168E-2</v>
      </c>
      <c r="AA139">
        <f t="shared" si="30"/>
        <v>6.9096545230309184E-2</v>
      </c>
      <c r="AB139">
        <f t="shared" si="34"/>
        <v>0.22450877474831843</v>
      </c>
      <c r="AC139">
        <f t="shared" si="31"/>
        <v>1.4017846691819922</v>
      </c>
      <c r="AD139">
        <f t="shared" si="38"/>
        <v>3.2742013796481343E-4</v>
      </c>
      <c r="AE139">
        <f t="shared" si="32"/>
        <v>0.93127893350326574</v>
      </c>
      <c r="AF139">
        <f t="shared" si="33"/>
        <v>1.4439774631360036E-2</v>
      </c>
    </row>
    <row r="140" spans="1:32" x14ac:dyDescent="0.25">
      <c r="A140" s="6">
        <v>44460.334004629629</v>
      </c>
      <c r="B140">
        <v>254547898.15497589</v>
      </c>
      <c r="C140">
        <v>254487173.18301773</v>
      </c>
      <c r="D140">
        <v>85044.609928516671</v>
      </c>
      <c r="E140">
        <v>763643.69446493685</v>
      </c>
      <c r="F140">
        <v>7.1541736302650173E+18</v>
      </c>
      <c r="G140">
        <v>3495</v>
      </c>
      <c r="H140">
        <v>3.2721228582404489E-4</v>
      </c>
      <c r="I140">
        <v>3056.1199665276013</v>
      </c>
      <c r="J140">
        <f t="shared" si="39"/>
        <v>6.0996950203310871E-3</v>
      </c>
      <c r="K140">
        <f t="shared" si="24"/>
        <v>-1.2164826220001229E-2</v>
      </c>
      <c r="L140">
        <f t="shared" si="25"/>
        <v>2.402374109413548</v>
      </c>
      <c r="M140">
        <f t="shared" si="26"/>
        <v>0.84680129572107399</v>
      </c>
      <c r="N140" s="2">
        <v>0.72187528237130272</v>
      </c>
      <c r="O140" s="9">
        <v>0.99599159513173008</v>
      </c>
      <c r="P140">
        <f t="shared" si="35"/>
        <v>2.1504125113948018</v>
      </c>
      <c r="Q140">
        <f t="shared" si="27"/>
        <v>0.46503258198728065</v>
      </c>
      <c r="R140">
        <f t="shared" si="36"/>
        <v>2.3030132688165059</v>
      </c>
      <c r="S140" s="9">
        <f t="shared" si="28"/>
        <v>0.87593243415046229</v>
      </c>
      <c r="T140">
        <v>1.1753</v>
      </c>
      <c r="U140">
        <v>0.92158333333333353</v>
      </c>
      <c r="V140">
        <v>0.55367602365228641</v>
      </c>
      <c r="W140" s="9">
        <v>1.0464538990803602</v>
      </c>
      <c r="X140">
        <f t="shared" si="37"/>
        <v>2.4100343122268617</v>
      </c>
      <c r="Y140">
        <f t="shared" si="29"/>
        <v>0.73273578020229402</v>
      </c>
      <c r="Z140">
        <f t="shared" si="40"/>
        <v>6.0996950203310871E-3</v>
      </c>
      <c r="AA140">
        <f t="shared" si="30"/>
        <v>6.5096745216977045E-2</v>
      </c>
      <c r="AB140">
        <f t="shared" si="34"/>
        <v>0.21136276537116763</v>
      </c>
      <c r="AC140">
        <f t="shared" si="31"/>
        <v>1.3515869090590031</v>
      </c>
      <c r="AD140">
        <f t="shared" si="38"/>
        <v>1.9757873457026489E-3</v>
      </c>
      <c r="AE140">
        <f t="shared" si="32"/>
        <v>0.91439235674818253</v>
      </c>
      <c r="AF140">
        <f t="shared" si="33"/>
        <v>1.5911271809207594E-2</v>
      </c>
    </row>
    <row r="141" spans="1:32" x14ac:dyDescent="0.25">
      <c r="A141" s="6">
        <v>44461.333425925928</v>
      </c>
      <c r="B141">
        <v>233924014.41114426</v>
      </c>
      <c r="C141">
        <v>233890058.78229141</v>
      </c>
      <c r="D141">
        <v>82231.149569969624</v>
      </c>
      <c r="E141">
        <v>701772.04323342443</v>
      </c>
      <c r="F141">
        <v>5.8717859773669325E+18</v>
      </c>
      <c r="G141">
        <v>3497</v>
      </c>
      <c r="H141">
        <v>3.455047642564704E-4</v>
      </c>
      <c r="I141">
        <v>2894.3160947491119</v>
      </c>
      <c r="J141">
        <f t="shared" si="39"/>
        <v>-5.4397280181313859E-2</v>
      </c>
      <c r="K141">
        <f t="shared" si="24"/>
        <v>-4.8552742051199804E-2</v>
      </c>
      <c r="L141">
        <f t="shared" si="25"/>
        <v>2.5619464244693315</v>
      </c>
      <c r="M141">
        <f t="shared" si="26"/>
        <v>0.93219950987005162</v>
      </c>
      <c r="N141" s="2">
        <v>0.8276158110261701</v>
      </c>
      <c r="O141" s="9">
        <v>1.0670011653440614</v>
      </c>
      <c r="P141">
        <f t="shared" si="35"/>
        <v>2.3388454840801769</v>
      </c>
      <c r="Q141">
        <f t="shared" si="27"/>
        <v>0.54299409812328647</v>
      </c>
      <c r="R141">
        <f t="shared" si="36"/>
        <v>2.4798778892485469</v>
      </c>
      <c r="S141" s="9">
        <f t="shared" si="28"/>
        <v>0.9357326713905858</v>
      </c>
      <c r="T141">
        <v>0.86699999999999999</v>
      </c>
      <c r="U141">
        <v>0.92112000000000016</v>
      </c>
      <c r="V141">
        <v>0.53406632005044752</v>
      </c>
      <c r="W141" s="9">
        <v>1.0368288868226432</v>
      </c>
      <c r="X141">
        <f t="shared" si="37"/>
        <v>2.6157797484775553</v>
      </c>
      <c r="Y141">
        <f t="shared" si="29"/>
        <v>0.79812013763358491</v>
      </c>
      <c r="Z141">
        <f t="shared" si="40"/>
        <v>-5.4397280181313859E-2</v>
      </c>
      <c r="AA141">
        <f t="shared" si="30"/>
        <v>0.14389280547961544</v>
      </c>
      <c r="AB141">
        <f t="shared" si="34"/>
        <v>0.20141992917136015</v>
      </c>
      <c r="AC141">
        <f t="shared" si="31"/>
        <v>1.3123381016388176</v>
      </c>
      <c r="AD141">
        <f t="shared" si="38"/>
        <v>2.2648738140240922E-3</v>
      </c>
      <c r="AE141">
        <f t="shared" si="32"/>
        <v>0.87345974476911381</v>
      </c>
      <c r="AF141">
        <f t="shared" si="33"/>
        <v>1.657897990650925E-2</v>
      </c>
    </row>
    <row r="142" spans="1:32" x14ac:dyDescent="0.25">
      <c r="A142" s="6">
        <v>44462.333402777775</v>
      </c>
      <c r="B142">
        <v>106117020.50433731</v>
      </c>
      <c r="C142">
        <v>106182708.95265579</v>
      </c>
      <c r="D142">
        <v>34728.006338244304</v>
      </c>
      <c r="E142">
        <v>318351.06151302159</v>
      </c>
      <c r="F142">
        <v>7.4220395882398075E+18</v>
      </c>
      <c r="G142">
        <v>3513</v>
      </c>
      <c r="H142">
        <v>3.2747414729047031E-4</v>
      </c>
      <c r="I142">
        <v>3053.6761703909337</v>
      </c>
      <c r="J142">
        <f t="shared" si="39"/>
        <v>5.3597320178647496E-2</v>
      </c>
      <c r="K142">
        <f t="shared" si="24"/>
        <v>-1.7774016785025763E-2</v>
      </c>
      <c r="L142">
        <f t="shared" si="25"/>
        <v>1.504831851003076</v>
      </c>
      <c r="M142">
        <f t="shared" si="26"/>
        <v>0.98236057157015422</v>
      </c>
      <c r="N142" s="2">
        <v>0.28402575999687385</v>
      </c>
      <c r="O142" s="9">
        <v>1.0596847588260176</v>
      </c>
      <c r="P142">
        <f t="shared" si="35"/>
        <v>1.0589984844974367</v>
      </c>
      <c r="Q142">
        <f t="shared" si="27"/>
        <v>0.57829404760653447</v>
      </c>
      <c r="R142">
        <f t="shared" si="36"/>
        <v>1.3420409596392571</v>
      </c>
      <c r="S142" s="9">
        <f t="shared" si="28"/>
        <v>0.96973437726653766</v>
      </c>
      <c r="T142">
        <v>0.8418000000000001</v>
      </c>
      <c r="U142">
        <v>0.91924666666666666</v>
      </c>
      <c r="V142">
        <v>0.54455974911961313</v>
      </c>
      <c r="W142" s="9">
        <v>1.0443375845504568</v>
      </c>
      <c r="X142">
        <f t="shared" si="37"/>
        <v>1.0978850913779701</v>
      </c>
      <c r="Y142">
        <f t="shared" si="29"/>
        <v>0.83093063752644802</v>
      </c>
      <c r="Z142">
        <f t="shared" si="40"/>
        <v>5.3597320178647496E-2</v>
      </c>
      <c r="AA142">
        <f t="shared" si="30"/>
        <v>8.1695915272304492E-2</v>
      </c>
      <c r="AB142">
        <f t="shared" si="34"/>
        <v>0.18991717096635322</v>
      </c>
      <c r="AC142">
        <f t="shared" si="31"/>
        <v>1.2654398561662508</v>
      </c>
      <c r="AD142">
        <f t="shared" si="38"/>
        <v>7.7785016322139328E-4</v>
      </c>
      <c r="AE142">
        <f t="shared" si="32"/>
        <v>0.97501859625480825</v>
      </c>
      <c r="AF142">
        <f t="shared" si="33"/>
        <v>1.9416448565331867E-2</v>
      </c>
    </row>
    <row r="143" spans="1:32" x14ac:dyDescent="0.25">
      <c r="A143" s="6">
        <v>44463.333391203705</v>
      </c>
      <c r="B143">
        <v>149483283.24341583</v>
      </c>
      <c r="C143">
        <v>149437625.234272</v>
      </c>
      <c r="D143">
        <v>50102.29696970433</v>
      </c>
      <c r="E143">
        <v>448449.84973023832</v>
      </c>
      <c r="F143">
        <v>6.6451210367805747E+18</v>
      </c>
      <c r="G143">
        <v>3516</v>
      </c>
      <c r="H143">
        <v>3.5326035075685844E-4</v>
      </c>
      <c r="I143">
        <v>2830.773388118721</v>
      </c>
      <c r="J143">
        <f t="shared" si="39"/>
        <v>-7.5796210252639259E-2</v>
      </c>
      <c r="K143">
        <f t="shared" si="24"/>
        <v>-2.6220926582150285E-2</v>
      </c>
      <c r="L143">
        <f t="shared" si="25"/>
        <v>1.8730980149053782</v>
      </c>
      <c r="M143">
        <f t="shared" si="26"/>
        <v>1.0216708768506442</v>
      </c>
      <c r="N143" s="2">
        <v>0.44065322012108699</v>
      </c>
      <c r="O143" s="9">
        <v>1.0880679710086176</v>
      </c>
      <c r="P143">
        <f t="shared" si="35"/>
        <v>1.5409404502321213</v>
      </c>
      <c r="Q143">
        <f t="shared" si="27"/>
        <v>0.62965872928093847</v>
      </c>
      <c r="R143">
        <f t="shared" si="36"/>
        <v>1.747596526187656</v>
      </c>
      <c r="S143" s="9">
        <f t="shared" si="28"/>
        <v>1.0021322340704406</v>
      </c>
      <c r="T143">
        <v>0.91139999999999999</v>
      </c>
      <c r="U143">
        <v>0.92004000000000008</v>
      </c>
      <c r="V143">
        <v>0.53989440533545696</v>
      </c>
      <c r="W143" s="9">
        <v>1.0420450655126368</v>
      </c>
      <c r="X143">
        <f t="shared" si="37"/>
        <v>1.6057552816873355</v>
      </c>
      <c r="Y143">
        <f t="shared" si="29"/>
        <v>0.86036810384378737</v>
      </c>
      <c r="Z143">
        <f t="shared" si="40"/>
        <v>-7.5796210252639259E-2</v>
      </c>
      <c r="AA143">
        <f t="shared" si="30"/>
        <v>0.101094945336964</v>
      </c>
      <c r="AB143">
        <f t="shared" si="34"/>
        <v>0.18365748394548884</v>
      </c>
      <c r="AC143">
        <f t="shared" si="31"/>
        <v>1.239200238752542</v>
      </c>
      <c r="AD143">
        <f t="shared" si="38"/>
        <v>1.2065409328872768E-3</v>
      </c>
      <c r="AE143">
        <f t="shared" si="32"/>
        <v>0.91366117193433549</v>
      </c>
      <c r="AF143">
        <f t="shared" si="33"/>
        <v>1.931492502557508E-2</v>
      </c>
    </row>
    <row r="144" spans="1:32" x14ac:dyDescent="0.25">
      <c r="A144" s="6">
        <v>44464.333356481482</v>
      </c>
      <c r="B144">
        <v>126577835.64057159</v>
      </c>
      <c r="C144">
        <v>126588057.24531555</v>
      </c>
      <c r="D144">
        <v>43817.10806677863</v>
      </c>
      <c r="E144">
        <v>379733.50692170858</v>
      </c>
      <c r="F144">
        <v>9.1187701461093181E+18</v>
      </c>
      <c r="G144">
        <v>3522</v>
      </c>
      <c r="H144">
        <v>3.4340370499118256E-4</v>
      </c>
      <c r="I144">
        <v>2912.024493229264</v>
      </c>
      <c r="J144">
        <f t="shared" si="39"/>
        <v>2.8298585094323047E-2</v>
      </c>
      <c r="K144">
        <f t="shared" si="24"/>
        <v>-7.0229131437845038E-3</v>
      </c>
      <c r="L144">
        <f t="shared" si="25"/>
        <v>1.5091343334095431</v>
      </c>
      <c r="M144">
        <f t="shared" si="26"/>
        <v>1.0573094440143833</v>
      </c>
      <c r="N144" s="2">
        <v>0.28483582320775452</v>
      </c>
      <c r="O144" s="9">
        <v>1.0801895506642245</v>
      </c>
      <c r="P144">
        <f t="shared" si="35"/>
        <v>1.0620538102445247</v>
      </c>
      <c r="Q144">
        <f t="shared" si="27"/>
        <v>0.66506052295575591</v>
      </c>
      <c r="R144">
        <f t="shared" si="36"/>
        <v>1.3444532134055476</v>
      </c>
      <c r="S144" s="9">
        <f t="shared" si="28"/>
        <v>1.0258980673180427</v>
      </c>
      <c r="T144">
        <v>0.86099999999999999</v>
      </c>
      <c r="U144">
        <v>0.91943666666666668</v>
      </c>
      <c r="V144">
        <v>0.56205130681707083</v>
      </c>
      <c r="W144" s="9">
        <v>1.0527948867606072</v>
      </c>
      <c r="X144">
        <f t="shared" si="37"/>
        <v>1.0790426216326812</v>
      </c>
      <c r="Y144">
        <f t="shared" si="29"/>
        <v>0.87859161692547316</v>
      </c>
      <c r="Z144">
        <f t="shared" si="40"/>
        <v>2.8298585094323047E-2</v>
      </c>
      <c r="AA144">
        <f t="shared" si="30"/>
        <v>6.1996900206644875E-2</v>
      </c>
      <c r="AB144">
        <f t="shared" si="34"/>
        <v>0.17541122958466962</v>
      </c>
      <c r="AC144">
        <f t="shared" si="31"/>
        <v>1.2038098956484797</v>
      </c>
      <c r="AD144">
        <f t="shared" si="38"/>
        <v>7.8006778637372597E-4</v>
      </c>
      <c r="AE144">
        <f t="shared" si="32"/>
        <v>0.92256636039362461</v>
      </c>
      <c r="AF144">
        <f t="shared" si="33"/>
        <v>2.0017751861481248E-2</v>
      </c>
    </row>
    <row r="145" spans="1:32" x14ac:dyDescent="0.25">
      <c r="A145" s="6">
        <v>44465.333437499998</v>
      </c>
      <c r="B145">
        <v>129190133.63851929</v>
      </c>
      <c r="C145">
        <v>129205584.71192551</v>
      </c>
      <c r="D145">
        <v>44796.360436502844</v>
      </c>
      <c r="E145">
        <v>387570.40091556311</v>
      </c>
      <c r="F145">
        <v>9.3156894299091169E+18</v>
      </c>
      <c r="G145">
        <v>3532</v>
      </c>
      <c r="H145">
        <v>3.3643594100510684E-4</v>
      </c>
      <c r="I145">
        <v>2972.3340408057675</v>
      </c>
      <c r="J145">
        <f t="shared" si="39"/>
        <v>2.0498975068325927E-2</v>
      </c>
      <c r="K145">
        <f t="shared" si="24"/>
        <v>-6.2812513580937715E-3</v>
      </c>
      <c r="L145">
        <f t="shared" si="25"/>
        <v>1.5175310376315636</v>
      </c>
      <c r="M145">
        <f t="shared" si="26"/>
        <v>1.0934037976566082</v>
      </c>
      <c r="N145" s="2">
        <v>0.2879825623520923</v>
      </c>
      <c r="O145" s="9">
        <v>1.0754871688900032</v>
      </c>
      <c r="P145">
        <f t="shared" si="35"/>
        <v>1.0738399364009588</v>
      </c>
      <c r="Q145">
        <f t="shared" si="27"/>
        <v>0.70085518750245457</v>
      </c>
      <c r="R145">
        <f t="shared" si="36"/>
        <v>1.3537829797243004</v>
      </c>
      <c r="S145" s="9">
        <f t="shared" si="28"/>
        <v>1.0508262365844956</v>
      </c>
      <c r="T145">
        <v>0.89209999999999989</v>
      </c>
      <c r="U145">
        <v>0.92006666666666681</v>
      </c>
      <c r="V145">
        <v>0.57180167508583268</v>
      </c>
      <c r="W145" s="9">
        <v>1.0577373354294146</v>
      </c>
      <c r="X145">
        <f t="shared" si="37"/>
        <v>1.096840890908281</v>
      </c>
      <c r="Y145">
        <f t="shared" si="29"/>
        <v>0.89918275559793259</v>
      </c>
      <c r="Z145">
        <f t="shared" si="40"/>
        <v>2.0498975068325927E-2</v>
      </c>
      <c r="AA145">
        <f t="shared" si="30"/>
        <v>6.0096995200312239E-2</v>
      </c>
      <c r="AB145">
        <f t="shared" si="34"/>
        <v>0.16735496572448363</v>
      </c>
      <c r="AC145">
        <f t="shared" si="31"/>
        <v>1.1682776973276188</v>
      </c>
      <c r="AD145">
        <f t="shared" si="38"/>
        <v>7.8868222990396096E-4</v>
      </c>
      <c r="AE145">
        <f t="shared" si="32"/>
        <v>0.92182863931852221</v>
      </c>
      <c r="AF145">
        <f t="shared" si="33"/>
        <v>2.0513036930013717E-2</v>
      </c>
    </row>
    <row r="146" spans="1:32" x14ac:dyDescent="0.25">
      <c r="A146" s="6">
        <v>44466.333518518521</v>
      </c>
      <c r="B146">
        <v>96668623.356182098</v>
      </c>
      <c r="C146">
        <v>96689173.406822205</v>
      </c>
      <c r="D146">
        <v>31411.137825300917</v>
      </c>
      <c r="E146">
        <v>290005.87006853521</v>
      </c>
      <c r="F146">
        <v>1.1672366656210629E+19</v>
      </c>
      <c r="G146">
        <v>3540</v>
      </c>
      <c r="H146">
        <v>3.2360049257275294E-4</v>
      </c>
      <c r="I146">
        <v>3090.2301540074964</v>
      </c>
      <c r="J146">
        <f t="shared" si="39"/>
        <v>3.8898055129652595E-2</v>
      </c>
      <c r="K146">
        <f t="shared" si="24"/>
        <v>2.9242711720845992E-3</v>
      </c>
      <c r="L146">
        <f t="shared" si="25"/>
        <v>1.1464774773208701</v>
      </c>
      <c r="M146">
        <f t="shared" si="26"/>
        <v>1.1316197135673038</v>
      </c>
      <c r="N146" s="2">
        <v>0.16432733613364409</v>
      </c>
      <c r="O146" s="9">
        <v>1.0846333445708625</v>
      </c>
      <c r="P146">
        <f t="shared" si="35"/>
        <v>0.40483379214441761</v>
      </c>
      <c r="Q146">
        <f t="shared" si="27"/>
        <v>0.71434964724060179</v>
      </c>
      <c r="R146">
        <f t="shared" si="36"/>
        <v>0.9184152363956184</v>
      </c>
      <c r="S146" s="9">
        <f t="shared" si="28"/>
        <v>1.0814400777976829</v>
      </c>
      <c r="T146">
        <v>0.95940000000000003</v>
      </c>
      <c r="U146">
        <v>0.92344333333333339</v>
      </c>
      <c r="V146">
        <v>0.59216341671273276</v>
      </c>
      <c r="W146" s="9">
        <v>1.0663245003959592</v>
      </c>
      <c r="X146">
        <f t="shared" si="37"/>
        <v>0.37280920651211219</v>
      </c>
      <c r="Y146">
        <f t="shared" si="29"/>
        <v>0.91160972914833638</v>
      </c>
      <c r="Z146">
        <f t="shared" si="40"/>
        <v>3.8898055129652595E-2</v>
      </c>
      <c r="AA146">
        <f t="shared" si="30"/>
        <v>4.2497875141651709E-2</v>
      </c>
      <c r="AB146">
        <f t="shared" si="34"/>
        <v>0.15742212902470951</v>
      </c>
      <c r="AC146">
        <f t="shared" si="31"/>
        <v>1.1230740524132223</v>
      </c>
      <c r="AD146">
        <f t="shared" si="38"/>
        <v>4.5011056485749041E-4</v>
      </c>
      <c r="AE146">
        <f t="shared" si="32"/>
        <v>0.96734667691370502</v>
      </c>
      <c r="AF146">
        <f t="shared" si="33"/>
        <v>2.1544599233120243E-2</v>
      </c>
    </row>
    <row r="147" spans="1:32" x14ac:dyDescent="0.25">
      <c r="A147" s="6">
        <v>44467.333784722221</v>
      </c>
      <c r="B147">
        <v>104188961.50660706</v>
      </c>
      <c r="C147">
        <v>104142145.87689209</v>
      </c>
      <c r="D147">
        <v>35019.690164048225</v>
      </c>
      <c r="E147">
        <v>312566.88451983035</v>
      </c>
      <c r="F147">
        <v>9.2221934812697375E+18</v>
      </c>
      <c r="G147">
        <v>3544</v>
      </c>
      <c r="H147">
        <v>3.4254631078699276E-4</v>
      </c>
      <c r="I147">
        <v>2919.3132972371577</v>
      </c>
      <c r="J147">
        <f t="shared" si="39"/>
        <v>-5.6897155189646158E-2</v>
      </c>
      <c r="K147">
        <f t="shared" si="24"/>
        <v>-2.0457203073069561E-2</v>
      </c>
      <c r="L147">
        <f t="shared" si="25"/>
        <v>1.3389646942893054</v>
      </c>
      <c r="M147">
        <f t="shared" si="26"/>
        <v>1.176251870043614</v>
      </c>
      <c r="N147" s="2">
        <v>0.2253762132275145</v>
      </c>
      <c r="O147" s="9">
        <v>1.0939560485159419</v>
      </c>
      <c r="P147">
        <f t="shared" si="35"/>
        <v>0.8076394096457854</v>
      </c>
      <c r="Q147">
        <f t="shared" si="27"/>
        <v>0.74127096089546129</v>
      </c>
      <c r="R147">
        <f t="shared" si="36"/>
        <v>1.1540699992611292</v>
      </c>
      <c r="S147" s="9">
        <f t="shared" si="28"/>
        <v>1.1152957145311333</v>
      </c>
      <c r="T147">
        <v>1.0569999999999999</v>
      </c>
      <c r="U147">
        <v>0.92962</v>
      </c>
      <c r="V147">
        <v>0.60011075979114481</v>
      </c>
      <c r="W147" s="9">
        <v>1.0697360808092886</v>
      </c>
      <c r="X147">
        <f t="shared" si="37"/>
        <v>0.78850421059122344</v>
      </c>
      <c r="Y147">
        <f t="shared" si="29"/>
        <v>0.93789320283471045</v>
      </c>
      <c r="Z147">
        <f t="shared" si="40"/>
        <v>-5.6897155189646158E-2</v>
      </c>
      <c r="AA147">
        <f t="shared" si="30"/>
        <v>9.0095495300301337E-2</v>
      </c>
      <c r="AB147">
        <f t="shared" si="34"/>
        <v>0.15009249550027887</v>
      </c>
      <c r="AC147">
        <f t="shared" si="31"/>
        <v>1.0886598709200332</v>
      </c>
      <c r="AD147">
        <f t="shared" si="38"/>
        <v>6.1727852174242029E-4</v>
      </c>
      <c r="AE147">
        <f t="shared" si="32"/>
        <v>0.91787348360266119</v>
      </c>
      <c r="AF147">
        <f t="shared" si="33"/>
        <v>2.1206990946851523E-2</v>
      </c>
    </row>
    <row r="148" spans="1:32" x14ac:dyDescent="0.25">
      <c r="A148" s="6">
        <v>44468.333564814813</v>
      </c>
      <c r="B148">
        <v>92818286.578922272</v>
      </c>
      <c r="C148">
        <v>92811193.199489594</v>
      </c>
      <c r="D148">
        <v>32306.108591040596</v>
      </c>
      <c r="E148">
        <v>278454.85973677039</v>
      </c>
      <c r="F148">
        <v>9.2779967134784225E+18</v>
      </c>
      <c r="G148">
        <v>3548</v>
      </c>
      <c r="H148">
        <v>3.4134955408193811E-4</v>
      </c>
      <c r="I148">
        <v>2929.5482828138056</v>
      </c>
      <c r="J148">
        <f t="shared" si="39"/>
        <v>3.4998250116654319E-3</v>
      </c>
      <c r="K148">
        <f t="shared" si="24"/>
        <v>-1.6401328288787171E-2</v>
      </c>
      <c r="L148">
        <f t="shared" si="25"/>
        <v>1.2843851705209874</v>
      </c>
      <c r="M148">
        <f t="shared" si="26"/>
        <v>1.2190647090609801</v>
      </c>
      <c r="N148" s="2">
        <v>0.20702386830192399</v>
      </c>
      <c r="O148" s="9">
        <v>1.0963129206324476</v>
      </c>
      <c r="P148">
        <f t="shared" si="35"/>
        <v>0.71095896970800554</v>
      </c>
      <c r="Q148">
        <f t="shared" si="27"/>
        <v>0.76496959321906155</v>
      </c>
      <c r="R148">
        <f t="shared" si="36"/>
        <v>1.0886040619940103</v>
      </c>
      <c r="S148" s="9">
        <f t="shared" si="28"/>
        <v>1.1515825165976004</v>
      </c>
      <c r="T148">
        <v>0.95909999999999995</v>
      </c>
      <c r="U148">
        <v>0.9305633333333333</v>
      </c>
      <c r="V148">
        <v>0.58152384129525581</v>
      </c>
      <c r="W148" s="9">
        <v>1.0615271240548168</v>
      </c>
      <c r="X148">
        <f t="shared" si="37"/>
        <v>0.68040639736363717</v>
      </c>
      <c r="Y148">
        <f t="shared" si="29"/>
        <v>0.960573416080165</v>
      </c>
      <c r="Z148">
        <f t="shared" si="40"/>
        <v>3.4998250116654319E-3</v>
      </c>
      <c r="AA148">
        <f t="shared" si="30"/>
        <v>8.2195890273970812E-2</v>
      </c>
      <c r="AB148">
        <f t="shared" si="34"/>
        <v>0.14431611764769203</v>
      </c>
      <c r="AC148">
        <f t="shared" si="31"/>
        <v>1.0608639752825895</v>
      </c>
      <c r="AD148">
        <f t="shared" si="38"/>
        <v>5.6702788957588258E-4</v>
      </c>
      <c r="AE148">
        <f t="shared" si="32"/>
        <v>0.85590814099658308</v>
      </c>
      <c r="AF148">
        <f t="shared" si="33"/>
        <v>1.9502508636487281E-2</v>
      </c>
    </row>
    <row r="149" spans="1:32" x14ac:dyDescent="0.25">
      <c r="A149" s="6">
        <v>44469.333402777775</v>
      </c>
      <c r="B149">
        <v>68104717.677150726</v>
      </c>
      <c r="C149">
        <v>68110102.81042099</v>
      </c>
      <c r="D149">
        <v>23322.670685624704</v>
      </c>
      <c r="E149">
        <v>204314.15303145349</v>
      </c>
      <c r="F149">
        <v>9.4002056647217541E+18</v>
      </c>
      <c r="G149">
        <v>3551</v>
      </c>
      <c r="H149">
        <v>3.3829134359224158E-4</v>
      </c>
      <c r="I149">
        <v>2956.0318906810307</v>
      </c>
      <c r="J149">
        <f t="shared" si="39"/>
        <v>8.9995500299968143E-3</v>
      </c>
      <c r="K149">
        <f t="shared" si="24"/>
        <v>-4.8984030267592384E-2</v>
      </c>
      <c r="L149">
        <f t="shared" si="25"/>
        <v>1.0616248977821208</v>
      </c>
      <c r="M149">
        <f t="shared" si="26"/>
        <v>1.2188244161506545</v>
      </c>
      <c r="N149" s="2">
        <v>0.14817848054041444</v>
      </c>
      <c r="O149" s="9">
        <v>1.0877494390713867</v>
      </c>
      <c r="P149">
        <f t="shared" si="35"/>
        <v>0.18627816435694317</v>
      </c>
      <c r="Q149">
        <f t="shared" si="27"/>
        <v>0.7460286283576375</v>
      </c>
      <c r="R149">
        <f t="shared" si="36"/>
        <v>0.84516016334052468</v>
      </c>
      <c r="S149" s="9">
        <f t="shared" si="28"/>
        <v>1.1425034649875816</v>
      </c>
      <c r="T149">
        <v>0.90709999999999991</v>
      </c>
      <c r="U149">
        <v>0.9300233333333332</v>
      </c>
      <c r="V149">
        <v>0.57804701972929717</v>
      </c>
      <c r="W149" s="9">
        <v>1.05946661268424</v>
      </c>
      <c r="X149">
        <f t="shared" si="37"/>
        <v>4.7214501476339862E-2</v>
      </c>
      <c r="Y149">
        <f t="shared" si="29"/>
        <v>0.92663934001045878</v>
      </c>
      <c r="Z149">
        <f t="shared" si="40"/>
        <v>8.9995500299968143E-3</v>
      </c>
      <c r="AA149">
        <f t="shared" si="30"/>
        <v>0.14659267048861421</v>
      </c>
      <c r="AB149">
        <f t="shared" si="34"/>
        <v>0.13979634363262708</v>
      </c>
      <c r="AC149">
        <f t="shared" si="31"/>
        <v>1.0386787356443279</v>
      </c>
      <c r="AD149">
        <f t="shared" si="38"/>
        <v>4.0588605694550023E-4</v>
      </c>
      <c r="AE149">
        <f t="shared" si="32"/>
        <v>0.83552833675357074</v>
      </c>
      <c r="AF149">
        <f t="shared" si="33"/>
        <v>1.8289406978304168E-2</v>
      </c>
    </row>
    <row r="150" spans="1:32" x14ac:dyDescent="0.25">
      <c r="A150" s="6">
        <v>44470.33357638889</v>
      </c>
      <c r="B150">
        <v>109495933.87214661</v>
      </c>
      <c r="C150">
        <v>109563343.04268265</v>
      </c>
      <c r="D150">
        <v>35961.729529134929</v>
      </c>
      <c r="E150">
        <v>328487.80161643028</v>
      </c>
      <c r="F150">
        <v>1.1036854208853492E+19</v>
      </c>
      <c r="G150">
        <v>3549</v>
      </c>
      <c r="H150">
        <v>3.086512726749454E-4</v>
      </c>
      <c r="I150">
        <v>3239.9024029074558</v>
      </c>
      <c r="J150">
        <f t="shared" si="39"/>
        <v>9.1695415305633493E-2</v>
      </c>
      <c r="K150">
        <f t="shared" si="24"/>
        <v>-2.0440081909680673E-2</v>
      </c>
      <c r="L150">
        <f t="shared" si="25"/>
        <v>1.2726580026467507</v>
      </c>
      <c r="M150">
        <f t="shared" si="26"/>
        <v>1.230180665279569</v>
      </c>
      <c r="N150" s="2">
        <v>0.2037280758924975</v>
      </c>
      <c r="O150" s="9">
        <v>1.0707360182911068</v>
      </c>
      <c r="P150">
        <f t="shared" si="35"/>
        <v>0.69216783899055645</v>
      </c>
      <c r="Q150">
        <f t="shared" si="27"/>
        <v>0.74713845466383833</v>
      </c>
      <c r="R150">
        <f t="shared" si="36"/>
        <v>1.0764257821672829</v>
      </c>
      <c r="S150" s="9">
        <f t="shared" si="28"/>
        <v>1.1432068403864128</v>
      </c>
      <c r="T150">
        <v>0.82680000000000009</v>
      </c>
      <c r="U150">
        <v>0.92318</v>
      </c>
      <c r="V150">
        <v>0.58270039428258413</v>
      </c>
      <c r="W150" s="9">
        <v>1.0604381603418136</v>
      </c>
      <c r="X150">
        <f t="shared" si="37"/>
        <v>0.70225457298178151</v>
      </c>
      <c r="Y150">
        <f t="shared" si="29"/>
        <v>0.91921897437878008</v>
      </c>
      <c r="Z150">
        <f t="shared" si="40"/>
        <v>9.1695415305633493E-2</v>
      </c>
      <c r="AA150">
        <f t="shared" si="30"/>
        <v>8.7995600293302167E-2</v>
      </c>
      <c r="AB150">
        <f t="shared" si="34"/>
        <v>0.13232338394105206</v>
      </c>
      <c r="AC150">
        <f t="shared" si="31"/>
        <v>1.0011127596645901</v>
      </c>
      <c r="AD150">
        <f t="shared" si="38"/>
        <v>5.5800339917610596E-4</v>
      </c>
      <c r="AE150">
        <f t="shared" si="32"/>
        <v>0.86286880153112588</v>
      </c>
      <c r="AF150">
        <f t="shared" si="33"/>
        <v>1.9643906595122385E-2</v>
      </c>
    </row>
    <row r="151" spans="1:32" x14ac:dyDescent="0.25">
      <c r="A151" s="6">
        <v>44471.333564814813</v>
      </c>
      <c r="B151">
        <v>80852351.01115036</v>
      </c>
      <c r="C151">
        <v>80864699.901844025</v>
      </c>
      <c r="D151">
        <v>24674.211491752416</v>
      </c>
      <c r="E151">
        <v>242557.05303345621</v>
      </c>
      <c r="F151">
        <v>1.3668847079325344E+19</v>
      </c>
      <c r="G151">
        <v>3552</v>
      </c>
      <c r="H151">
        <v>3.0384352762557977E-4</v>
      </c>
      <c r="I151">
        <v>3291.1676869164044</v>
      </c>
      <c r="J151">
        <f t="shared" si="39"/>
        <v>1.5699215052327468E-2</v>
      </c>
      <c r="K151">
        <f t="shared" si="24"/>
        <v>-4.2127967570622038E-2</v>
      </c>
      <c r="L151">
        <f t="shared" si="25"/>
        <v>0.93105793964741068</v>
      </c>
      <c r="M151">
        <f t="shared" si="26"/>
        <v>1.2612159299344827</v>
      </c>
      <c r="N151" s="2">
        <v>0.11375645725096505</v>
      </c>
      <c r="O151" s="9">
        <v>1.0755209120479092</v>
      </c>
      <c r="P151">
        <f t="shared" si="35"/>
        <v>0</v>
      </c>
      <c r="Q151">
        <f t="shared" si="27"/>
        <v>0.74713845466383833</v>
      </c>
      <c r="R151">
        <f t="shared" si="36"/>
        <v>0.66251001153355205</v>
      </c>
      <c r="S151" s="9">
        <f t="shared" si="28"/>
        <v>1.1417992791364109</v>
      </c>
      <c r="T151">
        <v>0.81230000000000002</v>
      </c>
      <c r="U151">
        <v>0.91881333333333315</v>
      </c>
      <c r="V151">
        <v>0.56278898814902756</v>
      </c>
      <c r="W151" s="9">
        <v>1.0493717555140782</v>
      </c>
      <c r="X151">
        <f t="shared" si="37"/>
        <v>0</v>
      </c>
      <c r="Y151">
        <f t="shared" si="29"/>
        <v>0.90279021947642435</v>
      </c>
      <c r="Z151">
        <f t="shared" si="40"/>
        <v>1.5699215052327468E-2</v>
      </c>
      <c r="AA151">
        <f t="shared" si="30"/>
        <v>0.13179341043928655</v>
      </c>
      <c r="AB151">
        <f t="shared" si="34"/>
        <v>0.12308717907693321</v>
      </c>
      <c r="AC151">
        <f t="shared" si="31"/>
        <v>0.95305715838648097</v>
      </c>
      <c r="AD151">
        <f t="shared" si="38"/>
        <v>3.1161297034980068E-4</v>
      </c>
      <c r="AE151">
        <f t="shared" si="32"/>
        <v>0.83210985417193783</v>
      </c>
      <c r="AF151">
        <f t="shared" si="33"/>
        <v>1.8095814726935444E-2</v>
      </c>
    </row>
    <row r="152" spans="1:32" x14ac:dyDescent="0.25">
      <c r="A152" s="6">
        <v>44472.333645833336</v>
      </c>
      <c r="B152">
        <v>94174456.461368561</v>
      </c>
      <c r="C152">
        <v>94196942.521003723</v>
      </c>
      <c r="D152">
        <v>27742.245591549203</v>
      </c>
      <c r="E152">
        <v>282523.36938410997</v>
      </c>
      <c r="F152">
        <v>1.6189496090522954E+19</v>
      </c>
      <c r="G152">
        <v>3529</v>
      </c>
      <c r="H152">
        <v>2.9318817607093279E-4</v>
      </c>
      <c r="I152">
        <v>3410.7787476329331</v>
      </c>
      <c r="J152">
        <f t="shared" si="39"/>
        <v>3.5698215118987138E-2</v>
      </c>
      <c r="K152">
        <f t="shared" si="24"/>
        <v>-5.0716698825069947E-2</v>
      </c>
      <c r="L152">
        <f t="shared" si="25"/>
        <v>0.90381086704647828</v>
      </c>
      <c r="M152">
        <f t="shared" si="26"/>
        <v>1.2427270719176788</v>
      </c>
      <c r="N152" s="2">
        <v>0.10993214699860827</v>
      </c>
      <c r="O152" s="9">
        <v>1.0655392128829437</v>
      </c>
      <c r="P152">
        <f t="shared" si="35"/>
        <v>0</v>
      </c>
      <c r="Q152">
        <f t="shared" si="27"/>
        <v>0.6954428485008658</v>
      </c>
      <c r="R152">
        <f t="shared" si="36"/>
        <v>0.63900315598855462</v>
      </c>
      <c r="S152" s="9">
        <f t="shared" si="28"/>
        <v>1.1045541665402185</v>
      </c>
      <c r="T152">
        <v>0.84709999999999996</v>
      </c>
      <c r="U152">
        <v>0.91700999999999988</v>
      </c>
      <c r="V152">
        <v>0.55850244013638517</v>
      </c>
      <c r="W152" s="9">
        <v>1.0474765998411424</v>
      </c>
      <c r="X152">
        <f t="shared" si="37"/>
        <v>0</v>
      </c>
      <c r="Y152">
        <f t="shared" si="29"/>
        <v>0.84270874664444684</v>
      </c>
      <c r="Z152">
        <f t="shared" si="40"/>
        <v>3.5698215118987138E-2</v>
      </c>
      <c r="AA152">
        <f t="shared" si="30"/>
        <v>0.148092595493614</v>
      </c>
      <c r="AB152">
        <f t="shared" si="34"/>
        <v>0.11276769504253698</v>
      </c>
      <c r="AC152">
        <f t="shared" si="31"/>
        <v>0.89704989507068356</v>
      </c>
      <c r="AD152">
        <f t="shared" si="38"/>
        <v>3.0113861759455785E-4</v>
      </c>
      <c r="AE152">
        <f t="shared" si="32"/>
        <v>0.8739839516524075</v>
      </c>
      <c r="AF152">
        <f t="shared" si="33"/>
        <v>1.9149558978672321E-2</v>
      </c>
    </row>
    <row r="153" spans="1:32" x14ac:dyDescent="0.25">
      <c r="A153" s="6">
        <v>44473.333402777775</v>
      </c>
      <c r="B153">
        <v>105003133.05238724</v>
      </c>
      <c r="C153">
        <v>104989302.46493912</v>
      </c>
      <c r="D153">
        <v>30880.718520415947</v>
      </c>
      <c r="E153">
        <v>315009.39915715158</v>
      </c>
      <c r="F153">
        <v>1.5548109876340924E+19</v>
      </c>
      <c r="G153">
        <v>3528</v>
      </c>
      <c r="H153">
        <v>3.0205621792462782E-4</v>
      </c>
      <c r="I153">
        <v>3310.6419952908577</v>
      </c>
      <c r="J153">
        <f t="shared" si="39"/>
        <v>-2.9798510099322481E-2</v>
      </c>
      <c r="K153">
        <f t="shared" si="24"/>
        <v>-5.892512628449556E-2</v>
      </c>
      <c r="L153">
        <f t="shared" si="25"/>
        <v>0.95905229813630311</v>
      </c>
      <c r="M153">
        <f t="shared" si="26"/>
        <v>1.2746954818555558</v>
      </c>
      <c r="N153" s="2">
        <v>0.12553232154122948</v>
      </c>
      <c r="O153" s="9">
        <v>1.0653373765287848</v>
      </c>
      <c r="P153">
        <f t="shared" si="35"/>
        <v>0</v>
      </c>
      <c r="Q153">
        <f t="shared" si="27"/>
        <v>0.6954428485008658</v>
      </c>
      <c r="R153">
        <f t="shared" si="36"/>
        <v>0.73015507236771482</v>
      </c>
      <c r="S153" s="9">
        <f t="shared" si="28"/>
        <v>1.1177970659990242</v>
      </c>
      <c r="T153">
        <v>0.8831</v>
      </c>
      <c r="U153">
        <v>0.91655666666666646</v>
      </c>
      <c r="V153">
        <v>0.55850244013638517</v>
      </c>
      <c r="W153" s="9">
        <v>1.0486234628692206</v>
      </c>
      <c r="X153">
        <f t="shared" si="37"/>
        <v>0</v>
      </c>
      <c r="Y153">
        <f t="shared" si="29"/>
        <v>0.84270874664444684</v>
      </c>
      <c r="Z153">
        <f t="shared" si="40"/>
        <v>-2.9798510099322481E-2</v>
      </c>
      <c r="AA153">
        <f t="shared" si="30"/>
        <v>0.16449177554827471</v>
      </c>
      <c r="AB153">
        <f t="shared" si="34"/>
        <v>0.1049147543496954</v>
      </c>
      <c r="AC153">
        <f t="shared" si="31"/>
        <v>0.8526380741325984</v>
      </c>
      <c r="AD153">
        <f t="shared" si="38"/>
        <v>3.4386504024591955E-4</v>
      </c>
      <c r="AE153">
        <f t="shared" si="32"/>
        <v>0.84367198729977311</v>
      </c>
      <c r="AF153">
        <f t="shared" si="33"/>
        <v>1.7930231368086469E-2</v>
      </c>
    </row>
    <row r="154" spans="1:32" x14ac:dyDescent="0.25">
      <c r="A154" s="6">
        <v>44474.333553240744</v>
      </c>
      <c r="B154">
        <v>123653737.0226326</v>
      </c>
      <c r="C154">
        <v>123688236.22707748</v>
      </c>
      <c r="D154">
        <v>36633.398777805269</v>
      </c>
      <c r="E154">
        <v>370961.21106790006</v>
      </c>
      <c r="F154">
        <v>1.7863976286188489E+19</v>
      </c>
      <c r="G154">
        <v>3531</v>
      </c>
      <c r="H154">
        <v>2.9006794161850889E-4</v>
      </c>
      <c r="I154">
        <v>3447.4681842476011</v>
      </c>
      <c r="J154">
        <f t="shared" si="39"/>
        <v>4.0497975134985285E-2</v>
      </c>
      <c r="K154">
        <f t="shared" si="24"/>
        <v>-4.1026538227416601E-2</v>
      </c>
      <c r="L154">
        <f t="shared" si="25"/>
        <v>1.0085389359682269</v>
      </c>
      <c r="M154">
        <f t="shared" si="26"/>
        <v>1.3083134463878301</v>
      </c>
      <c r="N154" s="2">
        <v>0.13226315204175898</v>
      </c>
      <c r="O154" s="9">
        <v>1.0744227559183415</v>
      </c>
      <c r="P154">
        <f t="shared" si="35"/>
        <v>0</v>
      </c>
      <c r="Q154">
        <f t="shared" si="27"/>
        <v>0.6954428485008658</v>
      </c>
      <c r="R154">
        <f t="shared" si="36"/>
        <v>0.76614167991862892</v>
      </c>
      <c r="S154" s="9">
        <f t="shared" si="28"/>
        <v>1.1295259607792367</v>
      </c>
      <c r="T154">
        <v>0.8498</v>
      </c>
      <c r="U154">
        <v>0.91398666666666639</v>
      </c>
      <c r="V154">
        <v>0.57657740762513188</v>
      </c>
      <c r="W154" s="9">
        <v>1.055559033106525</v>
      </c>
      <c r="X154">
        <f t="shared" si="37"/>
        <v>0</v>
      </c>
      <c r="Y154">
        <f t="shared" si="29"/>
        <v>0.84270874664444684</v>
      </c>
      <c r="Z154">
        <f t="shared" si="40"/>
        <v>4.0497975134985285E-2</v>
      </c>
      <c r="AA154">
        <f t="shared" si="30"/>
        <v>0.12949352543162077</v>
      </c>
      <c r="AB154">
        <f t="shared" si="34"/>
        <v>9.7325133824398183E-2</v>
      </c>
      <c r="AC154">
        <f t="shared" si="31"/>
        <v>0.80810875281055483</v>
      </c>
      <c r="AD154">
        <f t="shared" si="38"/>
        <v>3.6229916184631761E-4</v>
      </c>
      <c r="AE154">
        <f t="shared" si="32"/>
        <v>0.88223772005577261</v>
      </c>
      <c r="AF154">
        <f t="shared" si="33"/>
        <v>1.9752904524021897E-2</v>
      </c>
    </row>
    <row r="155" spans="1:32" x14ac:dyDescent="0.25">
      <c r="A155" s="6">
        <v>44475.333356481482</v>
      </c>
      <c r="B155">
        <v>98592657.503856659</v>
      </c>
      <c r="C155">
        <v>98583830.33613205</v>
      </c>
      <c r="D155">
        <v>28582.967220418155</v>
      </c>
      <c r="E155">
        <v>295777.97251157463</v>
      </c>
      <c r="F155">
        <v>1.6031487763239655E+19</v>
      </c>
      <c r="G155">
        <v>3540</v>
      </c>
      <c r="H155">
        <v>2.9495250460528694E-4</v>
      </c>
      <c r="I155">
        <v>3390.3763636054755</v>
      </c>
      <c r="J155">
        <f t="shared" si="39"/>
        <v>-1.6699165055660572E-2</v>
      </c>
      <c r="K155">
        <f t="shared" si="24"/>
        <v>-4.7164265884997413E-2</v>
      </c>
      <c r="L155">
        <f t="shared" si="25"/>
        <v>0.92637737900822392</v>
      </c>
      <c r="M155">
        <f t="shared" si="26"/>
        <v>1.3391926923547708</v>
      </c>
      <c r="N155" s="2">
        <v>0.11403734410740368</v>
      </c>
      <c r="O155" s="9">
        <v>1.0769554177309322</v>
      </c>
      <c r="P155">
        <f t="shared" si="35"/>
        <v>0</v>
      </c>
      <c r="Q155">
        <f t="shared" si="27"/>
        <v>0.6954428485008658</v>
      </c>
      <c r="R155">
        <f t="shared" si="36"/>
        <v>0.66420374150835404</v>
      </c>
      <c r="S155" s="9">
        <f t="shared" si="28"/>
        <v>1.1516660854961818</v>
      </c>
      <c r="T155">
        <v>0.88239999999999996</v>
      </c>
      <c r="U155">
        <v>0.91411666666666647</v>
      </c>
      <c r="V155">
        <v>0.53796535311950799</v>
      </c>
      <c r="W155" s="9">
        <v>1.0244059405387163</v>
      </c>
      <c r="X155">
        <f t="shared" si="37"/>
        <v>0</v>
      </c>
      <c r="Y155">
        <f t="shared" si="29"/>
        <v>0.84270874664444684</v>
      </c>
      <c r="Z155">
        <f t="shared" si="40"/>
        <v>-1.6699165055660572E-2</v>
      </c>
      <c r="AA155">
        <f t="shared" si="30"/>
        <v>0.14199290047328278</v>
      </c>
      <c r="AB155">
        <f t="shared" si="34"/>
        <v>9.4358615481177063E-2</v>
      </c>
      <c r="AC155">
        <f t="shared" si="31"/>
        <v>0.79024558841966042</v>
      </c>
      <c r="AD155">
        <f t="shared" si="38"/>
        <v>3.123822833198314E-4</v>
      </c>
      <c r="AE155">
        <f t="shared" si="32"/>
        <v>0.90339542467272715</v>
      </c>
      <c r="AF155">
        <f t="shared" si="33"/>
        <v>2.0626321549452653E-2</v>
      </c>
    </row>
    <row r="156" spans="1:32" x14ac:dyDescent="0.25">
      <c r="A156" s="6">
        <v>44476.333599537036</v>
      </c>
      <c r="B156">
        <v>171016123.7936058</v>
      </c>
      <c r="C156">
        <v>171048059.57441711</v>
      </c>
      <c r="D156">
        <v>48193.499141870067</v>
      </c>
      <c r="E156">
        <v>513048.37138082087</v>
      </c>
      <c r="F156">
        <v>1.5195976199768226E+19</v>
      </c>
      <c r="G156">
        <v>3532</v>
      </c>
      <c r="H156">
        <v>2.8014768677087196E-4</v>
      </c>
      <c r="I156">
        <v>3569.5458046665331</v>
      </c>
      <c r="J156">
        <f t="shared" si="39"/>
        <v>5.1497425171648105E-2</v>
      </c>
      <c r="K156">
        <f t="shared" si="24"/>
        <v>-5.9937939577971097E-3</v>
      </c>
      <c r="L156">
        <f t="shared" si="25"/>
        <v>1.2900571684319264</v>
      </c>
      <c r="M156">
        <f t="shared" si="26"/>
        <v>1.3413670040912087</v>
      </c>
      <c r="N156" s="2">
        <v>0.20814021066086322</v>
      </c>
      <c r="O156" s="9">
        <v>0.96298550168237118</v>
      </c>
      <c r="P156">
        <f t="shared" si="35"/>
        <v>0.71721223879670559</v>
      </c>
      <c r="Q156">
        <f t="shared" si="27"/>
        <v>0.69249253948895484</v>
      </c>
      <c r="R156">
        <f t="shared" si="36"/>
        <v>1.0926982852834413</v>
      </c>
      <c r="S156" s="9">
        <f t="shared" si="28"/>
        <v>1.1496650739611938</v>
      </c>
      <c r="T156">
        <v>0.90709999999999991</v>
      </c>
      <c r="U156">
        <v>0.91022333333333305</v>
      </c>
      <c r="V156">
        <v>0.49647717714540002</v>
      </c>
      <c r="W156" s="9">
        <v>0.99935895508904093</v>
      </c>
      <c r="X156">
        <f t="shared" si="37"/>
        <v>0.87220272620504413</v>
      </c>
      <c r="Y156">
        <f t="shared" si="29"/>
        <v>0.83799094342748814</v>
      </c>
      <c r="Z156">
        <f t="shared" si="40"/>
        <v>5.1497425171648105E-2</v>
      </c>
      <c r="AA156">
        <f t="shared" si="30"/>
        <v>5.0097495166982496E-2</v>
      </c>
      <c r="AB156">
        <f t="shared" si="34"/>
        <v>8.9742179632456578E-2</v>
      </c>
      <c r="AC156">
        <f t="shared" si="31"/>
        <v>0.76190584953506313</v>
      </c>
      <c r="AD156">
        <f t="shared" si="38"/>
        <v>5.7008462337298626E-4</v>
      </c>
      <c r="AE156">
        <f t="shared" si="32"/>
        <v>1.0452935814503106</v>
      </c>
      <c r="AF156">
        <f t="shared" si="33"/>
        <v>2.1645655104033379E-2</v>
      </c>
    </row>
    <row r="157" spans="1:32" x14ac:dyDescent="0.25">
      <c r="A157" s="6">
        <v>44477.333379629628</v>
      </c>
      <c r="B157">
        <v>109352280.67358398</v>
      </c>
      <c r="C157">
        <v>109362085.50831604</v>
      </c>
      <c r="D157">
        <v>30373.990301163867</v>
      </c>
      <c r="E157">
        <v>328056.84202075005</v>
      </c>
      <c r="F157">
        <v>1.587949941293901E+19</v>
      </c>
      <c r="G157">
        <v>3524</v>
      </c>
      <c r="H157">
        <v>2.7622551676824089E-4</v>
      </c>
      <c r="I157">
        <v>3620.2303527194463</v>
      </c>
      <c r="J157">
        <f t="shared" si="39"/>
        <v>1.4099295046994928E-2</v>
      </c>
      <c r="K157">
        <f t="shared" si="24"/>
        <v>4.8172056257442586E-2</v>
      </c>
      <c r="L157">
        <f t="shared" si="25"/>
        <v>0.97719759978589293</v>
      </c>
      <c r="M157">
        <f t="shared" si="26"/>
        <v>1.2734380164666941</v>
      </c>
      <c r="N157" s="2">
        <v>0.12642204173853716</v>
      </c>
      <c r="O157" s="9">
        <v>0.96092548434265934</v>
      </c>
      <c r="P157">
        <f t="shared" si="35"/>
        <v>0</v>
      </c>
      <c r="Q157">
        <f t="shared" si="27"/>
        <v>0.59804660366908702</v>
      </c>
      <c r="R157">
        <f t="shared" si="36"/>
        <v>0.73501305517845339</v>
      </c>
      <c r="S157" s="9">
        <f t="shared" si="28"/>
        <v>1.0758032113612763</v>
      </c>
      <c r="T157">
        <v>0.85180000000000011</v>
      </c>
      <c r="U157">
        <v>0.90579333333333312</v>
      </c>
      <c r="V157">
        <v>0.47464821169628618</v>
      </c>
      <c r="W157" s="9">
        <v>0.98074887837939795</v>
      </c>
      <c r="X157">
        <f t="shared" si="37"/>
        <v>0.29718963022185746</v>
      </c>
      <c r="Y157">
        <f t="shared" si="29"/>
        <v>0.73393114495317668</v>
      </c>
      <c r="Z157">
        <f t="shared" si="40"/>
        <v>1.4099295046994928E-2</v>
      </c>
      <c r="AA157">
        <f t="shared" si="30"/>
        <v>5.839708019464513E-2</v>
      </c>
      <c r="AB157">
        <f t="shared" si="34"/>
        <v>8.8758895462512491E-2</v>
      </c>
      <c r="AC157">
        <f t="shared" si="31"/>
        <v>0.75578164962360106</v>
      </c>
      <c r="AD157">
        <f t="shared" si="38"/>
        <v>3.4630178880104198E-4</v>
      </c>
      <c r="AE157">
        <f t="shared" si="32"/>
        <v>1.0394565880736879</v>
      </c>
      <c r="AF157">
        <f t="shared" si="33"/>
        <v>1.885619589705545E-2</v>
      </c>
    </row>
    <row r="158" spans="1:32" x14ac:dyDescent="0.25">
      <c r="A158" s="6">
        <v>44478.333449074074</v>
      </c>
      <c r="B158">
        <v>77864886.740390778</v>
      </c>
      <c r="C158">
        <v>77858928.60982132</v>
      </c>
      <c r="D158">
        <v>21652.874961450696</v>
      </c>
      <c r="E158">
        <v>233594.66022117436</v>
      </c>
      <c r="F158">
        <v>1.749203517789279E+19</v>
      </c>
      <c r="G158">
        <v>3531</v>
      </c>
      <c r="H158">
        <v>2.7738804541452982E-4</v>
      </c>
      <c r="I158">
        <v>3605.0580280256704</v>
      </c>
      <c r="J158">
        <f t="shared" si="39"/>
        <v>-4.1997900139985724E-3</v>
      </c>
      <c r="K158">
        <f t="shared" si="24"/>
        <v>3.6107481202376654E-2</v>
      </c>
      <c r="L158">
        <f t="shared" si="25"/>
        <v>0.78830465381312076</v>
      </c>
      <c r="M158">
        <f t="shared" si="26"/>
        <v>1.2550418806474071</v>
      </c>
      <c r="N158" s="2">
        <v>8.1643386521382838E-2</v>
      </c>
      <c r="O158" s="9">
        <v>0.95800455325169409</v>
      </c>
      <c r="P158">
        <f t="shared" si="35"/>
        <v>0</v>
      </c>
      <c r="Q158">
        <f t="shared" si="27"/>
        <v>0.56891967848029779</v>
      </c>
      <c r="R158">
        <f t="shared" si="36"/>
        <v>0.42663210093185627</v>
      </c>
      <c r="S158" s="9">
        <f t="shared" si="28"/>
        <v>1.0499807475678231</v>
      </c>
      <c r="T158">
        <v>0.82869999999999999</v>
      </c>
      <c r="U158">
        <v>0.90186333333333313</v>
      </c>
      <c r="V158">
        <v>0.43906064354408042</v>
      </c>
      <c r="W158" s="9">
        <v>0.96274201964367334</v>
      </c>
      <c r="X158">
        <f t="shared" si="37"/>
        <v>0</v>
      </c>
      <c r="Y158">
        <f t="shared" si="29"/>
        <v>0.69784563209343242</v>
      </c>
      <c r="Z158">
        <f t="shared" si="40"/>
        <v>-4.1997900139985724E-3</v>
      </c>
      <c r="AA158">
        <f t="shared" si="30"/>
        <v>3.4498275114987091E-2</v>
      </c>
      <c r="AB158">
        <f t="shared" si="34"/>
        <v>8.6352349121157829E-2</v>
      </c>
      <c r="AC158">
        <f t="shared" si="31"/>
        <v>0.74065861824731938</v>
      </c>
      <c r="AD158">
        <f t="shared" si="38"/>
        <v>2.2365549826173557E-4</v>
      </c>
      <c r="AE158">
        <f t="shared" si="32"/>
        <v>1.0620457385434261</v>
      </c>
      <c r="AF158">
        <f t="shared" si="33"/>
        <v>1.8145881571687505E-2</v>
      </c>
    </row>
    <row r="159" spans="1:32" x14ac:dyDescent="0.25">
      <c r="A159" s="6">
        <v>44479.333414351851</v>
      </c>
      <c r="B159">
        <v>51358425.068519592</v>
      </c>
      <c r="C159">
        <v>51342277.23506546</v>
      </c>
      <c r="D159">
        <v>14433.093911839649</v>
      </c>
      <c r="E159">
        <v>154075.27520555258</v>
      </c>
      <c r="F159">
        <v>1.8408354774474623E+19</v>
      </c>
      <c r="G159">
        <v>3535</v>
      </c>
      <c r="H159">
        <v>2.8065238146170646E-4</v>
      </c>
      <c r="I159">
        <v>3563.1267220743139</v>
      </c>
      <c r="J159">
        <f t="shared" si="39"/>
        <v>-1.1699415038995615E-2</v>
      </c>
      <c r="K159">
        <f t="shared" si="24"/>
        <v>4.2466546976195896E-2</v>
      </c>
      <c r="L159">
        <f t="shared" si="25"/>
        <v>0.60613728786388488</v>
      </c>
      <c r="M159">
        <f t="shared" si="26"/>
        <v>1.2312019990705643</v>
      </c>
      <c r="N159" s="2">
        <v>5.1410254155809375E-2</v>
      </c>
      <c r="O159" s="9">
        <v>0.94159313076725448</v>
      </c>
      <c r="P159">
        <f t="shared" si="35"/>
        <v>0</v>
      </c>
      <c r="Q159">
        <f t="shared" si="27"/>
        <v>0.54222120673955554</v>
      </c>
      <c r="R159">
        <f t="shared" si="36"/>
        <v>0</v>
      </c>
      <c r="S159" s="9">
        <f t="shared" si="28"/>
        <v>1.0116673657868711</v>
      </c>
      <c r="T159">
        <v>0.86930000000000007</v>
      </c>
      <c r="U159">
        <v>0.89915</v>
      </c>
      <c r="V159">
        <v>0.42647658354222223</v>
      </c>
      <c r="W159" s="9">
        <v>0.95860718950484836</v>
      </c>
      <c r="X159">
        <f t="shared" si="37"/>
        <v>0</v>
      </c>
      <c r="Y159">
        <f t="shared" si="29"/>
        <v>0.66487083113082168</v>
      </c>
      <c r="Z159">
        <f t="shared" si="40"/>
        <v>-1.1699415038995615E-2</v>
      </c>
      <c r="AA159">
        <f t="shared" si="30"/>
        <v>4.8497575161648779E-2</v>
      </c>
      <c r="AB159">
        <f t="shared" si="34"/>
        <v>8.6225688787402319E-2</v>
      </c>
      <c r="AC159">
        <f t="shared" si="31"/>
        <v>0.7398573145968147</v>
      </c>
      <c r="AD159">
        <f t="shared" si="38"/>
        <v>1.4084009295422755E-4</v>
      </c>
      <c r="AE159">
        <f t="shared" si="32"/>
        <v>1.0814428105484055</v>
      </c>
      <c r="AF159">
        <f t="shared" si="33"/>
        <v>1.734597859542153E-2</v>
      </c>
    </row>
    <row r="160" spans="1:32" x14ac:dyDescent="0.25">
      <c r="A160" s="6">
        <v>44480.333344907405</v>
      </c>
      <c r="B160">
        <v>110248406.90932846</v>
      </c>
      <c r="C160">
        <v>110240274.94088745</v>
      </c>
      <c r="D160">
        <v>31468.907329307869</v>
      </c>
      <c r="E160">
        <v>330745.22072798014</v>
      </c>
      <c r="F160">
        <v>1.4798859530344956E+19</v>
      </c>
      <c r="G160">
        <v>3525</v>
      </c>
      <c r="H160">
        <v>2.8068044669985262E-4</v>
      </c>
      <c r="I160">
        <v>3562.7704450298106</v>
      </c>
      <c r="J160">
        <f t="shared" si="39"/>
        <v>-9.9995000333435977E-5</v>
      </c>
      <c r="K160">
        <f t="shared" ref="K160:K223" si="41">(AVERAGE(J131:J160))*(15)+POWER(O160/SQRT(365/15),2)/2</f>
        <v>5.7514550905959964E-2</v>
      </c>
      <c r="L160">
        <f t="shared" ref="L160:L223" si="42">SQRT(MAX(0,8*(N160/(365/15)-LN(COSH(K160/2))),0))*SQRT(365/15)</f>
        <v>1.0173047133178674</v>
      </c>
      <c r="M160">
        <f t="shared" ref="M160:M223" si="43">AVERAGE(L131:L160)</f>
        <v>1.2141117978496077</v>
      </c>
      <c r="N160" s="2">
        <v>0.13942382432747699</v>
      </c>
      <c r="O160" s="9">
        <v>0.94671534673726698</v>
      </c>
      <c r="P160">
        <f t="shared" si="35"/>
        <v>0</v>
      </c>
      <c r="Q160">
        <f t="shared" ref="Q160:Q223" si="44">AVERAGE(P131:P160)</f>
        <v>0.5050389577828801</v>
      </c>
      <c r="R160">
        <f t="shared" si="36"/>
        <v>0.80265711981784782</v>
      </c>
      <c r="S160" s="9">
        <f t="shared" ref="S160:S223" si="45">AVERAGE(R131:R160)</f>
        <v>0.99218813039433251</v>
      </c>
      <c r="T160">
        <v>0.86140000000000005</v>
      </c>
      <c r="U160">
        <v>0.89555999999999991</v>
      </c>
      <c r="V160">
        <v>0.43093149451253215</v>
      </c>
      <c r="W160" s="9">
        <v>0.96100841838836015</v>
      </c>
      <c r="X160">
        <f t="shared" si="37"/>
        <v>0.47024303925120997</v>
      </c>
      <c r="Y160">
        <f t="shared" ref="Y160:Y223" si="46">AVERAGE(X131:X160)</f>
        <v>0.63753400481395961</v>
      </c>
      <c r="Z160">
        <f t="shared" si="40"/>
        <v>-9.9995000333435977E-5</v>
      </c>
      <c r="AA160">
        <f t="shared" ref="AA160:AA223" si="47">ABS(SUM(Z131:Z160))</f>
        <v>7.8196090260637854E-2</v>
      </c>
      <c r="AB160">
        <f t="shared" si="34"/>
        <v>8.6832325122757653E-2</v>
      </c>
      <c r="AC160">
        <f t="shared" ref="AC160:AC223" si="48">LN((EXP(AB160)-1)*365/30+1)</f>
        <v>0.74369024189289445</v>
      </c>
      <c r="AD160">
        <f t="shared" si="38"/>
        <v>3.8191014338567595E-4</v>
      </c>
      <c r="AE160">
        <f t="shared" ref="AE160:AE223" si="49">I160/I131</f>
        <v>1.0372761285436782</v>
      </c>
      <c r="AF160">
        <f t="shared" ref="AF160:AF223" si="50">2*SQRT(AE160)*EXP(SUM(AD131:AD160))/(1+AE160)-1</f>
        <v>1.7509491732434546E-2</v>
      </c>
    </row>
    <row r="161" spans="1:32" x14ac:dyDescent="0.25">
      <c r="A161" s="6">
        <v>44481.333402777775</v>
      </c>
      <c r="B161">
        <v>97605239.991641998</v>
      </c>
      <c r="C161">
        <v>97580604.225376129</v>
      </c>
      <c r="D161">
        <v>27844.415877386928</v>
      </c>
      <c r="E161">
        <v>292815.71997493505</v>
      </c>
      <c r="F161">
        <v>1.5840937969897624E+19</v>
      </c>
      <c r="G161">
        <v>3527</v>
      </c>
      <c r="H161">
        <v>2.8925692788105638E-4</v>
      </c>
      <c r="I161">
        <v>3457.1341378941979</v>
      </c>
      <c r="J161">
        <f t="shared" si="39"/>
        <v>-3.0098495100322559E-2</v>
      </c>
      <c r="K161">
        <f t="shared" si="41"/>
        <v>2.1322305267550374E-2</v>
      </c>
      <c r="L161">
        <f t="shared" si="42"/>
        <v>0.94718819227288931</v>
      </c>
      <c r="M161">
        <f t="shared" si="43"/>
        <v>1.2111740616603925</v>
      </c>
      <c r="N161" s="2">
        <v>0.1135285232206696</v>
      </c>
      <c r="O161" s="9">
        <v>0.93783088249443891</v>
      </c>
      <c r="P161">
        <f t="shared" si="35"/>
        <v>0</v>
      </c>
      <c r="Q161">
        <f t="shared" si="44"/>
        <v>0.5050389577828801</v>
      </c>
      <c r="R161">
        <f t="shared" si="36"/>
        <v>0.66113239456240813</v>
      </c>
      <c r="S161" s="9">
        <f t="shared" si="45"/>
        <v>0.98726143007428946</v>
      </c>
      <c r="T161">
        <v>0.90680000000000005</v>
      </c>
      <c r="U161">
        <v>0.8933766666666666</v>
      </c>
      <c r="V161">
        <v>0.41181803613716034</v>
      </c>
      <c r="W161" s="9">
        <v>0.9489932813713281</v>
      </c>
      <c r="X161">
        <f t="shared" si="37"/>
        <v>0.16951625832538947</v>
      </c>
      <c r="Y161">
        <f t="shared" si="46"/>
        <v>0.62291715950176507</v>
      </c>
      <c r="Z161">
        <f t="shared" si="40"/>
        <v>-3.0098495100322559E-2</v>
      </c>
      <c r="AA161">
        <f t="shared" si="47"/>
        <v>6.4996750216638408E-3</v>
      </c>
      <c r="AB161">
        <f t="shared" si="34"/>
        <v>8.4962418616525009E-2</v>
      </c>
      <c r="AC161">
        <f t="shared" si="48"/>
        <v>0.73183562821293691</v>
      </c>
      <c r="AD161">
        <f t="shared" si="38"/>
        <v>3.1098868792452594E-4</v>
      </c>
      <c r="AE161">
        <f t="shared" si="49"/>
        <v>1.0651299869741391</v>
      </c>
      <c r="AF161">
        <f t="shared" si="50"/>
        <v>1.7097957650927809E-2</v>
      </c>
    </row>
    <row r="162" spans="1:32" x14ac:dyDescent="0.25">
      <c r="A162" s="6">
        <v>44482.333356481482</v>
      </c>
      <c r="B162">
        <v>107631171.1984787</v>
      </c>
      <c r="C162">
        <v>107626744.54782104</v>
      </c>
      <c r="D162">
        <v>30955.13330549933</v>
      </c>
      <c r="E162">
        <v>322893.51359543204</v>
      </c>
      <c r="F162">
        <v>1.5913972411773114E+19</v>
      </c>
      <c r="G162">
        <v>3537</v>
      </c>
      <c r="H162">
        <v>2.8919908517203112E-4</v>
      </c>
      <c r="I162">
        <v>3457.8255992931181</v>
      </c>
      <c r="J162">
        <f t="shared" si="39"/>
        <v>1.9999000066653387E-4</v>
      </c>
      <c r="K162">
        <f t="shared" si="41"/>
        <v>4.955767379117515E-2</v>
      </c>
      <c r="L162">
        <f t="shared" si="42"/>
        <v>0.9723191333511304</v>
      </c>
      <c r="M162">
        <f t="shared" si="43"/>
        <v>1.2000206099925739</v>
      </c>
      <c r="N162" s="2">
        <v>0.12564501870688818</v>
      </c>
      <c r="O162" s="9">
        <v>0.93358652573650436</v>
      </c>
      <c r="P162">
        <f t="shared" si="35"/>
        <v>0</v>
      </c>
      <c r="Q162">
        <f t="shared" si="44"/>
        <v>0.47999171312921179</v>
      </c>
      <c r="R162">
        <f t="shared" si="36"/>
        <v>0.73077219913566249</v>
      </c>
      <c r="S162" s="9">
        <f t="shared" si="45"/>
        <v>0.97443890450325898</v>
      </c>
      <c r="T162">
        <v>0.88519999999999999</v>
      </c>
      <c r="U162">
        <v>0.89145666666666667</v>
      </c>
      <c r="V162">
        <v>0.42551713729090962</v>
      </c>
      <c r="W162" s="9">
        <v>0.95580090422103958</v>
      </c>
      <c r="X162">
        <f t="shared" si="37"/>
        <v>0.36649890192197865</v>
      </c>
      <c r="Y162">
        <f t="shared" si="46"/>
        <v>0.60217935119485821</v>
      </c>
      <c r="Z162">
        <f t="shared" si="40"/>
        <v>1.9999000066653387E-4</v>
      </c>
      <c r="AA162">
        <f t="shared" si="47"/>
        <v>6.3296835210976732E-2</v>
      </c>
      <c r="AB162">
        <f t="shared" ref="AB162:AB225" si="51">AVERAGE(AA133:AA162)</f>
        <v>8.6978984456579839E-2</v>
      </c>
      <c r="AC162">
        <f t="shared" si="48"/>
        <v>0.74461503070110935</v>
      </c>
      <c r="AD162">
        <f t="shared" si="38"/>
        <v>3.4417369340307018E-4</v>
      </c>
      <c r="AE162">
        <f t="shared" si="49"/>
        <v>1.0388331323485307</v>
      </c>
      <c r="AF162">
        <f t="shared" si="50"/>
        <v>1.7172251440392694E-2</v>
      </c>
    </row>
    <row r="163" spans="1:32" x14ac:dyDescent="0.25">
      <c r="A163" s="6">
        <v>44483.333368055559</v>
      </c>
      <c r="B163">
        <v>90024529.70772934</v>
      </c>
      <c r="C163">
        <v>90106972.224155426</v>
      </c>
      <c r="D163">
        <v>25153.163699707016</v>
      </c>
      <c r="E163">
        <v>270073.58912318945</v>
      </c>
      <c r="F163">
        <v>1.33679806125766E+19</v>
      </c>
      <c r="G163">
        <v>3522</v>
      </c>
      <c r="H163">
        <v>2.6782108565091768E-4</v>
      </c>
      <c r="I163">
        <v>3733.8359583211313</v>
      </c>
      <c r="J163">
        <f t="shared" si="39"/>
        <v>7.679616025597244E-2</v>
      </c>
      <c r="K163">
        <f t="shared" si="41"/>
        <v>7.5485345035480295E-2</v>
      </c>
      <c r="L163">
        <f t="shared" si="42"/>
        <v>0.93368040658075413</v>
      </c>
      <c r="M163">
        <f t="shared" si="43"/>
        <v>1.1816424823407259</v>
      </c>
      <c r="N163" s="2">
        <v>0.1262973046122908</v>
      </c>
      <c r="O163" s="9">
        <v>0.93694178620733337</v>
      </c>
      <c r="P163">
        <f t="shared" si="35"/>
        <v>0</v>
      </c>
      <c r="Q163">
        <f t="shared" si="44"/>
        <v>0.44504358784897236</v>
      </c>
      <c r="R163">
        <f t="shared" si="36"/>
        <v>0.73433391197247144</v>
      </c>
      <c r="S163" s="9">
        <f t="shared" si="45"/>
        <v>0.95445910052256078</v>
      </c>
      <c r="T163">
        <v>0.94040000000000001</v>
      </c>
      <c r="U163">
        <v>0.89150000000000007</v>
      </c>
      <c r="V163">
        <v>0.45460674030343035</v>
      </c>
      <c r="W163" s="9">
        <v>0.96893855459884426</v>
      </c>
      <c r="X163">
        <f t="shared" si="37"/>
        <v>0.36503678625487246</v>
      </c>
      <c r="Y163">
        <f t="shared" si="46"/>
        <v>0.5729188947147944</v>
      </c>
      <c r="Z163">
        <f t="shared" si="40"/>
        <v>7.679616025597244E-2</v>
      </c>
      <c r="AA163">
        <f t="shared" si="47"/>
        <v>0.11489425538295832</v>
      </c>
      <c r="AB163">
        <f t="shared" si="51"/>
        <v>8.9042214630123545E-2</v>
      </c>
      <c r="AC163">
        <f t="shared" si="48"/>
        <v>0.7575494810607114</v>
      </c>
      <c r="AD163">
        <f t="shared" si="38"/>
        <v>3.4596016151788042E-4</v>
      </c>
      <c r="AE163">
        <f t="shared" si="49"/>
        <v>1.0950450021771374</v>
      </c>
      <c r="AF163">
        <f t="shared" si="50"/>
        <v>1.5878236004501778E-2</v>
      </c>
    </row>
    <row r="164" spans="1:32" x14ac:dyDescent="0.25">
      <c r="A164" s="6">
        <v>44484.333472222221</v>
      </c>
      <c r="B164">
        <v>90708172.74848175</v>
      </c>
      <c r="C164">
        <v>90714013.0573349</v>
      </c>
      <c r="D164">
        <v>23967.437855405733</v>
      </c>
      <c r="E164">
        <v>272124.5182454437</v>
      </c>
      <c r="F164">
        <v>1.3521202130972312E+19</v>
      </c>
      <c r="G164">
        <v>3507</v>
      </c>
      <c r="H164">
        <v>2.6454722550063955E-4</v>
      </c>
      <c r="I164">
        <v>3780.0434236554956</v>
      </c>
      <c r="J164">
        <f t="shared" si="39"/>
        <v>1.2299385040995571E-2</v>
      </c>
      <c r="K164">
        <f t="shared" si="41"/>
        <v>6.9013774751324503E-2</v>
      </c>
      <c r="L164">
        <f t="shared" si="42"/>
        <v>0.91751645014405703</v>
      </c>
      <c r="M164">
        <f t="shared" si="43"/>
        <v>1.1789433111383412</v>
      </c>
      <c r="N164" s="2">
        <v>0.11971383793975646</v>
      </c>
      <c r="O164" s="9">
        <v>0.92197024601456268</v>
      </c>
      <c r="P164">
        <f t="shared" si="35"/>
        <v>0</v>
      </c>
      <c r="Q164">
        <f t="shared" si="44"/>
        <v>0.44504358784897236</v>
      </c>
      <c r="R164">
        <f t="shared" si="36"/>
        <v>0.69755183383926289</v>
      </c>
      <c r="S164" s="9">
        <f t="shared" si="45"/>
        <v>0.95294158222795189</v>
      </c>
      <c r="T164">
        <v>0.92269999999999996</v>
      </c>
      <c r="U164">
        <v>0.89288666666666672</v>
      </c>
      <c r="V164">
        <v>0.44330281268028088</v>
      </c>
      <c r="W164" s="9">
        <v>0.96357957138886774</v>
      </c>
      <c r="X164">
        <f t="shared" si="37"/>
        <v>0.32888535019737802</v>
      </c>
      <c r="Y164">
        <f t="shared" si="46"/>
        <v>0.56787649999363421</v>
      </c>
      <c r="Z164">
        <f t="shared" si="40"/>
        <v>1.2299385040995571E-2</v>
      </c>
      <c r="AA164">
        <f t="shared" si="47"/>
        <v>0.103094845343629</v>
      </c>
      <c r="AB164">
        <f t="shared" si="51"/>
        <v>9.1375431304567156E-2</v>
      </c>
      <c r="AC164">
        <f t="shared" si="48"/>
        <v>0.7720092294641413</v>
      </c>
      <c r="AD164">
        <f t="shared" si="38"/>
        <v>3.2792934293833959E-4</v>
      </c>
      <c r="AE164">
        <f t="shared" si="49"/>
        <v>1.0452935814503108</v>
      </c>
      <c r="AF164">
        <f t="shared" si="50"/>
        <v>1.6653040311399359E-2</v>
      </c>
    </row>
    <row r="165" spans="1:32" x14ac:dyDescent="0.25">
      <c r="A165" s="6">
        <v>44485.333356481482</v>
      </c>
      <c r="B165">
        <v>97975861.322776794</v>
      </c>
      <c r="C165">
        <v>98048117.212970734</v>
      </c>
      <c r="D165">
        <v>25259.268463714048</v>
      </c>
      <c r="E165">
        <v>293927.58396832645</v>
      </c>
      <c r="F165">
        <v>1.3805615409624515E+19</v>
      </c>
      <c r="G165">
        <v>3490</v>
      </c>
      <c r="H165">
        <v>2.530082284024334E-4</v>
      </c>
      <c r="I165">
        <v>3952.4406234306571</v>
      </c>
      <c r="J165">
        <f t="shared" si="39"/>
        <v>4.459777014865067E-2</v>
      </c>
      <c r="K165">
        <f t="shared" si="41"/>
        <v>6.1889026440859377E-2</v>
      </c>
      <c r="L165">
        <f t="shared" si="42"/>
        <v>0.9579353876327007</v>
      </c>
      <c r="M165">
        <f t="shared" si="43"/>
        <v>1.1777842577024209</v>
      </c>
      <c r="N165" s="2">
        <v>0.12635351560872182</v>
      </c>
      <c r="O165" s="9">
        <v>0.92130746292709598</v>
      </c>
      <c r="P165">
        <f t="shared" si="35"/>
        <v>0</v>
      </c>
      <c r="Q165">
        <f t="shared" si="44"/>
        <v>0.44504358784897236</v>
      </c>
      <c r="R165">
        <f t="shared" si="36"/>
        <v>0.73464003582995774</v>
      </c>
      <c r="S165" s="9">
        <f t="shared" si="45"/>
        <v>0.95109163219401094</v>
      </c>
      <c r="T165">
        <v>0.86180000000000012</v>
      </c>
      <c r="U165">
        <v>0.89453999999999989</v>
      </c>
      <c r="V165">
        <v>0.42665474736806874</v>
      </c>
      <c r="W165" s="9">
        <v>0.95810700754596778</v>
      </c>
      <c r="X165">
        <f t="shared" si="37"/>
        <v>0.40387796689742317</v>
      </c>
      <c r="Y165">
        <f t="shared" si="46"/>
        <v>0.56207385776420182</v>
      </c>
      <c r="Z165">
        <f t="shared" si="40"/>
        <v>4.459777014865067E-2</v>
      </c>
      <c r="AA165">
        <f t="shared" si="47"/>
        <v>8.889555529630111E-2</v>
      </c>
      <c r="AB165">
        <f t="shared" si="51"/>
        <v>9.0905454803000676E-2</v>
      </c>
      <c r="AC165">
        <f t="shared" si="48"/>
        <v>0.76911068838864338</v>
      </c>
      <c r="AD165">
        <f t="shared" si="38"/>
        <v>3.4611411096633786E-4</v>
      </c>
      <c r="AE165">
        <f t="shared" si="49"/>
        <v>1.149001214029826</v>
      </c>
      <c r="AF165">
        <f t="shared" si="50"/>
        <v>1.4425782880801652E-2</v>
      </c>
    </row>
    <row r="166" spans="1:32" x14ac:dyDescent="0.25">
      <c r="A166" s="6">
        <v>44486.333356481482</v>
      </c>
      <c r="B166">
        <v>68981844.807361603</v>
      </c>
      <c r="C166">
        <v>68952335.470787048</v>
      </c>
      <c r="D166">
        <v>17823.731441097334</v>
      </c>
      <c r="E166">
        <v>206945.53442208469</v>
      </c>
      <c r="F166">
        <v>1.5524400702509162E+19</v>
      </c>
      <c r="G166">
        <v>3495</v>
      </c>
      <c r="H166">
        <v>2.5850652530779621E-4</v>
      </c>
      <c r="I166">
        <v>3868.3743043210575</v>
      </c>
      <c r="J166">
        <f t="shared" si="39"/>
        <v>-2.1498925071658931E-2</v>
      </c>
      <c r="K166">
        <f t="shared" si="41"/>
        <v>7.5417204408601765E-2</v>
      </c>
      <c r="L166">
        <f t="shared" si="42"/>
        <v>0.69939323819119981</v>
      </c>
      <c r="M166">
        <f t="shared" si="43"/>
        <v>1.162447792739002</v>
      </c>
      <c r="N166" s="2">
        <v>7.8440018216506674E-2</v>
      </c>
      <c r="O166" s="9">
        <v>0.90206066408929098</v>
      </c>
      <c r="P166">
        <f t="shared" si="35"/>
        <v>0</v>
      </c>
      <c r="Q166">
        <f t="shared" si="44"/>
        <v>0.42480603634974778</v>
      </c>
      <c r="R166">
        <f t="shared" si="36"/>
        <v>0.39545923065029132</v>
      </c>
      <c r="S166" s="9">
        <f t="shared" si="45"/>
        <v>0.93014641327319547</v>
      </c>
      <c r="T166">
        <v>0.89840000000000009</v>
      </c>
      <c r="U166">
        <v>0.89644999999999997</v>
      </c>
      <c r="V166">
        <v>0.42665474736806874</v>
      </c>
      <c r="W166" s="9">
        <v>0.96087229083779768</v>
      </c>
      <c r="X166">
        <f t="shared" si="37"/>
        <v>0</v>
      </c>
      <c r="Y166">
        <f t="shared" si="46"/>
        <v>0.53344008845143553</v>
      </c>
      <c r="Z166">
        <f t="shared" si="40"/>
        <v>-2.1498925071658931E-2</v>
      </c>
      <c r="AA166">
        <f t="shared" si="47"/>
        <v>0.11739413039129068</v>
      </c>
      <c r="AB166">
        <f t="shared" si="51"/>
        <v>9.02654868008676E-2</v>
      </c>
      <c r="AC166">
        <f t="shared" si="48"/>
        <v>0.76515238232896554</v>
      </c>
      <c r="AD166">
        <f t="shared" si="38"/>
        <v>2.1488107090615464E-4</v>
      </c>
      <c r="AE166">
        <f t="shared" si="49"/>
        <v>1.104171240892007</v>
      </c>
      <c r="AF166">
        <f t="shared" si="50"/>
        <v>1.5316022788554262E-2</v>
      </c>
    </row>
    <row r="167" spans="1:32" x14ac:dyDescent="0.25">
      <c r="A167" s="6">
        <v>44487.333425925928</v>
      </c>
      <c r="B167">
        <v>122064887.12200546</v>
      </c>
      <c r="C167">
        <v>122005723.88376999</v>
      </c>
      <c r="D167">
        <v>32200.043314252049</v>
      </c>
      <c r="E167">
        <v>366194.66136603057</v>
      </c>
      <c r="F167">
        <v>1.5470021413916342E+19</v>
      </c>
      <c r="G167">
        <v>3492</v>
      </c>
      <c r="H167">
        <v>2.6779430622029567E-4</v>
      </c>
      <c r="I167">
        <v>3734.2093419169632</v>
      </c>
      <c r="J167">
        <f t="shared" si="39"/>
        <v>-3.5298235117653967E-2</v>
      </c>
      <c r="K167">
        <f t="shared" si="41"/>
        <v>4.8832437554432229E-2</v>
      </c>
      <c r="L167">
        <f t="shared" si="42"/>
        <v>1.029431835431952</v>
      </c>
      <c r="M167">
        <f t="shared" si="43"/>
        <v>1.1728236317763816</v>
      </c>
      <c r="N167" s="2">
        <v>0.13971869691946742</v>
      </c>
      <c r="O167" s="9">
        <v>0.9078121570428056</v>
      </c>
      <c r="P167">
        <f t="shared" si="35"/>
        <v>0</v>
      </c>
      <c r="Q167">
        <f t="shared" si="44"/>
        <v>0.42480603634974778</v>
      </c>
      <c r="R167">
        <f t="shared" si="36"/>
        <v>0.80412525935342083</v>
      </c>
      <c r="S167" s="9">
        <f t="shared" si="45"/>
        <v>0.93961922247818053</v>
      </c>
      <c r="T167">
        <v>0.92760000000000009</v>
      </c>
      <c r="U167">
        <v>0.89983999999999997</v>
      </c>
      <c r="V167">
        <v>0.41839527153429201</v>
      </c>
      <c r="W167" s="9">
        <v>0.95541818957053204</v>
      </c>
      <c r="X167">
        <f t="shared" si="37"/>
        <v>0.5451940529513386</v>
      </c>
      <c r="Y167">
        <f t="shared" si="46"/>
        <v>0.55161322354981346</v>
      </c>
      <c r="Z167">
        <f t="shared" si="40"/>
        <v>-3.5298235117653967E-2</v>
      </c>
      <c r="AA167">
        <f t="shared" si="47"/>
        <v>6.379681021264344E-2</v>
      </c>
      <c r="AB167">
        <f t="shared" si="51"/>
        <v>8.7028981956746604E-2</v>
      </c>
      <c r="AC167">
        <f t="shared" si="48"/>
        <v>0.74493013521554308</v>
      </c>
      <c r="AD167">
        <f t="shared" si="38"/>
        <v>3.8271770469974249E-4</v>
      </c>
      <c r="AE167">
        <f t="shared" si="49"/>
        <v>1.1229893592102607</v>
      </c>
      <c r="AF167">
        <f t="shared" si="50"/>
        <v>1.4986005704997307E-2</v>
      </c>
    </row>
    <row r="168" spans="1:32" x14ac:dyDescent="0.25">
      <c r="A168" s="6">
        <v>44488.333541666667</v>
      </c>
      <c r="B168">
        <v>92541859.696754456</v>
      </c>
      <c r="C168">
        <v>92563027.618667603</v>
      </c>
      <c r="D168">
        <v>24601.092409132048</v>
      </c>
      <c r="E168">
        <v>277625.57909025252</v>
      </c>
      <c r="F168">
        <v>1.339402220101812E+19</v>
      </c>
      <c r="G168">
        <v>3488</v>
      </c>
      <c r="H168">
        <v>2.6267568560328365E-4</v>
      </c>
      <c r="I168">
        <v>3806.9758824586816</v>
      </c>
      <c r="J168">
        <f t="shared" si="39"/>
        <v>1.9299035064326526E-2</v>
      </c>
      <c r="K168">
        <f t="shared" si="41"/>
        <v>8.4504985561286688E-2</v>
      </c>
      <c r="L168">
        <f t="shared" si="42"/>
        <v>0.90674087609055332</v>
      </c>
      <c r="M168">
        <f t="shared" si="43"/>
        <v>1.1740019414426646</v>
      </c>
      <c r="N168" s="2">
        <v>0.12448674046659404</v>
      </c>
      <c r="O168" s="9">
        <v>0.90578174413568213</v>
      </c>
      <c r="P168">
        <f t="shared" si="35"/>
        <v>0</v>
      </c>
      <c r="Q168">
        <f t="shared" si="44"/>
        <v>0.42480603634974778</v>
      </c>
      <c r="R168">
        <f t="shared" si="36"/>
        <v>0.72440443200412519</v>
      </c>
      <c r="S168" s="9">
        <f t="shared" si="45"/>
        <v>0.94504528283627842</v>
      </c>
      <c r="T168">
        <v>0.91700000000000004</v>
      </c>
      <c r="U168">
        <v>0.90298333333333347</v>
      </c>
      <c r="V168">
        <v>0.36879892630767019</v>
      </c>
      <c r="W168" s="9">
        <v>0.92414042179973843</v>
      </c>
      <c r="X168">
        <f t="shared" si="37"/>
        <v>0.42040428429364302</v>
      </c>
      <c r="Y168">
        <f t="shared" si="46"/>
        <v>0.56188315933924382</v>
      </c>
      <c r="Z168">
        <f t="shared" si="40"/>
        <v>1.9299035064326526E-2</v>
      </c>
      <c r="AA168">
        <f t="shared" si="47"/>
        <v>0.13529323545095098</v>
      </c>
      <c r="AB168">
        <f t="shared" si="51"/>
        <v>9.0368814967878741E-2</v>
      </c>
      <c r="AC168">
        <f t="shared" si="48"/>
        <v>0.76579237372914954</v>
      </c>
      <c r="AD168">
        <f t="shared" si="38"/>
        <v>3.4100141533016361E-4</v>
      </c>
      <c r="AE168">
        <f t="shared" si="49"/>
        <v>1.2533108261991033</v>
      </c>
      <c r="AF168">
        <f t="shared" si="50"/>
        <v>1.0321208209023602E-2</v>
      </c>
    </row>
    <row r="169" spans="1:32" x14ac:dyDescent="0.25">
      <c r="A169" s="6">
        <v>44489.333344907405</v>
      </c>
      <c r="B169">
        <v>62894863.570121765</v>
      </c>
      <c r="C169">
        <v>62910458.186786652</v>
      </c>
      <c r="D169">
        <v>16422.866353591904</v>
      </c>
      <c r="E169">
        <v>188684.59071037173</v>
      </c>
      <c r="F169">
        <v>1.902167023780803E+19</v>
      </c>
      <c r="G169">
        <v>3493</v>
      </c>
      <c r="H169">
        <v>2.5897223277935439E-4</v>
      </c>
      <c r="I169">
        <v>3861.417841085708</v>
      </c>
      <c r="J169">
        <f t="shared" si="39"/>
        <v>1.4199290047328112E-2</v>
      </c>
      <c r="K169">
        <f t="shared" si="41"/>
        <v>0.13370221136213212</v>
      </c>
      <c r="L169">
        <f t="shared" si="42"/>
        <v>0.19184193820531642</v>
      </c>
      <c r="M169">
        <f t="shared" si="43"/>
        <v>1.1478970771437453</v>
      </c>
      <c r="N169" s="2">
        <v>5.8933653408439236E-2</v>
      </c>
      <c r="O169" s="9">
        <v>0.81678205997226816</v>
      </c>
      <c r="P169">
        <f t="shared" si="35"/>
        <v>0</v>
      </c>
      <c r="Q169">
        <f t="shared" si="44"/>
        <v>0.42480603634974778</v>
      </c>
      <c r="R169">
        <f t="shared" si="36"/>
        <v>1.835986497719385E-2</v>
      </c>
      <c r="S169" s="9">
        <f t="shared" si="45"/>
        <v>0.92244111550111896</v>
      </c>
      <c r="T169">
        <v>0.92620000000000002</v>
      </c>
      <c r="U169">
        <v>0.90123666666666691</v>
      </c>
      <c r="V169">
        <v>0.35944291740986473</v>
      </c>
      <c r="W169" s="9">
        <v>0.91625029584648643</v>
      </c>
      <c r="X169">
        <f t="shared" si="37"/>
        <v>0</v>
      </c>
      <c r="Y169">
        <f t="shared" si="46"/>
        <v>0.55785252772519722</v>
      </c>
      <c r="Z169">
        <f t="shared" si="40"/>
        <v>1.4199290047328112E-2</v>
      </c>
      <c r="AA169">
        <f t="shared" si="47"/>
        <v>0.2399880007999132</v>
      </c>
      <c r="AB169">
        <f t="shared" si="51"/>
        <v>9.6065196820198887E-2</v>
      </c>
      <c r="AC169">
        <f t="shared" si="48"/>
        <v>0.80055440725040772</v>
      </c>
      <c r="AD169">
        <f t="shared" si="38"/>
        <v>1.6144903053666961E-4</v>
      </c>
      <c r="AE169">
        <f t="shared" si="49"/>
        <v>1.263503358303403</v>
      </c>
      <c r="AF169">
        <f t="shared" si="50"/>
        <v>9.6855805715687637E-3</v>
      </c>
    </row>
    <row r="170" spans="1:32" x14ac:dyDescent="0.25">
      <c r="A170" s="6">
        <v>44490.333483796298</v>
      </c>
      <c r="B170">
        <v>207133638.34248352</v>
      </c>
      <c r="C170">
        <v>207245289.06427765</v>
      </c>
      <c r="D170">
        <v>49876.597233906388</v>
      </c>
      <c r="E170">
        <v>621400.9150274545</v>
      </c>
      <c r="F170">
        <v>1.4658586642054666E+19</v>
      </c>
      <c r="G170">
        <v>3430</v>
      </c>
      <c r="H170">
        <v>2.3744242815405448E-4</v>
      </c>
      <c r="I170">
        <v>4211.5472275712755</v>
      </c>
      <c r="J170">
        <f t="shared" si="39"/>
        <v>8.6795660289302023E-2</v>
      </c>
      <c r="K170">
        <f t="shared" si="41"/>
        <v>0.17274305984640095</v>
      </c>
      <c r="L170">
        <f t="shared" si="42"/>
        <v>1.1023849525151781</v>
      </c>
      <c r="M170">
        <f t="shared" si="43"/>
        <v>1.1045641052471329</v>
      </c>
      <c r="N170" s="2">
        <v>0.2425577809809237</v>
      </c>
      <c r="O170" s="9">
        <v>0.77686489913969703</v>
      </c>
      <c r="P170">
        <f t="shared" si="35"/>
        <v>0.88866976883444526</v>
      </c>
      <c r="Q170">
        <f t="shared" si="44"/>
        <v>0.38274794493106928</v>
      </c>
      <c r="R170">
        <f t="shared" si="36"/>
        <v>1.2121592738670346</v>
      </c>
      <c r="S170" s="9">
        <f t="shared" si="45"/>
        <v>0.88607931566946985</v>
      </c>
      <c r="T170">
        <v>0.96760000000000002</v>
      </c>
      <c r="U170">
        <v>0.89431333333333352</v>
      </c>
      <c r="V170">
        <v>0.34448388494175602</v>
      </c>
      <c r="W170" s="9">
        <v>0.90775484414151797</v>
      </c>
      <c r="X170">
        <f t="shared" si="37"/>
        <v>1.188720861026596</v>
      </c>
      <c r="Y170">
        <f t="shared" si="46"/>
        <v>0.51714207935185497</v>
      </c>
      <c r="Z170">
        <f t="shared" si="40"/>
        <v>8.6795660289302023E-2</v>
      </c>
      <c r="AA170">
        <f t="shared" si="47"/>
        <v>0.32068396606888416</v>
      </c>
      <c r="AB170">
        <f t="shared" si="51"/>
        <v>0.10458477084859578</v>
      </c>
      <c r="AC170">
        <f t="shared" si="48"/>
        <v>0.85073580010199001</v>
      </c>
      <c r="AD170">
        <f t="shared" si="38"/>
        <v>6.6432115553091361E-4</v>
      </c>
      <c r="AE170">
        <f t="shared" si="49"/>
        <v>1.4551096320170052</v>
      </c>
      <c r="AF170">
        <f t="shared" si="50"/>
        <v>-2.3309443580707967E-3</v>
      </c>
    </row>
    <row r="171" spans="1:32" x14ac:dyDescent="0.25">
      <c r="A171" s="6">
        <v>44491.333495370367</v>
      </c>
      <c r="B171">
        <v>155668975.37798691</v>
      </c>
      <c r="C171">
        <v>155645947.5447998</v>
      </c>
      <c r="D171">
        <v>37788.154960766435</v>
      </c>
      <c r="E171">
        <v>467006.92613394558</v>
      </c>
      <c r="F171">
        <v>1.5254732764041409E+19</v>
      </c>
      <c r="G171">
        <v>3427</v>
      </c>
      <c r="H171">
        <v>2.4255394066825898E-4</v>
      </c>
      <c r="I171">
        <v>4122.7942833866382</v>
      </c>
      <c r="J171">
        <f t="shared" si="39"/>
        <v>-2.1298935070992508E-2</v>
      </c>
      <c r="K171">
        <f t="shared" si="41"/>
        <v>0.18712825507226577</v>
      </c>
      <c r="L171">
        <f t="shared" si="42"/>
        <v>0.7395274936317654</v>
      </c>
      <c r="M171">
        <f t="shared" si="43"/>
        <v>1.0438168075525476</v>
      </c>
      <c r="N171" s="2">
        <v>0.17471756613738187</v>
      </c>
      <c r="O171" s="9">
        <v>0.70583674327443868</v>
      </c>
      <c r="P171">
        <f t="shared" si="35"/>
        <v>0.49700325883431773</v>
      </c>
      <c r="Q171">
        <f t="shared" si="44"/>
        <v>0.32135320408954055</v>
      </c>
      <c r="R171">
        <f t="shared" si="36"/>
        <v>0.96260500023297302</v>
      </c>
      <c r="S171" s="9">
        <f t="shared" si="45"/>
        <v>0.83550355270228416</v>
      </c>
      <c r="T171">
        <v>0.82530000000000003</v>
      </c>
      <c r="U171">
        <v>0.89292333333333351</v>
      </c>
      <c r="V171">
        <v>0.33807731392113194</v>
      </c>
      <c r="W171" s="9">
        <v>0.90143573149862966</v>
      </c>
      <c r="X171">
        <f t="shared" si="37"/>
        <v>0.96630812023731782</v>
      </c>
      <c r="Y171">
        <f t="shared" si="46"/>
        <v>0.46215969174384708</v>
      </c>
      <c r="Z171">
        <f t="shared" si="40"/>
        <v>-2.1298935070992508E-2</v>
      </c>
      <c r="AA171">
        <f t="shared" si="47"/>
        <v>0.35378231117920556</v>
      </c>
      <c r="AB171">
        <f t="shared" si="51"/>
        <v>0.11158108770524879</v>
      </c>
      <c r="AC171">
        <f t="shared" si="48"/>
        <v>0.89044226680060545</v>
      </c>
      <c r="AD171">
        <f t="shared" si="38"/>
        <v>4.7856373349736581E-4</v>
      </c>
      <c r="AE171">
        <f t="shared" si="49"/>
        <v>1.350108542406065</v>
      </c>
      <c r="AF171">
        <f t="shared" si="50"/>
        <v>2.1440938739476501E-3</v>
      </c>
    </row>
    <row r="172" spans="1:32" x14ac:dyDescent="0.25">
      <c r="A172" s="6">
        <v>44492.333333333336</v>
      </c>
      <c r="B172">
        <v>128348789.60176468</v>
      </c>
      <c r="C172">
        <v>128317116.44454956</v>
      </c>
      <c r="D172">
        <v>32164.216199863702</v>
      </c>
      <c r="E172">
        <v>385046.36880530417</v>
      </c>
      <c r="F172">
        <v>1.5344441353486074E+19</v>
      </c>
      <c r="G172">
        <v>3427</v>
      </c>
      <c r="H172">
        <v>2.4797378041963817E-4</v>
      </c>
      <c r="I172">
        <v>4032.6844165045663</v>
      </c>
      <c r="J172">
        <f t="shared" si="39"/>
        <v>-2.2098895073658465E-2</v>
      </c>
      <c r="K172">
        <f t="shared" si="41"/>
        <v>0.14964021577553543</v>
      </c>
      <c r="L172">
        <f t="shared" si="42"/>
        <v>0.7908198080432286</v>
      </c>
      <c r="M172">
        <f t="shared" si="43"/>
        <v>1.0200164061205528</v>
      </c>
      <c r="N172" s="2">
        <v>0.14622063462541865</v>
      </c>
      <c r="O172" s="9">
        <v>0.71814262756189529</v>
      </c>
      <c r="P172">
        <f t="shared" si="35"/>
        <v>0.13797386417806104</v>
      </c>
      <c r="Q172">
        <f t="shared" si="44"/>
        <v>0.2906523834122281</v>
      </c>
      <c r="R172">
        <f t="shared" si="36"/>
        <v>0.83584264929340391</v>
      </c>
      <c r="S172" s="9">
        <f t="shared" si="45"/>
        <v>0.81863027569075586</v>
      </c>
      <c r="T172">
        <v>0.84819999999999995</v>
      </c>
      <c r="U172">
        <v>0.89313666666666669</v>
      </c>
      <c r="V172">
        <v>0.30443289420997488</v>
      </c>
      <c r="W172" s="9">
        <v>0.88278311204970872</v>
      </c>
      <c r="X172">
        <f t="shared" si="37"/>
        <v>0.81978828624609656</v>
      </c>
      <c r="Y172">
        <f t="shared" si="46"/>
        <v>0.45288979823945119</v>
      </c>
      <c r="Z172">
        <f t="shared" si="40"/>
        <v>-2.2098895073658465E-2</v>
      </c>
      <c r="AA172">
        <f t="shared" si="47"/>
        <v>0.27808609592689953</v>
      </c>
      <c r="AB172">
        <f t="shared" si="51"/>
        <v>0.11812742706040197</v>
      </c>
      <c r="AC172">
        <f t="shared" si="48"/>
        <v>0.92645806986273949</v>
      </c>
      <c r="AD172">
        <f t="shared" si="38"/>
        <v>4.0052425787540661E-4</v>
      </c>
      <c r="AE172">
        <f t="shared" si="49"/>
        <v>1.4245875114661202</v>
      </c>
      <c r="AF172">
        <f t="shared" si="50"/>
        <v>-2.5834231441065336E-3</v>
      </c>
    </row>
    <row r="173" spans="1:32" x14ac:dyDescent="0.25">
      <c r="A173" s="6">
        <v>44493.333379629628</v>
      </c>
      <c r="B173">
        <v>79902013.790218353</v>
      </c>
      <c r="C173">
        <v>79904910.381793976</v>
      </c>
      <c r="D173">
        <v>19531.241937184706</v>
      </c>
      <c r="E173">
        <v>239706.04137066007</v>
      </c>
      <c r="F173">
        <v>1.5559376293965619E+19</v>
      </c>
      <c r="G173">
        <v>3436</v>
      </c>
      <c r="H173">
        <v>2.4784983071681811E-4</v>
      </c>
      <c r="I173">
        <v>4034.7011620215885</v>
      </c>
      <c r="J173">
        <f t="shared" si="39"/>
        <v>4.9997500166648991E-4</v>
      </c>
      <c r="K173">
        <f t="shared" si="41"/>
        <v>0.18621340202364139</v>
      </c>
      <c r="L173">
        <f t="shared" si="42"/>
        <v>0</v>
      </c>
      <c r="M173">
        <f t="shared" si="43"/>
        <v>0.95757980562370693</v>
      </c>
      <c r="N173" s="2">
        <v>8.7585662097125261E-2</v>
      </c>
      <c r="O173" s="9">
        <v>0.66263367688430796</v>
      </c>
      <c r="P173">
        <f t="shared" si="35"/>
        <v>0</v>
      </c>
      <c r="Q173">
        <f t="shared" si="44"/>
        <v>0.23928770173782404</v>
      </c>
      <c r="R173">
        <f t="shared" si="36"/>
        <v>0.47911705683629024</v>
      </c>
      <c r="S173" s="9">
        <f t="shared" si="45"/>
        <v>0.77634762671237711</v>
      </c>
      <c r="T173">
        <v>0.88370000000000004</v>
      </c>
      <c r="U173">
        <v>0.89221333333333352</v>
      </c>
      <c r="V173">
        <v>0.2912191570018467</v>
      </c>
      <c r="W173" s="9">
        <v>0.87343533668202278</v>
      </c>
      <c r="X173">
        <f t="shared" si="37"/>
        <v>0.51426237636305916</v>
      </c>
      <c r="Y173">
        <f t="shared" si="46"/>
        <v>0.41650670139530865</v>
      </c>
      <c r="Z173">
        <f t="shared" si="40"/>
        <v>4.9997500166648991E-4</v>
      </c>
      <c r="AA173">
        <f t="shared" si="47"/>
        <v>0.35438228118120535</v>
      </c>
      <c r="AB173">
        <f t="shared" si="51"/>
        <v>0.12657033825521</v>
      </c>
      <c r="AC173">
        <f t="shared" si="48"/>
        <v>0.97139976251920901</v>
      </c>
      <c r="AD173">
        <f t="shared" si="38"/>
        <v>2.3993193210610536E-4</v>
      </c>
      <c r="AE173">
        <f t="shared" si="49"/>
        <v>1.3855313275704431</v>
      </c>
      <c r="AF173">
        <f t="shared" si="50"/>
        <v>-1.2124112498678175E-3</v>
      </c>
    </row>
    <row r="174" spans="1:32" x14ac:dyDescent="0.25">
      <c r="A174" s="6">
        <v>44494.333437499998</v>
      </c>
      <c r="B174">
        <v>89893006.762496948</v>
      </c>
      <c r="C174">
        <v>89919994.414684296</v>
      </c>
      <c r="D174">
        <v>22168.14437812008</v>
      </c>
      <c r="E174">
        <v>269679.02028748393</v>
      </c>
      <c r="F174">
        <v>1.584317131525101E+19</v>
      </c>
      <c r="G174">
        <v>3433</v>
      </c>
      <c r="H174">
        <v>2.4160986963747764E-4</v>
      </c>
      <c r="I174">
        <v>4138.9037687096361</v>
      </c>
      <c r="J174">
        <f t="shared" si="39"/>
        <v>2.5498725084990959E-2</v>
      </c>
      <c r="K174">
        <f t="shared" si="41"/>
        <v>0.18486474672218148</v>
      </c>
      <c r="L174">
        <f t="shared" si="42"/>
        <v>0</v>
      </c>
      <c r="M174">
        <f t="shared" si="43"/>
        <v>0.90727532784338871</v>
      </c>
      <c r="N174" s="2">
        <v>9.8882523784331752E-2</v>
      </c>
      <c r="O174" s="9">
        <v>0.66451392658888853</v>
      </c>
      <c r="P174">
        <f t="shared" si="35"/>
        <v>0</v>
      </c>
      <c r="Q174">
        <f t="shared" si="44"/>
        <v>0.20388590806300658</v>
      </c>
      <c r="R174">
        <f t="shared" si="36"/>
        <v>0.56562182387980831</v>
      </c>
      <c r="S174" s="9">
        <f t="shared" si="45"/>
        <v>0.75038658039485251</v>
      </c>
      <c r="T174">
        <v>0.8367</v>
      </c>
      <c r="U174">
        <v>0.89140333333333333</v>
      </c>
      <c r="V174">
        <v>0.28449906640265188</v>
      </c>
      <c r="W174" s="9">
        <v>0.8696543939022976</v>
      </c>
      <c r="X174">
        <f t="shared" si="37"/>
        <v>0.5954830246646442</v>
      </c>
      <c r="Y174">
        <f t="shared" si="46"/>
        <v>0.4003880481630408</v>
      </c>
      <c r="Z174">
        <f t="shared" si="40"/>
        <v>2.5498725084990959E-2</v>
      </c>
      <c r="AA174">
        <f t="shared" si="47"/>
        <v>0.35158242117187327</v>
      </c>
      <c r="AB174">
        <f t="shared" si="51"/>
        <v>0.13622318895405092</v>
      </c>
      <c r="AC174">
        <f t="shared" si="48"/>
        <v>1.0208577332418798</v>
      </c>
      <c r="AD174">
        <f t="shared" si="38"/>
        <v>2.7087433430143364E-4</v>
      </c>
      <c r="AE174">
        <f t="shared" si="49"/>
        <v>1.3924759841554095</v>
      </c>
      <c r="AF174">
        <f t="shared" si="50"/>
        <v>-2.1271276491043878E-3</v>
      </c>
    </row>
    <row r="175" spans="1:32" x14ac:dyDescent="0.25">
      <c r="A175" s="6">
        <v>44495.333402777775</v>
      </c>
      <c r="B175">
        <v>51496070.988708496</v>
      </c>
      <c r="C175">
        <v>51518495.938007355</v>
      </c>
      <c r="D175">
        <v>12272.27465810068</v>
      </c>
      <c r="E175">
        <v>154488.21296612918</v>
      </c>
      <c r="F175">
        <v>1.6256425547482546E+19</v>
      </c>
      <c r="G175">
        <v>3423</v>
      </c>
      <c r="H175">
        <v>2.3708654928134904E-4</v>
      </c>
      <c r="I175">
        <v>4217.8689724540491</v>
      </c>
      <c r="J175">
        <f t="shared" si="39"/>
        <v>1.8899055062993081E-2</v>
      </c>
      <c r="K175">
        <f t="shared" si="41"/>
        <v>0.18401829757659119</v>
      </c>
      <c r="L175">
        <f t="shared" si="42"/>
        <v>0</v>
      </c>
      <c r="M175">
        <f t="shared" si="43"/>
        <v>0.85669095992233657</v>
      </c>
      <c r="N175" s="2">
        <v>5.3856261640461513E-2</v>
      </c>
      <c r="O175" s="9">
        <v>0.66280938965006186</v>
      </c>
      <c r="P175">
        <f t="shared" si="35"/>
        <v>0</v>
      </c>
      <c r="Q175">
        <f t="shared" si="44"/>
        <v>0.16809124351630794</v>
      </c>
      <c r="R175">
        <f t="shared" si="36"/>
        <v>0</v>
      </c>
      <c r="S175" s="9">
        <f t="shared" si="45"/>
        <v>0.70526048107070916</v>
      </c>
      <c r="T175">
        <v>0.89260000000000006</v>
      </c>
      <c r="U175">
        <v>0.8914200000000001</v>
      </c>
      <c r="V175">
        <v>0.30426685264529513</v>
      </c>
      <c r="W175" s="9">
        <v>0.88082560787006337</v>
      </c>
      <c r="X175">
        <f t="shared" si="37"/>
        <v>0</v>
      </c>
      <c r="Y175">
        <f t="shared" si="46"/>
        <v>0.36382668513276478</v>
      </c>
      <c r="Z175">
        <f t="shared" si="40"/>
        <v>1.8899055062993081E-2</v>
      </c>
      <c r="AA175">
        <f t="shared" si="47"/>
        <v>0.34998250116654039</v>
      </c>
      <c r="AB175">
        <f t="shared" si="51"/>
        <v>0.1458860391529252</v>
      </c>
      <c r="AC175">
        <f t="shared" si="48"/>
        <v>1.0684792248432873</v>
      </c>
      <c r="AD175">
        <f t="shared" si="38"/>
        <v>1.475405171172002E-4</v>
      </c>
      <c r="AE175">
        <f t="shared" si="49"/>
        <v>1.3649044770934615</v>
      </c>
      <c r="AF175">
        <f t="shared" si="50"/>
        <v>-1.1781649314848153E-3</v>
      </c>
    </row>
    <row r="176" spans="1:32" x14ac:dyDescent="0.25">
      <c r="A176" s="6">
        <v>44496.333587962959</v>
      </c>
      <c r="B176">
        <v>210180946.36787796</v>
      </c>
      <c r="C176">
        <v>210098855.1149559</v>
      </c>
      <c r="D176">
        <v>50831.608358692378</v>
      </c>
      <c r="E176">
        <v>630542.83910362422</v>
      </c>
      <c r="F176">
        <v>1.6624026596658008E+19</v>
      </c>
      <c r="G176">
        <v>3412</v>
      </c>
      <c r="H176">
        <v>2.5001542263232456E-4</v>
      </c>
      <c r="I176">
        <v>3999.7532531047536</v>
      </c>
      <c r="J176">
        <f t="shared" si="39"/>
        <v>-5.3097345176980802E-2</v>
      </c>
      <c r="K176">
        <f t="shared" si="41"/>
        <v>0.13822676159681949</v>
      </c>
      <c r="L176">
        <f t="shared" si="42"/>
        <v>1.1112311420630696</v>
      </c>
      <c r="M176">
        <f t="shared" si="43"/>
        <v>0.85551608208040986</v>
      </c>
      <c r="N176" s="2">
        <v>0.21242414625888412</v>
      </c>
      <c r="O176" s="9">
        <v>0.67033544596777128</v>
      </c>
      <c r="P176">
        <f t="shared" si="35"/>
        <v>0.74071916423429318</v>
      </c>
      <c r="Q176">
        <f t="shared" si="44"/>
        <v>0.17928742258597047</v>
      </c>
      <c r="R176">
        <f t="shared" si="36"/>
        <v>1.1082693839701339</v>
      </c>
      <c r="S176" s="9">
        <f t="shared" si="45"/>
        <v>0.71158895265652644</v>
      </c>
      <c r="T176">
        <v>0.93659999999999999</v>
      </c>
      <c r="U176">
        <v>0.89066000000000012</v>
      </c>
      <c r="V176">
        <v>0.30933118625914469</v>
      </c>
      <c r="W176" s="9">
        <v>0.88406246678748301</v>
      </c>
      <c r="X176">
        <f t="shared" si="37"/>
        <v>1.1473851490844407</v>
      </c>
      <c r="Y176">
        <f t="shared" si="46"/>
        <v>0.38964588321850901</v>
      </c>
      <c r="Z176">
        <f t="shared" si="40"/>
        <v>-5.3097345176980802E-2</v>
      </c>
      <c r="AA176">
        <f t="shared" si="47"/>
        <v>0.257987100859907</v>
      </c>
      <c r="AB176">
        <f t="shared" si="51"/>
        <v>0.15306901334353371</v>
      </c>
      <c r="AC176">
        <f t="shared" si="48"/>
        <v>1.1027478666119381</v>
      </c>
      <c r="AD176">
        <f t="shared" si="38"/>
        <v>5.8181467536523297E-4</v>
      </c>
      <c r="AE176">
        <f t="shared" si="49"/>
        <v>1.3701007209093063</v>
      </c>
      <c r="AF176">
        <f t="shared" si="50"/>
        <v>-1.3411718457619903E-3</v>
      </c>
    </row>
    <row r="177" spans="1:32" x14ac:dyDescent="0.25">
      <c r="A177" s="6">
        <v>44497.333368055559</v>
      </c>
      <c r="B177">
        <v>178382782.91397476</v>
      </c>
      <c r="C177">
        <v>178390873.77757263</v>
      </c>
      <c r="D177">
        <v>44573.411748947576</v>
      </c>
      <c r="E177">
        <v>535148.3487419337</v>
      </c>
      <c r="F177">
        <v>1.6505506313987521E+19</v>
      </c>
      <c r="G177">
        <v>3406</v>
      </c>
      <c r="H177">
        <v>2.4117538474971659E-4</v>
      </c>
      <c r="I177">
        <v>4146.3601313946911</v>
      </c>
      <c r="J177">
        <f t="shared" si="39"/>
        <v>3.5998200119987091E-2</v>
      </c>
      <c r="K177">
        <f t="shared" si="41"/>
        <v>0.1853157198261377</v>
      </c>
      <c r="L177">
        <f t="shared" si="42"/>
        <v>0.83286811196847343</v>
      </c>
      <c r="M177">
        <f t="shared" si="43"/>
        <v>0.83864619600304879</v>
      </c>
      <c r="N177" s="2">
        <v>0.19101619560382144</v>
      </c>
      <c r="O177" s="9">
        <v>0.69322333924925417</v>
      </c>
      <c r="P177">
        <f t="shared" si="35"/>
        <v>0.61432993987225493</v>
      </c>
      <c r="Q177">
        <f t="shared" si="44"/>
        <v>0.17284377359351943</v>
      </c>
      <c r="R177">
        <f t="shared" si="36"/>
        <v>1.0281037993340159</v>
      </c>
      <c r="S177" s="9">
        <f t="shared" si="45"/>
        <v>0.70739007932562248</v>
      </c>
      <c r="T177">
        <v>0.90969999999999995</v>
      </c>
      <c r="U177">
        <v>0.88575000000000015</v>
      </c>
      <c r="V177">
        <v>0.31870519448695417</v>
      </c>
      <c r="W177" s="9">
        <v>0.88986189109587666</v>
      </c>
      <c r="X177">
        <f t="shared" si="37"/>
        <v>1.0459859760131887</v>
      </c>
      <c r="Y177">
        <f t="shared" si="46"/>
        <v>0.39822860873257448</v>
      </c>
      <c r="Z177">
        <f t="shared" si="40"/>
        <v>3.5998200119987091E-2</v>
      </c>
      <c r="AA177">
        <f t="shared" si="47"/>
        <v>0.35088245616954034</v>
      </c>
      <c r="AB177">
        <f t="shared" si="51"/>
        <v>0.16176191203917503</v>
      </c>
      <c r="AC177">
        <f t="shared" si="48"/>
        <v>1.1430205436854037</v>
      </c>
      <c r="AD177">
        <f t="shared" si="38"/>
        <v>5.2319515229410979E-4</v>
      </c>
      <c r="AE177">
        <f t="shared" si="49"/>
        <v>1.4153581819147041</v>
      </c>
      <c r="AF177">
        <f t="shared" si="50"/>
        <v>-4.0937047706659513E-3</v>
      </c>
    </row>
    <row r="178" spans="1:32" x14ac:dyDescent="0.25">
      <c r="A178" s="6">
        <v>44498.333344907405</v>
      </c>
      <c r="B178">
        <v>137191434.35473633</v>
      </c>
      <c r="C178">
        <v>137235600.62810898</v>
      </c>
      <c r="D178">
        <v>32175.029866792262</v>
      </c>
      <c r="E178">
        <v>411574.3030642122</v>
      </c>
      <c r="F178">
        <v>1.8737952349122736E+19</v>
      </c>
      <c r="G178">
        <v>3399</v>
      </c>
      <c r="H178">
        <v>2.3209025501269131E-4</v>
      </c>
      <c r="I178">
        <v>4308.6686252523496</v>
      </c>
      <c r="J178">
        <f t="shared" si="39"/>
        <v>3.839808012798606E-2</v>
      </c>
      <c r="K178">
        <f t="shared" si="41"/>
        <v>0.20282179561877936</v>
      </c>
      <c r="L178">
        <f t="shared" si="42"/>
        <v>0</v>
      </c>
      <c r="M178">
        <f t="shared" si="43"/>
        <v>0.79583335698568236</v>
      </c>
      <c r="N178" s="2">
        <v>0.1238106576988202</v>
      </c>
      <c r="O178" s="9">
        <v>0.6952194465236472</v>
      </c>
      <c r="P178">
        <f t="shared" si="35"/>
        <v>0</v>
      </c>
      <c r="Q178">
        <f t="shared" si="44"/>
        <v>0.14914514126991926</v>
      </c>
      <c r="R178">
        <f t="shared" si="36"/>
        <v>0.72066158421621762</v>
      </c>
      <c r="S178" s="9">
        <f t="shared" si="45"/>
        <v>0.69512533006636268</v>
      </c>
      <c r="T178">
        <v>0.84010000000000007</v>
      </c>
      <c r="U178">
        <v>0.88178333333333347</v>
      </c>
      <c r="V178">
        <v>0.34418398265940847</v>
      </c>
      <c r="W178" s="9">
        <v>0.9028797976302424</v>
      </c>
      <c r="X178">
        <f t="shared" si="37"/>
        <v>0.71969596396765267</v>
      </c>
      <c r="Y178">
        <f t="shared" si="46"/>
        <v>0.39953826095270834</v>
      </c>
      <c r="Z178">
        <f t="shared" si="40"/>
        <v>3.839808012798606E-2</v>
      </c>
      <c r="AA178">
        <f t="shared" si="47"/>
        <v>0.38578071128586094</v>
      </c>
      <c r="AB178">
        <f t="shared" si="51"/>
        <v>0.17188140607290467</v>
      </c>
      <c r="AC178">
        <f t="shared" si="48"/>
        <v>1.1883615952184126</v>
      </c>
      <c r="AD178">
        <f t="shared" si="38"/>
        <v>3.3914976358333834E-4</v>
      </c>
      <c r="AE178">
        <f t="shared" si="49"/>
        <v>1.4575852983303537</v>
      </c>
      <c r="AF178">
        <f t="shared" si="50"/>
        <v>-6.9382287994167458E-3</v>
      </c>
    </row>
    <row r="179" spans="1:32" x14ac:dyDescent="0.25">
      <c r="A179" s="6">
        <v>44499.333506944444</v>
      </c>
      <c r="B179">
        <v>66393851.677761078</v>
      </c>
      <c r="C179">
        <v>66406448.175655365</v>
      </c>
      <c r="D179">
        <v>15189.117598989978</v>
      </c>
      <c r="E179">
        <v>199181.55503328145</v>
      </c>
      <c r="F179">
        <v>1.0428113811764404E+19</v>
      </c>
      <c r="G179">
        <v>3402</v>
      </c>
      <c r="H179">
        <v>2.3037921134558853E-4</v>
      </c>
      <c r="I179">
        <v>4340.6694300203781</v>
      </c>
      <c r="J179">
        <f t="shared" si="39"/>
        <v>7.3996300246640711E-3</v>
      </c>
      <c r="K179">
        <f t="shared" si="41"/>
        <v>0.20195501651288522</v>
      </c>
      <c r="L179">
        <f t="shared" si="42"/>
        <v>0</v>
      </c>
      <c r="M179">
        <f t="shared" si="43"/>
        <v>0.76044586039294504</v>
      </c>
      <c r="N179" s="2">
        <v>0.10541315054533719</v>
      </c>
      <c r="O179" s="9">
        <v>0.69287676812034593</v>
      </c>
      <c r="P179">
        <f t="shared" si="35"/>
        <v>0</v>
      </c>
      <c r="Q179">
        <f t="shared" si="44"/>
        <v>0.14293586912468781</v>
      </c>
      <c r="R179">
        <f t="shared" si="36"/>
        <v>0.61005988373041253</v>
      </c>
      <c r="S179" s="9">
        <f t="shared" si="45"/>
        <v>0.68728865407935891</v>
      </c>
      <c r="T179">
        <v>0.88959999999999995</v>
      </c>
      <c r="U179">
        <v>0.88120000000000021</v>
      </c>
      <c r="V179">
        <v>0.34907926728464378</v>
      </c>
      <c r="W179" s="9">
        <v>0.9058434108176463</v>
      </c>
      <c r="X179">
        <f t="shared" si="37"/>
        <v>0.60725398422661736</v>
      </c>
      <c r="Y179">
        <f t="shared" si="46"/>
        <v>0.41820624371105086</v>
      </c>
      <c r="Z179">
        <f t="shared" si="40"/>
        <v>7.3996300246640711E-3</v>
      </c>
      <c r="AA179">
        <f t="shared" si="47"/>
        <v>0.38418079128052818</v>
      </c>
      <c r="AB179">
        <f t="shared" si="51"/>
        <v>0.1798010100993018</v>
      </c>
      <c r="AC179">
        <f t="shared" si="48"/>
        <v>1.2227689519637357</v>
      </c>
      <c r="AD179">
        <f t="shared" si="38"/>
        <v>2.8876145657638484E-4</v>
      </c>
      <c r="AE179">
        <f t="shared" si="49"/>
        <v>1.3397531438370196</v>
      </c>
      <c r="AF179">
        <f t="shared" si="50"/>
        <v>-9.35709767655446E-5</v>
      </c>
    </row>
    <row r="180" spans="1:32" x14ac:dyDescent="0.25">
      <c r="A180" s="6">
        <v>44500.33357638889</v>
      </c>
      <c r="B180">
        <v>113184482.48322296</v>
      </c>
      <c r="C180">
        <v>113224409.83302307</v>
      </c>
      <c r="D180">
        <v>26166.141692226753</v>
      </c>
      <c r="E180">
        <v>339553.44744966924</v>
      </c>
      <c r="F180">
        <v>8.1728368544835973E+18</v>
      </c>
      <c r="G180">
        <v>3404</v>
      </c>
      <c r="H180">
        <v>2.373000125467782E-4</v>
      </c>
      <c r="I180">
        <v>4214.0747877241392</v>
      </c>
      <c r="J180">
        <f t="shared" si="39"/>
        <v>-2.9598520098655955E-2</v>
      </c>
      <c r="K180">
        <f t="shared" si="41"/>
        <v>0.13946288807976429</v>
      </c>
      <c r="L180">
        <f t="shared" si="42"/>
        <v>1.1634042579248098</v>
      </c>
      <c r="M180">
        <f t="shared" si="43"/>
        <v>0.75680406890221374</v>
      </c>
      <c r="N180" s="2">
        <v>0.22830090525057362</v>
      </c>
      <c r="O180" s="9">
        <v>0.62472425401936627</v>
      </c>
      <c r="P180">
        <f t="shared" si="35"/>
        <v>0.82199692955476777</v>
      </c>
      <c r="Q180">
        <f t="shared" si="44"/>
        <v>0.14726350547682818</v>
      </c>
      <c r="R180">
        <f t="shared" si="36"/>
        <v>1.164162831986598</v>
      </c>
      <c r="S180" s="9">
        <f t="shared" si="45"/>
        <v>0.69021322240666938</v>
      </c>
      <c r="T180">
        <v>0.90689999999999993</v>
      </c>
      <c r="U180">
        <v>0.88387000000000016</v>
      </c>
      <c r="V180">
        <v>0.356444367639072</v>
      </c>
      <c r="W180" s="9">
        <v>0.90875087313879765</v>
      </c>
      <c r="X180">
        <f t="shared" si="37"/>
        <v>1.2345409649613579</v>
      </c>
      <c r="Y180">
        <f t="shared" si="46"/>
        <v>0.43594912344370346</v>
      </c>
      <c r="Z180">
        <f t="shared" si="40"/>
        <v>-2.9598520098655955E-2</v>
      </c>
      <c r="AA180">
        <f t="shared" si="47"/>
        <v>0.26288685587623867</v>
      </c>
      <c r="AB180">
        <f t="shared" si="51"/>
        <v>0.18563071861873301</v>
      </c>
      <c r="AC180">
        <f t="shared" si="48"/>
        <v>1.2475284704561904</v>
      </c>
      <c r="AD180">
        <f t="shared" si="38"/>
        <v>6.2528639989997388E-4</v>
      </c>
      <c r="AE180">
        <f t="shared" si="49"/>
        <v>1.2804193491801188</v>
      </c>
      <c r="AF180">
        <f t="shared" si="50"/>
        <v>3.015456023511609E-3</v>
      </c>
    </row>
    <row r="181" spans="1:32" x14ac:dyDescent="0.25">
      <c r="A181" s="6">
        <v>44501.333472222221</v>
      </c>
      <c r="B181">
        <v>71281639.449474335</v>
      </c>
      <c r="C181">
        <v>71290963.521923065</v>
      </c>
      <c r="D181">
        <v>16758.646704228595</v>
      </c>
      <c r="E181">
        <v>213844.91834841669</v>
      </c>
      <c r="F181">
        <v>1.724854657781656E+19</v>
      </c>
      <c r="G181">
        <v>3400</v>
      </c>
      <c r="H181">
        <v>2.312100295417295E-4</v>
      </c>
      <c r="I181">
        <v>4325.0718923484974</v>
      </c>
      <c r="J181">
        <f t="shared" si="39"/>
        <v>2.599870008665742E-2</v>
      </c>
      <c r="K181">
        <f t="shared" si="41"/>
        <v>0.14454003259982612</v>
      </c>
      <c r="L181">
        <f t="shared" si="42"/>
        <v>0.23149743079989407</v>
      </c>
      <c r="M181">
        <f t="shared" si="43"/>
        <v>0.73348538527396323</v>
      </c>
      <c r="N181" s="2">
        <v>7.0189598814336923E-2</v>
      </c>
      <c r="O181" s="9">
        <v>0.6218900956233081</v>
      </c>
      <c r="P181">
        <f t="shared" si="35"/>
        <v>0</v>
      </c>
      <c r="Q181">
        <f t="shared" si="44"/>
        <v>0.14726350547682818</v>
      </c>
      <c r="R181">
        <f t="shared" si="36"/>
        <v>0.30064039630289585</v>
      </c>
      <c r="S181" s="9">
        <f t="shared" si="45"/>
        <v>0.67815090189898097</v>
      </c>
      <c r="T181">
        <v>0.87970000000000004</v>
      </c>
      <c r="U181">
        <v>0.88611666666666666</v>
      </c>
      <c r="V181">
        <v>0.37883965826226296</v>
      </c>
      <c r="W181" s="9">
        <v>0.92133181627799821</v>
      </c>
      <c r="X181">
        <f t="shared" si="37"/>
        <v>0.41957822055118515</v>
      </c>
      <c r="Y181">
        <f t="shared" si="46"/>
        <v>0.44993506412874301</v>
      </c>
      <c r="Z181">
        <f t="shared" si="40"/>
        <v>2.599870008665742E-2</v>
      </c>
      <c r="AA181">
        <f t="shared" si="47"/>
        <v>0.27318634091056865</v>
      </c>
      <c r="AB181">
        <f t="shared" si="51"/>
        <v>0.19034381630110905</v>
      </c>
      <c r="AC181">
        <f t="shared" si="48"/>
        <v>1.2672093676703362</v>
      </c>
      <c r="AD181">
        <f t="shared" si="38"/>
        <v>1.922817833972353E-4</v>
      </c>
      <c r="AE181">
        <f t="shared" si="49"/>
        <v>1.2680599394933136</v>
      </c>
      <c r="AF181">
        <f t="shared" si="50"/>
        <v>3.482416793656018E-3</v>
      </c>
    </row>
    <row r="182" spans="1:32" x14ac:dyDescent="0.25">
      <c r="A182" s="6">
        <v>44502.33357638889</v>
      </c>
      <c r="B182">
        <v>87836469.829772949</v>
      </c>
      <c r="C182">
        <v>87871796.264099121</v>
      </c>
      <c r="D182">
        <v>20154.07904971391</v>
      </c>
      <c r="E182">
        <v>263509.40948933363</v>
      </c>
      <c r="F182">
        <v>1.7568710137384897E+19</v>
      </c>
      <c r="G182">
        <v>3401</v>
      </c>
      <c r="H182">
        <v>2.2545662185165423E-4</v>
      </c>
      <c r="I182">
        <v>4435.4430213097894</v>
      </c>
      <c r="J182">
        <f t="shared" si="39"/>
        <v>2.5198740083990812E-2</v>
      </c>
      <c r="K182">
        <f t="shared" si="41"/>
        <v>0.13992307980549412</v>
      </c>
      <c r="L182">
        <f t="shared" si="42"/>
        <v>0.44199898864791848</v>
      </c>
      <c r="M182">
        <f t="shared" si="43"/>
        <v>0.71809165599401115</v>
      </c>
      <c r="N182" s="2">
        <v>8.39230458251886E-2</v>
      </c>
      <c r="O182" s="9">
        <v>0.64617552896133135</v>
      </c>
      <c r="P182">
        <f t="shared" si="35"/>
        <v>0</v>
      </c>
      <c r="Q182">
        <f t="shared" si="44"/>
        <v>0.14726350547682818</v>
      </c>
      <c r="R182">
        <f t="shared" si="36"/>
        <v>0.44749550162652552</v>
      </c>
      <c r="S182" s="9">
        <f t="shared" si="45"/>
        <v>0.67176731342024676</v>
      </c>
      <c r="T182">
        <v>0.93709999999999993</v>
      </c>
      <c r="U182">
        <v>0.88911666666666667</v>
      </c>
      <c r="V182">
        <v>0.39154140912875401</v>
      </c>
      <c r="W182" s="9">
        <v>0.92814262543958148</v>
      </c>
      <c r="X182">
        <f t="shared" si="37"/>
        <v>0.50649550721701841</v>
      </c>
      <c r="Y182">
        <f t="shared" si="46"/>
        <v>0.46681824770264357</v>
      </c>
      <c r="Z182">
        <f t="shared" si="40"/>
        <v>2.5198740083990812E-2</v>
      </c>
      <c r="AA182">
        <f t="shared" si="47"/>
        <v>0.26268686587557222</v>
      </c>
      <c r="AB182">
        <f t="shared" si="51"/>
        <v>0.19416362531384104</v>
      </c>
      <c r="AC182">
        <f t="shared" si="48"/>
        <v>1.2829471782237529</v>
      </c>
      <c r="AD182">
        <f t="shared" si="38"/>
        <v>2.2989972397886169E-4</v>
      </c>
      <c r="AE182">
        <f t="shared" si="49"/>
        <v>1.3397531438370194</v>
      </c>
      <c r="AF182">
        <f t="shared" si="50"/>
        <v>-2.1683892168899987E-4</v>
      </c>
    </row>
    <row r="183" spans="1:32" x14ac:dyDescent="0.25">
      <c r="A183" s="6">
        <v>44503.333692129629</v>
      </c>
      <c r="B183">
        <v>73943567.447731018</v>
      </c>
      <c r="C183">
        <v>73995732.107219696</v>
      </c>
      <c r="D183">
        <v>16267.180028961971</v>
      </c>
      <c r="E183">
        <v>221830.70234318078</v>
      </c>
      <c r="F183">
        <v>1.5617022230055627E+19</v>
      </c>
      <c r="G183">
        <v>3366</v>
      </c>
      <c r="H183">
        <v>2.1861874363290079E-4</v>
      </c>
      <c r="I183">
        <v>4574.1732084929336</v>
      </c>
      <c r="J183">
        <f t="shared" si="39"/>
        <v>3.0798460102655606E-2</v>
      </c>
      <c r="K183">
        <f t="shared" si="41"/>
        <v>0.17011102836355549</v>
      </c>
      <c r="L183">
        <f t="shared" si="42"/>
        <v>0</v>
      </c>
      <c r="M183">
        <f t="shared" si="43"/>
        <v>0.68612324605613428</v>
      </c>
      <c r="N183" s="2">
        <v>7.7385572959480481E-2</v>
      </c>
      <c r="O183" s="9">
        <v>0.64199950867528521</v>
      </c>
      <c r="P183">
        <f t="shared" si="35"/>
        <v>0</v>
      </c>
      <c r="Q183">
        <f t="shared" si="44"/>
        <v>0.14726350547682818</v>
      </c>
      <c r="R183">
        <f t="shared" si="36"/>
        <v>0.38464586446536864</v>
      </c>
      <c r="S183" s="9">
        <f t="shared" si="45"/>
        <v>0.6602503398235019</v>
      </c>
      <c r="T183">
        <v>0.90079999999999993</v>
      </c>
      <c r="U183">
        <v>0.88970666666666676</v>
      </c>
      <c r="V183">
        <v>0.41332729331187396</v>
      </c>
      <c r="W183" s="9">
        <v>0.93852073730622909</v>
      </c>
      <c r="X183">
        <f t="shared" si="37"/>
        <v>0.45684939725832813</v>
      </c>
      <c r="Y183">
        <f t="shared" si="46"/>
        <v>0.48204656094458787</v>
      </c>
      <c r="Z183">
        <f t="shared" si="40"/>
        <v>3.0798460102655606E-2</v>
      </c>
      <c r="AA183">
        <f t="shared" si="47"/>
        <v>0.3232838360775504</v>
      </c>
      <c r="AB183">
        <f t="shared" si="51"/>
        <v>0.19945669399815022</v>
      </c>
      <c r="AC183">
        <f t="shared" si="48"/>
        <v>1.3044501583105828</v>
      </c>
      <c r="AD183">
        <f t="shared" si="38"/>
        <v>2.1199279632142548E-4</v>
      </c>
      <c r="AE183">
        <f t="shared" si="49"/>
        <v>1.3268210071940758</v>
      </c>
      <c r="AF183">
        <f t="shared" si="50"/>
        <v>3.4403531351157035E-4</v>
      </c>
    </row>
    <row r="184" spans="1:32" x14ac:dyDescent="0.25">
      <c r="A184" s="6">
        <v>44504.334328703706</v>
      </c>
      <c r="B184">
        <v>102223713.65621948</v>
      </c>
      <c r="C184">
        <v>102203162.42769623</v>
      </c>
      <c r="D184">
        <v>22471.008854437619</v>
      </c>
      <c r="E184">
        <v>306671.14096866548</v>
      </c>
      <c r="F184">
        <v>1.88928334686703E+19</v>
      </c>
      <c r="G184">
        <v>3349</v>
      </c>
      <c r="H184">
        <v>2.2143490774787836E-4</v>
      </c>
      <c r="I184">
        <v>4515.9998040533937</v>
      </c>
      <c r="J184">
        <f t="shared" si="39"/>
        <v>-1.2799360042661903E-2</v>
      </c>
      <c r="K184">
        <f t="shared" si="41"/>
        <v>0.14337556267144769</v>
      </c>
      <c r="L184">
        <f t="shared" si="42"/>
        <v>0.4501271978888719</v>
      </c>
      <c r="M184">
        <f t="shared" si="43"/>
        <v>0.66750952145348919</v>
      </c>
      <c r="N184" s="2">
        <v>8.7799508867095422E-2</v>
      </c>
      <c r="O184" s="9">
        <v>0.63870117800069626</v>
      </c>
      <c r="P184">
        <f t="shared" si="35"/>
        <v>0</v>
      </c>
      <c r="Q184">
        <f t="shared" si="44"/>
        <v>0.14726350547682818</v>
      </c>
      <c r="R184">
        <f t="shared" si="36"/>
        <v>0.48089908329215003</v>
      </c>
      <c r="S184" s="9">
        <f t="shared" si="45"/>
        <v>0.65074225326928592</v>
      </c>
      <c r="T184">
        <v>0.89569999999999994</v>
      </c>
      <c r="U184">
        <v>0.89123666666666701</v>
      </c>
      <c r="V184">
        <v>0.43061963897672606</v>
      </c>
      <c r="W184" s="9">
        <v>0.95041771179335632</v>
      </c>
      <c r="X184">
        <f t="shared" si="37"/>
        <v>0.54597368139411373</v>
      </c>
      <c r="Y184">
        <f t="shared" si="46"/>
        <v>0.50024568365772504</v>
      </c>
      <c r="Z184">
        <f t="shared" si="40"/>
        <v>-1.2799360042661903E-2</v>
      </c>
      <c r="AA184">
        <f t="shared" si="47"/>
        <v>0.26998650089990317</v>
      </c>
      <c r="AB184">
        <f t="shared" si="51"/>
        <v>0.2041397931804263</v>
      </c>
      <c r="AC184">
        <f t="shared" si="48"/>
        <v>1.3231894931319708</v>
      </c>
      <c r="AD184">
        <f t="shared" si="38"/>
        <v>2.4051767294121449E-4</v>
      </c>
      <c r="AE184">
        <f t="shared" si="49"/>
        <v>1.3320054530025336</v>
      </c>
      <c r="AF184">
        <f t="shared" si="50"/>
        <v>-5.3546848275520809E-5</v>
      </c>
    </row>
    <row r="185" spans="1:32" x14ac:dyDescent="0.25">
      <c r="A185" s="6">
        <v>44505.333344907405</v>
      </c>
      <c r="B185">
        <v>81841372.139385223</v>
      </c>
      <c r="C185">
        <v>81834636.234916687</v>
      </c>
      <c r="D185">
        <v>18169.392420208082</v>
      </c>
      <c r="E185">
        <v>245524.11641815305</v>
      </c>
      <c r="F185">
        <v>1.8722171290119295E+19</v>
      </c>
      <c r="G185">
        <v>3346</v>
      </c>
      <c r="H185">
        <v>2.2263383048272805E-4</v>
      </c>
      <c r="I185">
        <v>4491.6803427032628</v>
      </c>
      <c r="J185">
        <f t="shared" si="39"/>
        <v>-5.3997300179982333E-3</v>
      </c>
      <c r="K185">
        <f t="shared" si="41"/>
        <v>0.14909853936507245</v>
      </c>
      <c r="L185">
        <f t="shared" si="42"/>
        <v>0.17643598629830509</v>
      </c>
      <c r="M185">
        <f t="shared" si="43"/>
        <v>0.64251147502982531</v>
      </c>
      <c r="N185" s="2">
        <v>7.1446057085653117E-2</v>
      </c>
      <c r="O185" s="9">
        <v>0.6414861453059062</v>
      </c>
      <c r="P185">
        <f t="shared" si="35"/>
        <v>0</v>
      </c>
      <c r="Q185">
        <f t="shared" si="44"/>
        <v>0.14726350547682818</v>
      </c>
      <c r="R185">
        <f t="shared" si="36"/>
        <v>0.31691688825256981</v>
      </c>
      <c r="S185" s="9">
        <f t="shared" si="45"/>
        <v>0.63916602482742646</v>
      </c>
      <c r="T185">
        <v>0.79930000000000012</v>
      </c>
      <c r="U185">
        <v>0.88846666666666685</v>
      </c>
      <c r="V185">
        <v>0.42841984282044948</v>
      </c>
      <c r="W185" s="9">
        <v>0.94911416175240504</v>
      </c>
      <c r="X185">
        <f t="shared" si="37"/>
        <v>0.40141542789603918</v>
      </c>
      <c r="Y185">
        <f t="shared" si="46"/>
        <v>0.51362619792092634</v>
      </c>
      <c r="Z185">
        <f t="shared" si="40"/>
        <v>-5.3997300179982333E-3</v>
      </c>
      <c r="AA185">
        <f t="shared" si="47"/>
        <v>0.28128593593756557</v>
      </c>
      <c r="AB185">
        <f t="shared" si="51"/>
        <v>0.20878289436256908</v>
      </c>
      <c r="AC185">
        <f t="shared" si="48"/>
        <v>1.3415129040452911</v>
      </c>
      <c r="AD185">
        <f t="shared" si="38"/>
        <v>1.957234670649243E-4</v>
      </c>
      <c r="AE185">
        <f t="shared" si="49"/>
        <v>1.2583338577225165</v>
      </c>
      <c r="AF185">
        <f t="shared" si="50"/>
        <v>3.4885828199828772E-3</v>
      </c>
    </row>
    <row r="186" spans="1:32" x14ac:dyDescent="0.25">
      <c r="A186" s="6">
        <v>44506.333379629628</v>
      </c>
      <c r="B186">
        <v>67389113.969654083</v>
      </c>
      <c r="C186">
        <v>67367419.313415527</v>
      </c>
      <c r="D186">
        <v>15084.280104255304</v>
      </c>
      <c r="E186">
        <v>202167.34190896153</v>
      </c>
      <c r="F186">
        <v>1.7674245046652133E+19</v>
      </c>
      <c r="G186">
        <v>3332</v>
      </c>
      <c r="H186">
        <v>2.2792741686330066E-4</v>
      </c>
      <c r="I186">
        <v>4387.3616160874117</v>
      </c>
      <c r="J186">
        <f t="shared" si="39"/>
        <v>-2.3498825078324841E-2</v>
      </c>
      <c r="K186">
        <f t="shared" si="41"/>
        <v>0.11159247745115916</v>
      </c>
      <c r="L186">
        <f t="shared" si="42"/>
        <v>0.4403613326186005</v>
      </c>
      <c r="M186">
        <f t="shared" si="43"/>
        <v>0.61418828050271446</v>
      </c>
      <c r="N186" s="2">
        <v>6.2097638815856671E-2</v>
      </c>
      <c r="O186" s="9">
        <v>0.64118501039741038</v>
      </c>
      <c r="P186">
        <f t="shared" si="35"/>
        <v>0</v>
      </c>
      <c r="Q186">
        <f t="shared" si="44"/>
        <v>0.12335643085027133</v>
      </c>
      <c r="R186">
        <f t="shared" si="36"/>
        <v>0.16015295158479054</v>
      </c>
      <c r="S186" s="9">
        <f t="shared" si="45"/>
        <v>0.60808118037080494</v>
      </c>
      <c r="T186">
        <v>0.81669999999999998</v>
      </c>
      <c r="U186">
        <v>0.88545333333333354</v>
      </c>
      <c r="V186">
        <v>0.45309164818788544</v>
      </c>
      <c r="W186" s="9">
        <v>0.96132768021144022</v>
      </c>
      <c r="X186">
        <f t="shared" si="37"/>
        <v>0.29320485097085175</v>
      </c>
      <c r="Y186">
        <f t="shared" si="46"/>
        <v>0.49432626874645325</v>
      </c>
      <c r="Z186">
        <f t="shared" si="40"/>
        <v>-2.3498825078324841E-2</v>
      </c>
      <c r="AA186">
        <f t="shared" si="47"/>
        <v>0.20628968568759254</v>
      </c>
      <c r="AB186">
        <f t="shared" si="51"/>
        <v>0.21398930071325609</v>
      </c>
      <c r="AC186">
        <f t="shared" si="48"/>
        <v>1.361766257537578</v>
      </c>
      <c r="AD186">
        <f t="shared" si="38"/>
        <v>1.7011604674840804E-4</v>
      </c>
      <c r="AE186">
        <f t="shared" si="49"/>
        <v>1.2119012296528897</v>
      </c>
      <c r="AF186">
        <f t="shared" si="50"/>
        <v>5.0711779992216321E-3</v>
      </c>
    </row>
    <row r="187" spans="1:32" x14ac:dyDescent="0.25">
      <c r="A187" s="6">
        <v>44507.333796296298</v>
      </c>
      <c r="B187">
        <v>60501458.66652298</v>
      </c>
      <c r="C187">
        <v>60561405.993125916</v>
      </c>
      <c r="D187">
        <v>13489.359765574336</v>
      </c>
      <c r="E187">
        <v>181504.37599956989</v>
      </c>
      <c r="F187">
        <v>1.7198381696270619E+19</v>
      </c>
      <c r="G187">
        <v>3315</v>
      </c>
      <c r="H187">
        <v>2.1728929470948589E-4</v>
      </c>
      <c r="I187">
        <v>4602.1595372979245</v>
      </c>
      <c r="J187">
        <f t="shared" si="39"/>
        <v>4.7797610159316134E-2</v>
      </c>
      <c r="K187">
        <f t="shared" si="41"/>
        <v>0.12843072063062222</v>
      </c>
      <c r="L187">
        <f t="shared" si="42"/>
        <v>0.25787503492173647</v>
      </c>
      <c r="M187">
        <f t="shared" si="43"/>
        <v>0.59021086167390924</v>
      </c>
      <c r="N187" s="2">
        <v>5.8448617629831938E-2</v>
      </c>
      <c r="O187" s="9">
        <v>0.64077066976080665</v>
      </c>
      <c r="P187">
        <f t="shared" si="35"/>
        <v>0</v>
      </c>
      <c r="Q187">
        <f t="shared" si="44"/>
        <v>0.12335643085027133</v>
      </c>
      <c r="R187">
        <f t="shared" si="36"/>
        <v>0</v>
      </c>
      <c r="S187" s="9">
        <f t="shared" si="45"/>
        <v>0.5835807451981897</v>
      </c>
      <c r="T187">
        <v>0.81909999999999994</v>
      </c>
      <c r="U187">
        <v>0.88436333333333339</v>
      </c>
      <c r="V187">
        <v>0.49102670106878527</v>
      </c>
      <c r="W187" s="9">
        <v>0.99168546982200778</v>
      </c>
      <c r="X187">
        <f t="shared" si="37"/>
        <v>0.23903431206230394</v>
      </c>
      <c r="Y187">
        <f t="shared" si="46"/>
        <v>0.49238775814113478</v>
      </c>
      <c r="Z187">
        <f t="shared" si="40"/>
        <v>4.7797610159316134E-2</v>
      </c>
      <c r="AA187">
        <f t="shared" si="47"/>
        <v>0.23998800079991375</v>
      </c>
      <c r="AB187">
        <f t="shared" si="51"/>
        <v>0.22004233140009835</v>
      </c>
      <c r="AC187">
        <f t="shared" si="48"/>
        <v>1.3849372753196747</v>
      </c>
      <c r="AD187">
        <f t="shared" si="38"/>
        <v>1.6012037903365204E-4</v>
      </c>
      <c r="AE187">
        <f t="shared" si="49"/>
        <v>1.2765840387369083</v>
      </c>
      <c r="AF187">
        <f t="shared" si="50"/>
        <v>2.0493182802228116E-3</v>
      </c>
    </row>
    <row r="188" spans="1:32" x14ac:dyDescent="0.25">
      <c r="A188" s="6">
        <v>44508.333599537036</v>
      </c>
      <c r="B188">
        <v>47796900.075645447</v>
      </c>
      <c r="C188">
        <v>47839686.517318726</v>
      </c>
      <c r="D188">
        <v>10253.852610055357</v>
      </c>
      <c r="E188">
        <v>143390.70022693276</v>
      </c>
      <c r="F188">
        <v>1.5329941735309259E+19</v>
      </c>
      <c r="G188">
        <v>3294</v>
      </c>
      <c r="H188">
        <v>2.111631486239857E-4</v>
      </c>
      <c r="I188">
        <v>4735.6747922938084</v>
      </c>
      <c r="J188">
        <f t="shared" si="39"/>
        <v>2.8598570095323222E-2</v>
      </c>
      <c r="K188">
        <f t="shared" si="41"/>
        <v>0.14507480356221658</v>
      </c>
      <c r="L188">
        <f t="shared" si="42"/>
        <v>0</v>
      </c>
      <c r="M188">
        <f t="shared" si="43"/>
        <v>0.56393403988013857</v>
      </c>
      <c r="N188" s="2">
        <v>5.0562339078867757E-2</v>
      </c>
      <c r="O188" s="9">
        <v>0.65000435221861452</v>
      </c>
      <c r="P188">
        <f t="shared" si="35"/>
        <v>0</v>
      </c>
      <c r="Q188">
        <f t="shared" si="44"/>
        <v>0.12335643085027133</v>
      </c>
      <c r="R188">
        <f t="shared" si="36"/>
        <v>0</v>
      </c>
      <c r="S188" s="9">
        <f t="shared" si="45"/>
        <v>0.56935967516712782</v>
      </c>
      <c r="T188">
        <v>0.84950000000000003</v>
      </c>
      <c r="U188">
        <v>0.88505666666666671</v>
      </c>
      <c r="V188">
        <v>0.52260729088699542</v>
      </c>
      <c r="W188" s="9">
        <v>1.0065924847060495</v>
      </c>
      <c r="X188">
        <f t="shared" si="37"/>
        <v>0</v>
      </c>
      <c r="Y188">
        <f t="shared" si="46"/>
        <v>0.49238775814113478</v>
      </c>
      <c r="Z188">
        <f t="shared" si="40"/>
        <v>2.8598570095323222E-2</v>
      </c>
      <c r="AA188">
        <f t="shared" si="47"/>
        <v>0.27278636090923558</v>
      </c>
      <c r="AB188">
        <f t="shared" si="51"/>
        <v>0.22798526759323998</v>
      </c>
      <c r="AC188">
        <f t="shared" si="48"/>
        <v>1.4147553882855566</v>
      </c>
      <c r="AD188">
        <f t="shared" si="38"/>
        <v>1.3851736240768614E-4</v>
      </c>
      <c r="AE188">
        <f t="shared" si="49"/>
        <v>1.3290784082854292</v>
      </c>
      <c r="AF188">
        <f t="shared" si="50"/>
        <v>-6.8525491599191746E-4</v>
      </c>
    </row>
    <row r="189" spans="1:32" x14ac:dyDescent="0.25">
      <c r="A189" s="6">
        <v>44509.333553240744</v>
      </c>
      <c r="B189">
        <v>49297522.262138367</v>
      </c>
      <c r="C189">
        <v>49309686.90486908</v>
      </c>
      <c r="D189">
        <v>10315.541086090729</v>
      </c>
      <c r="E189">
        <v>147892.56678640842</v>
      </c>
      <c r="F189">
        <v>3.1668960814514676E+19</v>
      </c>
      <c r="G189">
        <v>3262</v>
      </c>
      <c r="H189">
        <v>2.092922280910724E-4</v>
      </c>
      <c r="I189">
        <v>4778.0082859304994</v>
      </c>
      <c r="J189">
        <f t="shared" si="39"/>
        <v>8.8995550296633689E-3</v>
      </c>
      <c r="K189">
        <f t="shared" si="41"/>
        <v>0.1548247825196237</v>
      </c>
      <c r="L189">
        <f t="shared" si="42"/>
        <v>0</v>
      </c>
      <c r="M189">
        <f t="shared" si="43"/>
        <v>0.543729463618009</v>
      </c>
      <c r="N189" s="2">
        <v>2.4732687191504201E-2</v>
      </c>
      <c r="O189" s="9">
        <v>0.62909699476809822</v>
      </c>
      <c r="P189">
        <f t="shared" si="35"/>
        <v>0</v>
      </c>
      <c r="Q189">
        <f t="shared" si="44"/>
        <v>0.12335643085027133</v>
      </c>
      <c r="R189">
        <f t="shared" si="36"/>
        <v>0</v>
      </c>
      <c r="S189" s="9">
        <f t="shared" si="45"/>
        <v>0.56935967516712782</v>
      </c>
      <c r="T189">
        <v>0.80330000000000001</v>
      </c>
      <c r="U189">
        <v>0.88285666666666673</v>
      </c>
      <c r="V189">
        <v>0.5489503847243925</v>
      </c>
      <c r="W189" s="9">
        <v>1.0194518813291156</v>
      </c>
      <c r="X189">
        <f t="shared" si="37"/>
        <v>0</v>
      </c>
      <c r="Y189">
        <f t="shared" si="46"/>
        <v>0.49238775814113478</v>
      </c>
      <c r="Z189">
        <f t="shared" si="40"/>
        <v>8.8995550296633689E-3</v>
      </c>
      <c r="AA189">
        <f t="shared" si="47"/>
        <v>0.29338533097789454</v>
      </c>
      <c r="AB189">
        <f t="shared" si="51"/>
        <v>0.23614819278711482</v>
      </c>
      <c r="AC189">
        <f t="shared" si="48"/>
        <v>1.4447371229933377</v>
      </c>
      <c r="AD189">
        <f t="shared" si="38"/>
        <v>6.7758491167608563E-5</v>
      </c>
      <c r="AE189">
        <f t="shared" si="49"/>
        <v>1.3410935000305697</v>
      </c>
      <c r="AF189">
        <f t="shared" si="50"/>
        <v>-1.4032823860511412E-3</v>
      </c>
    </row>
    <row r="190" spans="1:32" x14ac:dyDescent="0.25">
      <c r="A190" s="6">
        <v>44510.333425925928</v>
      </c>
      <c r="B190">
        <v>86638414.276348114</v>
      </c>
      <c r="C190">
        <v>86621336.114246368</v>
      </c>
      <c r="D190">
        <v>18219.464359555393</v>
      </c>
      <c r="E190">
        <v>259915.24282905459</v>
      </c>
      <c r="F190">
        <v>1.5545543234364551E+19</v>
      </c>
      <c r="G190">
        <v>3257</v>
      </c>
      <c r="H190">
        <v>2.1190347744807307E-4</v>
      </c>
      <c r="I190">
        <v>4719.1297285107084</v>
      </c>
      <c r="J190">
        <f t="shared" si="39"/>
        <v>-1.2399380041328938E-2</v>
      </c>
      <c r="K190">
        <f t="shared" si="41"/>
        <v>0.14876891270690842</v>
      </c>
      <c r="L190">
        <f t="shared" si="42"/>
        <v>0.4116655675892878</v>
      </c>
      <c r="M190">
        <f t="shared" si="43"/>
        <v>0.52354149209372314</v>
      </c>
      <c r="N190" s="2">
        <v>8.8440321975978009E-2</v>
      </c>
      <c r="O190" s="9">
        <v>0.63271562907175316</v>
      </c>
      <c r="P190">
        <f t="shared" si="35"/>
        <v>0</v>
      </c>
      <c r="Q190">
        <f t="shared" si="44"/>
        <v>0.12335643085027133</v>
      </c>
      <c r="R190">
        <f t="shared" si="36"/>
        <v>0.4861999929887813</v>
      </c>
      <c r="S190" s="9">
        <f t="shared" si="45"/>
        <v>0.55881110427282554</v>
      </c>
      <c r="T190">
        <v>0.87529999999999997</v>
      </c>
      <c r="U190">
        <v>0.88331999999999999</v>
      </c>
      <c r="V190">
        <v>0.55635077424315149</v>
      </c>
      <c r="W190" s="9">
        <v>1.0242534278314464</v>
      </c>
      <c r="X190">
        <f t="shared" si="37"/>
        <v>0.55780424673889839</v>
      </c>
      <c r="Y190">
        <f t="shared" si="46"/>
        <v>0.49530646505739107</v>
      </c>
      <c r="Z190">
        <f t="shared" si="40"/>
        <v>-1.2399380041328938E-2</v>
      </c>
      <c r="AA190">
        <f t="shared" si="47"/>
        <v>0.28108594593689912</v>
      </c>
      <c r="AB190">
        <f t="shared" si="51"/>
        <v>0.24291118797632358</v>
      </c>
      <c r="AC190">
        <f t="shared" si="48"/>
        <v>1.469092626589497</v>
      </c>
      <c r="AD190">
        <f t="shared" si="38"/>
        <v>2.4227290153943311E-4</v>
      </c>
      <c r="AE190">
        <f t="shared" si="49"/>
        <v>1.3650409675411712</v>
      </c>
      <c r="AF190">
        <f t="shared" si="50"/>
        <v>-2.867444925812479E-3</v>
      </c>
    </row>
    <row r="191" spans="1:32" x14ac:dyDescent="0.25">
      <c r="A191" s="6">
        <v>44511.333379629628</v>
      </c>
      <c r="B191">
        <v>163873774.6231842</v>
      </c>
      <c r="C191">
        <v>163867549.12466431</v>
      </c>
      <c r="D191">
        <v>35136.054623616859</v>
      </c>
      <c r="E191">
        <v>491621.32386954129</v>
      </c>
      <c r="F191">
        <v>1.6063486781554635E+19</v>
      </c>
      <c r="G191">
        <v>3257</v>
      </c>
      <c r="H191">
        <v>2.124338723397717E-4</v>
      </c>
      <c r="I191">
        <v>4707.347227567253</v>
      </c>
      <c r="J191">
        <f t="shared" si="39"/>
        <v>-2.499875008332392E-3</v>
      </c>
      <c r="K191">
        <f t="shared" si="41"/>
        <v>0.16244165669684477</v>
      </c>
      <c r="L191">
        <f t="shared" si="42"/>
        <v>0.82305528834816366</v>
      </c>
      <c r="M191">
        <f t="shared" si="43"/>
        <v>0.51940372862956552</v>
      </c>
      <c r="N191" s="2">
        <v>0.16485075688847345</v>
      </c>
      <c r="O191" s="9">
        <v>0.62782921181651075</v>
      </c>
      <c r="P191">
        <f t="shared" si="35"/>
        <v>0.40997288361630019</v>
      </c>
      <c r="Q191">
        <f t="shared" si="44"/>
        <v>0.13702219363748133</v>
      </c>
      <c r="R191">
        <f t="shared" si="36"/>
        <v>0.92069208342542763</v>
      </c>
      <c r="S191" s="9">
        <f t="shared" si="45"/>
        <v>0.56746309390159277</v>
      </c>
      <c r="T191">
        <v>0.83840000000000003</v>
      </c>
      <c r="U191">
        <v>0.88104000000000005</v>
      </c>
      <c r="V191">
        <v>0.57050443483054714</v>
      </c>
      <c r="W191" s="9">
        <v>1.0326094650891955</v>
      </c>
      <c r="X191">
        <f t="shared" si="37"/>
        <v>0.98020599915240003</v>
      </c>
      <c r="Y191">
        <f t="shared" si="46"/>
        <v>0.52232945641829143</v>
      </c>
      <c r="Z191">
        <f t="shared" si="40"/>
        <v>-2.499875008332392E-3</v>
      </c>
      <c r="AA191">
        <f t="shared" si="47"/>
        <v>0.30868456602888922</v>
      </c>
      <c r="AB191">
        <f t="shared" si="51"/>
        <v>0.25298401767656442</v>
      </c>
      <c r="AC191">
        <f t="shared" si="48"/>
        <v>1.5045949159933849</v>
      </c>
      <c r="AD191">
        <f t="shared" si="38"/>
        <v>4.5154394796902565E-4</v>
      </c>
      <c r="AE191">
        <f t="shared" si="49"/>
        <v>1.3613605117995464</v>
      </c>
      <c r="AF191">
        <f t="shared" si="50"/>
        <v>-2.5203564825936331E-3</v>
      </c>
    </row>
    <row r="192" spans="1:32" x14ac:dyDescent="0.25">
      <c r="A192" s="6">
        <v>44512.334085648145</v>
      </c>
      <c r="B192">
        <v>81755941.961547852</v>
      </c>
      <c r="C192">
        <v>81733132.162597656</v>
      </c>
      <c r="D192">
        <v>17427.329691952094</v>
      </c>
      <c r="E192">
        <v>245267.82588464022</v>
      </c>
      <c r="F192">
        <v>1.9378047878149157E+19</v>
      </c>
      <c r="G192">
        <v>3250</v>
      </c>
      <c r="H192">
        <v>2.1774605882501951E-4</v>
      </c>
      <c r="I192">
        <v>4592.5056251125943</v>
      </c>
      <c r="J192">
        <f t="shared" si="39"/>
        <v>-2.4698765082324544E-2</v>
      </c>
      <c r="K192">
        <f t="shared" si="41"/>
        <v>0.14999413150035917</v>
      </c>
      <c r="L192">
        <f t="shared" si="42"/>
        <v>0</v>
      </c>
      <c r="M192">
        <f t="shared" si="43"/>
        <v>0.48699309085119452</v>
      </c>
      <c r="N192" s="2">
        <v>6.6947648327129225E-2</v>
      </c>
      <c r="O192" s="9">
        <v>0.62790100068983146</v>
      </c>
      <c r="P192">
        <f t="shared" si="35"/>
        <v>0</v>
      </c>
      <c r="Q192">
        <f t="shared" si="44"/>
        <v>0.13702219363748133</v>
      </c>
      <c r="R192">
        <f t="shared" si="36"/>
        <v>0.25386816261890877</v>
      </c>
      <c r="S192" s="9">
        <f t="shared" si="45"/>
        <v>0.55156629268436752</v>
      </c>
      <c r="T192">
        <v>0.87670000000000003</v>
      </c>
      <c r="U192">
        <v>0.88075666666666652</v>
      </c>
      <c r="V192">
        <v>0.56412404439638109</v>
      </c>
      <c r="W192" s="9">
        <v>1.0288954578035119</v>
      </c>
      <c r="X192">
        <f t="shared" si="37"/>
        <v>0.37703532282061969</v>
      </c>
      <c r="Y192">
        <f t="shared" si="46"/>
        <v>0.52268067044824607</v>
      </c>
      <c r="Z192">
        <f t="shared" si="40"/>
        <v>-2.4698765082324544E-2</v>
      </c>
      <c r="AA192">
        <f t="shared" si="47"/>
        <v>0.28378581094589816</v>
      </c>
      <c r="AB192">
        <f t="shared" si="51"/>
        <v>0.26033365020106181</v>
      </c>
      <c r="AC192">
        <f t="shared" si="48"/>
        <v>1.529943312784469</v>
      </c>
      <c r="AD192">
        <f t="shared" si="38"/>
        <v>1.8340139553063827E-4</v>
      </c>
      <c r="AE192">
        <f t="shared" si="49"/>
        <v>1.2299698423756014</v>
      </c>
      <c r="AF192">
        <f t="shared" si="50"/>
        <v>3.8254045592809316E-3</v>
      </c>
    </row>
    <row r="193" spans="1:32" x14ac:dyDescent="0.25">
      <c r="A193" s="6">
        <v>44513.333564814813</v>
      </c>
      <c r="B193">
        <v>82268465.675800323</v>
      </c>
      <c r="C193">
        <v>82273871.406776428</v>
      </c>
      <c r="D193">
        <v>17870.330823807046</v>
      </c>
      <c r="E193">
        <v>246805.39702741802</v>
      </c>
      <c r="F193">
        <v>1.9719960493701874E+19</v>
      </c>
      <c r="G193">
        <v>3239</v>
      </c>
      <c r="H193">
        <v>2.166600999873259E-4</v>
      </c>
      <c r="I193">
        <v>4615.5245015510363</v>
      </c>
      <c r="J193">
        <f t="shared" si="39"/>
        <v>4.9997500166650069E-3</v>
      </c>
      <c r="K193">
        <f t="shared" si="41"/>
        <v>0.11369448070229016</v>
      </c>
      <c r="L193">
        <f t="shared" si="42"/>
        <v>0.4760779958077726</v>
      </c>
      <c r="M193">
        <f t="shared" si="43"/>
        <v>0.47173967715876192</v>
      </c>
      <c r="N193" s="2">
        <v>6.7628030093772995E-2</v>
      </c>
      <c r="O193" s="9">
        <v>0.61214593329620404</v>
      </c>
      <c r="P193">
        <f t="shared" si="35"/>
        <v>0</v>
      </c>
      <c r="Q193">
        <f t="shared" si="44"/>
        <v>0.13702219363748133</v>
      </c>
      <c r="R193">
        <f t="shared" si="36"/>
        <v>0.26437113708695748</v>
      </c>
      <c r="S193" s="9">
        <f t="shared" si="45"/>
        <v>0.5359008668548505</v>
      </c>
      <c r="T193">
        <v>0.85199999999999998</v>
      </c>
      <c r="U193">
        <v>0.87780999999999998</v>
      </c>
      <c r="V193">
        <v>0.53503444138386025</v>
      </c>
      <c r="W193" s="9">
        <v>1.0151918273017777</v>
      </c>
      <c r="X193">
        <f t="shared" si="37"/>
        <v>0.40921525974397632</v>
      </c>
      <c r="Y193">
        <f t="shared" si="46"/>
        <v>0.52415328623121626</v>
      </c>
      <c r="Z193">
        <f t="shared" si="40"/>
        <v>4.9997500166650069E-3</v>
      </c>
      <c r="AA193">
        <f t="shared" si="47"/>
        <v>0.2119894007065907</v>
      </c>
      <c r="AB193">
        <f t="shared" si="51"/>
        <v>0.26357015504518283</v>
      </c>
      <c r="AC193">
        <f t="shared" si="48"/>
        <v>1.5409630511864052</v>
      </c>
      <c r="AD193">
        <f t="shared" si="38"/>
        <v>1.8526511158877663E-4</v>
      </c>
      <c r="AE193">
        <f t="shared" si="49"/>
        <v>1.221024201115549</v>
      </c>
      <c r="AF193">
        <f t="shared" si="50"/>
        <v>4.0353343018140198E-3</v>
      </c>
    </row>
    <row r="194" spans="1:32" x14ac:dyDescent="0.25">
      <c r="A194" s="6">
        <v>44514.333645833336</v>
      </c>
      <c r="B194">
        <v>37440726.141613007</v>
      </c>
      <c r="C194">
        <v>37439433.439300537</v>
      </c>
      <c r="D194">
        <v>8072.9844081010669</v>
      </c>
      <c r="E194">
        <v>112322.17842483521</v>
      </c>
      <c r="F194">
        <v>1.9481664503613354E+19</v>
      </c>
      <c r="G194">
        <v>3222</v>
      </c>
      <c r="H194">
        <v>2.166167744662649E-4</v>
      </c>
      <c r="I194">
        <v>4616.447652606591</v>
      </c>
      <c r="J194">
        <f t="shared" si="39"/>
        <v>1.9999000066653387E-4</v>
      </c>
      <c r="K194">
        <f t="shared" si="41"/>
        <v>0.1076332770399874</v>
      </c>
      <c r="L194">
        <f t="shared" si="42"/>
        <v>0</v>
      </c>
      <c r="M194">
        <f t="shared" si="43"/>
        <v>0.44115579548729328</v>
      </c>
      <c r="N194" s="2">
        <v>3.0927987866678826E-2</v>
      </c>
      <c r="O194" s="9">
        <v>0.61168838313884955</v>
      </c>
      <c r="P194">
        <f t="shared" si="35"/>
        <v>0</v>
      </c>
      <c r="Q194">
        <f t="shared" si="44"/>
        <v>0.13702219363748133</v>
      </c>
      <c r="R194">
        <f t="shared" si="36"/>
        <v>0</v>
      </c>
      <c r="S194" s="9">
        <f t="shared" si="45"/>
        <v>0.51264913906020848</v>
      </c>
      <c r="T194">
        <v>0.80599999999999994</v>
      </c>
      <c r="U194">
        <v>0.87391999999999992</v>
      </c>
      <c r="V194">
        <v>0.53503444138386025</v>
      </c>
      <c r="W194" s="9">
        <v>1.0167760327344366</v>
      </c>
      <c r="X194">
        <f t="shared" si="37"/>
        <v>0</v>
      </c>
      <c r="Y194">
        <f t="shared" si="46"/>
        <v>0.51319044122463697</v>
      </c>
      <c r="Z194">
        <f t="shared" si="40"/>
        <v>1.9999000066653387E-4</v>
      </c>
      <c r="AA194">
        <f t="shared" si="47"/>
        <v>0.19989000566626164</v>
      </c>
      <c r="AB194">
        <f t="shared" si="51"/>
        <v>0.26679666038927063</v>
      </c>
      <c r="AC194">
        <f t="shared" si="48"/>
        <v>1.5518641639140771</v>
      </c>
      <c r="AD194">
        <f t="shared" si="38"/>
        <v>8.4730623592763741E-5</v>
      </c>
      <c r="AE194">
        <f t="shared" si="49"/>
        <v>1.1679992420985659</v>
      </c>
      <c r="AF194">
        <f t="shared" si="50"/>
        <v>5.7653889909190514E-3</v>
      </c>
    </row>
    <row r="195" spans="1:32" x14ac:dyDescent="0.25">
      <c r="A195" s="6">
        <v>44515.333506944444</v>
      </c>
      <c r="B195">
        <v>65464580.992782593</v>
      </c>
      <c r="C195">
        <v>65490101.050933838</v>
      </c>
      <c r="D195">
        <v>14169.525810685009</v>
      </c>
      <c r="E195">
        <v>196393.74297833443</v>
      </c>
      <c r="F195">
        <v>1.7306998858925033E+19</v>
      </c>
      <c r="G195">
        <v>3216</v>
      </c>
      <c r="H195">
        <v>2.112687513167243E-4</v>
      </c>
      <c r="I195">
        <v>4733.3076650831645</v>
      </c>
      <c r="J195">
        <f t="shared" si="39"/>
        <v>2.4998750083324396E-2</v>
      </c>
      <c r="K195">
        <f t="shared" si="41"/>
        <v>9.7893920581896124E-2</v>
      </c>
      <c r="L195">
        <f t="shared" si="42"/>
        <v>0.51175227399739676</v>
      </c>
      <c r="M195">
        <f t="shared" si="43"/>
        <v>0.4262830250327832</v>
      </c>
      <c r="N195" s="2">
        <v>6.1873626850733825E-2</v>
      </c>
      <c r="O195" s="9">
        <v>0.61407666624739732</v>
      </c>
      <c r="P195">
        <f t="shared" ref="P195:P258" si="52">SQRT(MAX(0,8*(N195-LN(COSH(LN(3)/2))),0))</f>
        <v>0</v>
      </c>
      <c r="Q195">
        <f t="shared" si="44"/>
        <v>0.13702219363748133</v>
      </c>
      <c r="R195">
        <f t="shared" ref="R195:R258" si="53">SQRT(MAX(0,8*(N195-LN(COSH(LN(2)/2))),0))</f>
        <v>0.15445670001763437</v>
      </c>
      <c r="S195" s="9">
        <f t="shared" si="45"/>
        <v>0.49330969453313095</v>
      </c>
      <c r="T195">
        <v>0.8284999999999999</v>
      </c>
      <c r="U195">
        <v>0.87280999999999986</v>
      </c>
      <c r="V195">
        <v>0.57689057000868227</v>
      </c>
      <c r="W195" s="9">
        <v>1.0401900907193198</v>
      </c>
      <c r="X195">
        <f t="shared" ref="X195:X258" si="54">IF(EXP(2*N195-O195*O195/4)-1&lt;0,0,2*LN(EXP(N195-O195*O195/8)+SQRT(EXP(2*N195-O195*O195/4)-1)))</f>
        <v>0.34420803623865559</v>
      </c>
      <c r="Y195">
        <f t="shared" si="46"/>
        <v>0.51120144353601138</v>
      </c>
      <c r="Z195">
        <f t="shared" si="40"/>
        <v>2.4998750083324396E-2</v>
      </c>
      <c r="AA195">
        <f t="shared" si="47"/>
        <v>0.18029098560093537</v>
      </c>
      <c r="AB195">
        <f t="shared" si="51"/>
        <v>0.26984317473275848</v>
      </c>
      <c r="AC195">
        <f t="shared" si="48"/>
        <v>1.5620810456156888</v>
      </c>
      <c r="AD195">
        <f t="shared" ref="AD195:AD258" si="55">LN(N195/365+1)</f>
        <v>1.6950241954557277E-4</v>
      </c>
      <c r="AE195">
        <f t="shared" si="49"/>
        <v>1.2235909177134068</v>
      </c>
      <c r="AF195">
        <f t="shared" si="50"/>
        <v>3.5085135014929492E-3</v>
      </c>
    </row>
    <row r="196" spans="1:32" x14ac:dyDescent="0.25">
      <c r="A196" s="6">
        <v>44516.333402777775</v>
      </c>
      <c r="B196">
        <v>189209318.20142365</v>
      </c>
      <c r="C196">
        <v>189092629.07744217</v>
      </c>
      <c r="D196">
        <v>43040.352418188006</v>
      </c>
      <c r="E196">
        <v>567627.95460428298</v>
      </c>
      <c r="F196">
        <v>6.9745960500550717E+18</v>
      </c>
      <c r="G196">
        <v>3225</v>
      </c>
      <c r="H196">
        <v>2.3592772456918358E-4</v>
      </c>
      <c r="I196">
        <v>4238.5862103576528</v>
      </c>
      <c r="J196">
        <f t="shared" ref="J196:J259" si="56">LN(I196/I195)</f>
        <v>-0.1103944803679603</v>
      </c>
      <c r="K196">
        <f t="shared" si="41"/>
        <v>5.5194707379463401E-2</v>
      </c>
      <c r="L196">
        <f t="shared" si="42"/>
        <v>1.8591573186279218</v>
      </c>
      <c r="M196">
        <f t="shared" si="43"/>
        <v>0.46494182771400722</v>
      </c>
      <c r="N196" s="2">
        <v>0.44132336876381006</v>
      </c>
      <c r="O196" s="9">
        <v>0.67984333125688468</v>
      </c>
      <c r="P196">
        <f t="shared" si="52"/>
        <v>1.5426790529152061</v>
      </c>
      <c r="Q196">
        <f t="shared" si="44"/>
        <v>0.18844482873465487</v>
      </c>
      <c r="R196">
        <f t="shared" si="53"/>
        <v>1.7491297286036127</v>
      </c>
      <c r="S196" s="9">
        <f t="shared" si="45"/>
        <v>0.53843204446490833</v>
      </c>
      <c r="T196">
        <v>0.9487000000000001</v>
      </c>
      <c r="U196">
        <v>0.87448666666666652</v>
      </c>
      <c r="V196">
        <v>0.60676848725908772</v>
      </c>
      <c r="W196" s="9">
        <v>1.0541406280972427</v>
      </c>
      <c r="X196">
        <f t="shared" si="54"/>
        <v>1.865510241439984</v>
      </c>
      <c r="Y196">
        <f t="shared" si="46"/>
        <v>0.57338511825067751</v>
      </c>
      <c r="Z196">
        <f t="shared" ref="Z196:Z259" si="57">LN(I196/I195)</f>
        <v>-0.1103944803679603</v>
      </c>
      <c r="AA196">
        <f t="shared" si="47"/>
        <v>9.1395430304633998E-2</v>
      </c>
      <c r="AB196">
        <f t="shared" si="51"/>
        <v>0.26897655139653653</v>
      </c>
      <c r="AC196">
        <f t="shared" si="48"/>
        <v>1.5591821580285796</v>
      </c>
      <c r="AD196">
        <f t="shared" si="55"/>
        <v>1.2083747409826252E-3</v>
      </c>
      <c r="AE196">
        <f t="shared" si="49"/>
        <v>1.1350692535576399</v>
      </c>
      <c r="AF196">
        <f t="shared" si="50"/>
        <v>7.600820941680908E-3</v>
      </c>
    </row>
    <row r="197" spans="1:32" x14ac:dyDescent="0.25">
      <c r="A197" s="6">
        <v>44517.333518518521</v>
      </c>
      <c r="B197">
        <v>116185276.29184341</v>
      </c>
      <c r="C197">
        <v>116175838.13154984</v>
      </c>
      <c r="D197">
        <v>27695.342304201797</v>
      </c>
      <c r="E197">
        <v>348555.82887552679</v>
      </c>
      <c r="F197">
        <v>1.0459411653440381E+19</v>
      </c>
      <c r="G197">
        <v>3229</v>
      </c>
      <c r="H197">
        <v>2.3562123311416885E-4</v>
      </c>
      <c r="I197">
        <v>4244.0996797408998</v>
      </c>
      <c r="J197">
        <f t="shared" si="56"/>
        <v>1.2999350043328857E-3</v>
      </c>
      <c r="K197">
        <f t="shared" si="41"/>
        <v>7.3309872197653669E-2</v>
      </c>
      <c r="L197">
        <f t="shared" si="42"/>
        <v>1.1769275559177033</v>
      </c>
      <c r="M197">
        <f t="shared" si="43"/>
        <v>0.46985835173019896</v>
      </c>
      <c r="N197" s="2">
        <v>0.18948809252139676</v>
      </c>
      <c r="O197" s="9">
        <v>0.67322817075988794</v>
      </c>
      <c r="P197">
        <f t="shared" si="52"/>
        <v>0.60429831239550136</v>
      </c>
      <c r="Q197">
        <f t="shared" si="44"/>
        <v>0.20858810581450493</v>
      </c>
      <c r="R197">
        <f t="shared" si="53"/>
        <v>1.0221411827852556</v>
      </c>
      <c r="S197" s="9">
        <f t="shared" si="45"/>
        <v>0.54569924191263619</v>
      </c>
      <c r="T197">
        <v>0.91310000000000002</v>
      </c>
      <c r="U197">
        <v>0.87400333333333313</v>
      </c>
      <c r="V197">
        <v>0.65091530163112987</v>
      </c>
      <c r="W197" s="9">
        <v>1.0829015375261588</v>
      </c>
      <c r="X197">
        <f t="shared" si="54"/>
        <v>1.0538246039818924</v>
      </c>
      <c r="Y197">
        <f t="shared" si="46"/>
        <v>0.59033946995169595</v>
      </c>
      <c r="Z197">
        <f t="shared" si="57"/>
        <v>1.2999350043328857E-3</v>
      </c>
      <c r="AA197">
        <f t="shared" si="47"/>
        <v>0.12799360042662083</v>
      </c>
      <c r="AB197">
        <f t="shared" si="51"/>
        <v>0.27111644440366905</v>
      </c>
      <c r="AC197">
        <f t="shared" si="48"/>
        <v>1.5663295284793846</v>
      </c>
      <c r="AD197">
        <f t="shared" si="55"/>
        <v>5.1901074957952332E-4</v>
      </c>
      <c r="AE197">
        <f t="shared" si="49"/>
        <v>1.1148217931446174</v>
      </c>
      <c r="AF197">
        <f t="shared" si="50"/>
        <v>8.2713766584729953E-3</v>
      </c>
    </row>
    <row r="198" spans="1:32" x14ac:dyDescent="0.25">
      <c r="A198" s="6">
        <v>44518.33384259259</v>
      </c>
      <c r="B198">
        <v>69001533.093177795</v>
      </c>
      <c r="C198">
        <v>68997875.688648224</v>
      </c>
      <c r="D198">
        <v>16259.485201695934</v>
      </c>
      <c r="E198">
        <v>207004.5992795378</v>
      </c>
      <c r="F198">
        <v>8.315184507970604E+18</v>
      </c>
      <c r="G198">
        <v>3229</v>
      </c>
      <c r="H198">
        <v>2.3868028252096478E-4</v>
      </c>
      <c r="I198">
        <v>4189.7051127889617</v>
      </c>
      <c r="J198">
        <f t="shared" si="56"/>
        <v>-1.289935504299526E-2</v>
      </c>
      <c r="K198">
        <f t="shared" si="41"/>
        <v>5.8303122592864388E-2</v>
      </c>
      <c r="L198">
        <f t="shared" si="42"/>
        <v>1.0146705902698974</v>
      </c>
      <c r="M198">
        <f t="shared" si="43"/>
        <v>0.47345600886951034</v>
      </c>
      <c r="N198" s="2">
        <v>0.13903248464981738</v>
      </c>
      <c r="O198" s="9">
        <v>0.71161917372739203</v>
      </c>
      <c r="P198">
        <f t="shared" si="52"/>
        <v>0</v>
      </c>
      <c r="Q198">
        <f t="shared" si="44"/>
        <v>0.20858810581450493</v>
      </c>
      <c r="R198">
        <f t="shared" si="53"/>
        <v>0.80070452388693669</v>
      </c>
      <c r="S198" s="9">
        <f t="shared" si="45"/>
        <v>0.5482425783087298</v>
      </c>
      <c r="T198">
        <v>0.98569999999999991</v>
      </c>
      <c r="U198">
        <v>0.87629333333333315</v>
      </c>
      <c r="V198">
        <v>0.67341605823965023</v>
      </c>
      <c r="W198" s="9">
        <v>1.0929952443540543</v>
      </c>
      <c r="X198">
        <f t="shared" si="54"/>
        <v>0.78822962149795905</v>
      </c>
      <c r="Y198">
        <f t="shared" si="46"/>
        <v>0.60260031452517315</v>
      </c>
      <c r="Z198">
        <f t="shared" si="57"/>
        <v>-1.289935504299526E-2</v>
      </c>
      <c r="AA198">
        <f t="shared" si="47"/>
        <v>9.5795210319299065E-2</v>
      </c>
      <c r="AB198">
        <f t="shared" si="51"/>
        <v>0.26979984356594738</v>
      </c>
      <c r="AC198">
        <f t="shared" si="48"/>
        <v>1.5619362410513964</v>
      </c>
      <c r="AD198">
        <f t="shared" si="55"/>
        <v>3.8083838870285657E-4</v>
      </c>
      <c r="AE198">
        <f t="shared" si="49"/>
        <v>1.0850172877460342</v>
      </c>
      <c r="AF198">
        <f t="shared" si="50"/>
        <v>8.9611875777442229E-3</v>
      </c>
    </row>
    <row r="199" spans="1:32" x14ac:dyDescent="0.25">
      <c r="A199" s="6">
        <v>44519.333449074074</v>
      </c>
      <c r="B199">
        <v>127369791.24282837</v>
      </c>
      <c r="C199">
        <v>127368360.74269485</v>
      </c>
      <c r="D199">
        <v>31452.234895892441</v>
      </c>
      <c r="E199">
        <v>382109.37372848392</v>
      </c>
      <c r="F199">
        <v>8.2464630698685491E+18</v>
      </c>
      <c r="G199">
        <v>3217</v>
      </c>
      <c r="H199">
        <v>2.4069354007732853E-4</v>
      </c>
      <c r="I199">
        <v>4154.660734470589</v>
      </c>
      <c r="J199">
        <f t="shared" si="56"/>
        <v>-8.3995800279969782E-3</v>
      </c>
      <c r="K199">
        <f t="shared" si="41"/>
        <v>4.7091438889944881E-2</v>
      </c>
      <c r="L199">
        <f t="shared" si="42"/>
        <v>1.4513540620488388</v>
      </c>
      <c r="M199">
        <f t="shared" si="43"/>
        <v>0.51543974633096112</v>
      </c>
      <c r="N199" s="2">
        <v>0.27004816451269742</v>
      </c>
      <c r="O199" s="9">
        <v>0.71461347130735708</v>
      </c>
      <c r="P199">
        <f t="shared" si="52"/>
        <v>1.0048169118274515</v>
      </c>
      <c r="Q199">
        <f t="shared" si="44"/>
        <v>0.24208200287541998</v>
      </c>
      <c r="R199">
        <f t="shared" si="53"/>
        <v>1.2997127272886291</v>
      </c>
      <c r="S199" s="9">
        <f t="shared" si="45"/>
        <v>0.59095434038577765</v>
      </c>
      <c r="T199">
        <v>0.80659999999999998</v>
      </c>
      <c r="U199">
        <v>0.87230666666666667</v>
      </c>
      <c r="V199">
        <v>0.63479260192925224</v>
      </c>
      <c r="W199" s="9">
        <v>1.0690689145028258</v>
      </c>
      <c r="X199">
        <f t="shared" si="54"/>
        <v>1.328976766738434</v>
      </c>
      <c r="Y199">
        <f t="shared" si="46"/>
        <v>0.64689954008312101</v>
      </c>
      <c r="Z199">
        <f t="shared" si="57"/>
        <v>-8.3995800279969782E-3</v>
      </c>
      <c r="AA199">
        <f t="shared" si="47"/>
        <v>7.3196340243973965E-2</v>
      </c>
      <c r="AB199">
        <f t="shared" si="51"/>
        <v>0.26424012154741605</v>
      </c>
      <c r="AC199">
        <f t="shared" si="48"/>
        <v>1.5432335035080231</v>
      </c>
      <c r="AD199">
        <f t="shared" si="55"/>
        <v>7.3958442496932053E-4</v>
      </c>
      <c r="AE199">
        <f t="shared" si="49"/>
        <v>0.98649273294900408</v>
      </c>
      <c r="AF199">
        <f t="shared" si="50"/>
        <v>1.036161183515949E-2</v>
      </c>
    </row>
    <row r="200" spans="1:32" x14ac:dyDescent="0.25">
      <c r="A200" s="6">
        <v>44520.333402777775</v>
      </c>
      <c r="B200">
        <v>39368102.993232727</v>
      </c>
      <c r="C200">
        <v>39394143.355045319</v>
      </c>
      <c r="D200">
        <v>9222.7436293996871</v>
      </c>
      <c r="E200">
        <v>118104.30897970498</v>
      </c>
      <c r="F200">
        <v>1.2447443713098861E+19</v>
      </c>
      <c r="G200">
        <v>3217</v>
      </c>
      <c r="H200">
        <v>2.314644877778989E-4</v>
      </c>
      <c r="I200">
        <v>4320.3171665778264</v>
      </c>
      <c r="J200">
        <f t="shared" si="56"/>
        <v>3.9098045130319406E-2</v>
      </c>
      <c r="K200">
        <f t="shared" si="41"/>
        <v>2.3202813894570275E-2</v>
      </c>
      <c r="L200">
        <f t="shared" si="42"/>
        <v>0.6441071180966923</v>
      </c>
      <c r="M200">
        <f t="shared" si="43"/>
        <v>0.50016381851701164</v>
      </c>
      <c r="N200" s="2">
        <v>5.3496754540685788E-2</v>
      </c>
      <c r="O200" s="9">
        <v>0.71325635816838595</v>
      </c>
      <c r="P200">
        <f t="shared" si="52"/>
        <v>0</v>
      </c>
      <c r="Q200">
        <f t="shared" si="44"/>
        <v>0.21245967724760512</v>
      </c>
      <c r="R200">
        <f t="shared" si="53"/>
        <v>0</v>
      </c>
      <c r="S200" s="9">
        <f t="shared" si="45"/>
        <v>0.5505490312568766</v>
      </c>
      <c r="T200">
        <v>0.80700000000000005</v>
      </c>
      <c r="U200">
        <v>0.86695333333333324</v>
      </c>
      <c r="V200">
        <v>0.62284200172620818</v>
      </c>
      <c r="W200" s="9">
        <v>1.0651046534020423</v>
      </c>
      <c r="X200">
        <f t="shared" si="54"/>
        <v>0</v>
      </c>
      <c r="Y200">
        <f t="shared" si="46"/>
        <v>0.60727551138223446</v>
      </c>
      <c r="Z200">
        <f t="shared" si="57"/>
        <v>3.9098045130319406E-2</v>
      </c>
      <c r="AA200">
        <f t="shared" si="47"/>
        <v>2.5498725084991413E-2</v>
      </c>
      <c r="AB200">
        <f t="shared" si="51"/>
        <v>0.25440061351461962</v>
      </c>
      <c r="AC200">
        <f t="shared" si="48"/>
        <v>1.5095163130450613</v>
      </c>
      <c r="AD200">
        <f t="shared" si="55"/>
        <v>1.4655571098360549E-4</v>
      </c>
      <c r="AE200">
        <f t="shared" si="49"/>
        <v>1.0479099536901788</v>
      </c>
      <c r="AF200">
        <f t="shared" si="50"/>
        <v>9.5855728260587636E-3</v>
      </c>
    </row>
    <row r="201" spans="1:32" x14ac:dyDescent="0.25">
      <c r="A201" s="6">
        <v>44521.333634259259</v>
      </c>
      <c r="B201">
        <v>75855155.411800385</v>
      </c>
      <c r="C201">
        <v>75857794.446331024</v>
      </c>
      <c r="D201">
        <v>17480.599315403029</v>
      </c>
      <c r="E201">
        <v>227565.46623538435</v>
      </c>
      <c r="F201">
        <v>2.0104262535619482E+19</v>
      </c>
      <c r="G201">
        <v>3219</v>
      </c>
      <c r="H201">
        <v>2.3056357923374699E-4</v>
      </c>
      <c r="I201">
        <v>4337.1984565966204</v>
      </c>
      <c r="J201">
        <f t="shared" si="56"/>
        <v>3.8998050129985281E-3</v>
      </c>
      <c r="K201">
        <f t="shared" si="41"/>
        <v>3.5973710272031889E-2</v>
      </c>
      <c r="L201">
        <f t="shared" si="42"/>
        <v>0.68682271764751501</v>
      </c>
      <c r="M201">
        <f t="shared" si="43"/>
        <v>0.49840699265086991</v>
      </c>
      <c r="N201" s="2">
        <v>6.2901713107845453E-2</v>
      </c>
      <c r="O201" s="9">
        <v>0.71908431178848076</v>
      </c>
      <c r="P201">
        <f t="shared" si="52"/>
        <v>0</v>
      </c>
      <c r="Q201">
        <f t="shared" si="44"/>
        <v>0.19589290195312789</v>
      </c>
      <c r="R201">
        <f t="shared" si="53"/>
        <v>0.17911326650259751</v>
      </c>
      <c r="S201" s="9">
        <f t="shared" si="45"/>
        <v>0.52443264013253066</v>
      </c>
      <c r="T201">
        <v>0.8479000000000001</v>
      </c>
      <c r="U201">
        <v>0.86770666666666663</v>
      </c>
      <c r="V201">
        <v>0.64973256804483559</v>
      </c>
      <c r="W201" s="9">
        <v>1.0816551071944649</v>
      </c>
      <c r="X201">
        <f t="shared" si="54"/>
        <v>0</v>
      </c>
      <c r="Y201">
        <f t="shared" si="46"/>
        <v>0.57506524070765719</v>
      </c>
      <c r="Z201">
        <f t="shared" si="57"/>
        <v>3.8998050129985281E-3</v>
      </c>
      <c r="AA201">
        <f t="shared" si="47"/>
        <v>5.0697465168982422E-2</v>
      </c>
      <c r="AB201">
        <f t="shared" si="51"/>
        <v>0.24429778531427881</v>
      </c>
      <c r="AC201">
        <f t="shared" si="48"/>
        <v>1.4740337519933207</v>
      </c>
      <c r="AD201">
        <f t="shared" si="55"/>
        <v>1.7231861286443761E-4</v>
      </c>
      <c r="AE201">
        <f t="shared" si="49"/>
        <v>1.075511497712484</v>
      </c>
      <c r="AF201">
        <f t="shared" si="50"/>
        <v>8.8843715155846326E-3</v>
      </c>
    </row>
    <row r="202" spans="1:32" x14ac:dyDescent="0.25">
      <c r="A202" s="6">
        <v>44522.333506944444</v>
      </c>
      <c r="B202">
        <v>92908569.337104797</v>
      </c>
      <c r="C202">
        <v>92878436.323513031</v>
      </c>
      <c r="D202">
        <v>21729.967431832105</v>
      </c>
      <c r="E202">
        <v>278725.70801131427</v>
      </c>
      <c r="F202">
        <v>9.4709497108284785E+18</v>
      </c>
      <c r="G202">
        <v>3215</v>
      </c>
      <c r="H202">
        <v>2.3860869275463899E-4</v>
      </c>
      <c r="I202">
        <v>4190.962150018142</v>
      </c>
      <c r="J202">
        <f t="shared" si="56"/>
        <v>-3.4298285114320919E-2</v>
      </c>
      <c r="K202">
        <f t="shared" si="41"/>
        <v>2.9769122625347887E-2</v>
      </c>
      <c r="L202">
        <f t="shared" si="42"/>
        <v>1.133010012532544</v>
      </c>
      <c r="M202">
        <f t="shared" si="43"/>
        <v>0.50981333280051377</v>
      </c>
      <c r="N202" s="2">
        <v>0.16315938854907197</v>
      </c>
      <c r="O202" s="9">
        <v>0.71552601139148764</v>
      </c>
      <c r="P202">
        <f t="shared" si="52"/>
        <v>0.39312443142782744</v>
      </c>
      <c r="Q202">
        <f t="shared" si="44"/>
        <v>0.20439792086145342</v>
      </c>
      <c r="R202">
        <f t="shared" si="53"/>
        <v>0.91331427546438948</v>
      </c>
      <c r="S202" s="9">
        <f t="shared" si="45"/>
        <v>0.52701502767156361</v>
      </c>
      <c r="T202">
        <v>0.92799999999999994</v>
      </c>
      <c r="U202">
        <v>0.87036666666666662</v>
      </c>
      <c r="V202">
        <v>0.66886741619353574</v>
      </c>
      <c r="W202" s="9">
        <v>1.0903525540584824</v>
      </c>
      <c r="X202">
        <f t="shared" si="54"/>
        <v>0.90546313658673938</v>
      </c>
      <c r="Y202">
        <f t="shared" si="46"/>
        <v>0.5779210690523453</v>
      </c>
      <c r="Z202">
        <f t="shared" si="57"/>
        <v>-3.4298285114320919E-2</v>
      </c>
      <c r="AA202">
        <f t="shared" si="47"/>
        <v>3.8498075128319965E-2</v>
      </c>
      <c r="AB202">
        <f t="shared" si="51"/>
        <v>0.2363115179543262</v>
      </c>
      <c r="AC202">
        <f t="shared" si="48"/>
        <v>1.4453303867972678</v>
      </c>
      <c r="AD202">
        <f t="shared" si="55"/>
        <v>4.4691214331154508E-4</v>
      </c>
      <c r="AE202">
        <f t="shared" si="49"/>
        <v>1.0387292594225885</v>
      </c>
      <c r="AF202">
        <f t="shared" si="50"/>
        <v>9.4173891912368024E-3</v>
      </c>
    </row>
    <row r="203" spans="1:32" x14ac:dyDescent="0.25">
      <c r="A203" s="6">
        <v>44523.333425925928</v>
      </c>
      <c r="B203">
        <v>103821775.74306107</v>
      </c>
      <c r="C203">
        <v>103822495.05384445</v>
      </c>
      <c r="D203">
        <v>25021.973972382024</v>
      </c>
      <c r="E203">
        <v>311465.32722918689</v>
      </c>
      <c r="F203">
        <v>9.1436470647810836E+18</v>
      </c>
      <c r="G203">
        <v>3208</v>
      </c>
      <c r="H203">
        <v>2.4156155491087991E-4</v>
      </c>
      <c r="I203">
        <v>4139.7315908524151</v>
      </c>
      <c r="J203">
        <f t="shared" si="56"/>
        <v>-1.229938504099581E-2</v>
      </c>
      <c r="K203">
        <f t="shared" si="41"/>
        <v>2.4162885115148372E-2</v>
      </c>
      <c r="L203">
        <f t="shared" si="42"/>
        <v>1.2381719013815506</v>
      </c>
      <c r="M203">
        <f t="shared" si="43"/>
        <v>0.5510857295132322</v>
      </c>
      <c r="N203" s="2">
        <v>0.19340952589883706</v>
      </c>
      <c r="O203" s="9">
        <v>0.74201864881296442</v>
      </c>
      <c r="P203">
        <f t="shared" si="52"/>
        <v>0.62972050735510698</v>
      </c>
      <c r="Q203">
        <f t="shared" si="44"/>
        <v>0.22538860443995698</v>
      </c>
      <c r="R203">
        <f t="shared" si="53"/>
        <v>1.0373736378784471</v>
      </c>
      <c r="S203" s="9">
        <f t="shared" si="45"/>
        <v>0.54562358037296876</v>
      </c>
      <c r="T203">
        <v>0.89659999999999995</v>
      </c>
      <c r="U203">
        <v>0.87079666666666666</v>
      </c>
      <c r="V203">
        <v>0.69404520050011498</v>
      </c>
      <c r="W203" s="9">
        <v>1.1064788496894731</v>
      </c>
      <c r="X203">
        <f t="shared" si="54"/>
        <v>1.0191940493812464</v>
      </c>
      <c r="Y203">
        <f t="shared" si="46"/>
        <v>0.59475212481961814</v>
      </c>
      <c r="Z203">
        <f t="shared" si="57"/>
        <v>-1.229938504099581E-2</v>
      </c>
      <c r="AA203">
        <f t="shared" si="47"/>
        <v>2.5698715085657669E-2</v>
      </c>
      <c r="AB203">
        <f t="shared" si="51"/>
        <v>0.22535539908447461</v>
      </c>
      <c r="AC203">
        <f t="shared" si="48"/>
        <v>1.4049547711193497</v>
      </c>
      <c r="AD203">
        <f t="shared" si="55"/>
        <v>5.297487703908283E-4</v>
      </c>
      <c r="AE203">
        <f t="shared" si="49"/>
        <v>1.0002000099999999</v>
      </c>
      <c r="AF203">
        <f t="shared" si="50"/>
        <v>9.8922126041474101E-3</v>
      </c>
    </row>
    <row r="204" spans="1:32" x14ac:dyDescent="0.25">
      <c r="A204" s="6">
        <v>44524.333437499998</v>
      </c>
      <c r="B204">
        <v>86150939.2395401</v>
      </c>
      <c r="C204">
        <v>86177282.913677216</v>
      </c>
      <c r="D204">
        <v>20059.778953263536</v>
      </c>
      <c r="E204">
        <v>258452.81771862507</v>
      </c>
      <c r="F204">
        <v>8.9865850728733071E+18</v>
      </c>
      <c r="G204">
        <v>3206</v>
      </c>
      <c r="H204">
        <v>2.3318359187439426E-4</v>
      </c>
      <c r="I204">
        <v>4288.4664052119761</v>
      </c>
      <c r="J204">
        <f t="shared" si="56"/>
        <v>3.529823511765405E-2</v>
      </c>
      <c r="K204">
        <f t="shared" si="41"/>
        <v>2.8982812312270463E-2</v>
      </c>
      <c r="L204">
        <f t="shared" si="42"/>
        <v>1.1243413306722023</v>
      </c>
      <c r="M204">
        <f t="shared" si="43"/>
        <v>0.5885637738689723</v>
      </c>
      <c r="N204" s="2">
        <v>0.16057284943214684</v>
      </c>
      <c r="O204" s="9">
        <v>0.7393961869782828</v>
      </c>
      <c r="P204">
        <f t="shared" si="52"/>
        <v>0.36586132024313739</v>
      </c>
      <c r="Q204">
        <f t="shared" si="44"/>
        <v>0.23758398178139489</v>
      </c>
      <c r="R204">
        <f t="shared" si="53"/>
        <v>0.90191499202066805</v>
      </c>
      <c r="S204" s="9">
        <f t="shared" si="45"/>
        <v>0.55683335264433076</v>
      </c>
      <c r="T204">
        <v>0.91359999999999997</v>
      </c>
      <c r="U204">
        <v>0.87335999999999991</v>
      </c>
      <c r="V204">
        <v>0.69449525722073169</v>
      </c>
      <c r="W204" s="9">
        <v>1.1067017008330282</v>
      </c>
      <c r="X204">
        <f t="shared" si="54"/>
        <v>0.87226087722096768</v>
      </c>
      <c r="Y204">
        <f t="shared" si="46"/>
        <v>0.60397805323816223</v>
      </c>
      <c r="Z204">
        <f t="shared" si="57"/>
        <v>3.529823511765405E-2</v>
      </c>
      <c r="AA204">
        <f t="shared" si="47"/>
        <v>3.5498225118320778E-2</v>
      </c>
      <c r="AB204">
        <f t="shared" si="51"/>
        <v>0.21481925921602285</v>
      </c>
      <c r="AC204">
        <f t="shared" si="48"/>
        <v>1.3649669196196639</v>
      </c>
      <c r="AD204">
        <f t="shared" si="55"/>
        <v>4.3982887598018955E-4</v>
      </c>
      <c r="AE204">
        <f t="shared" si="49"/>
        <v>1.0167377017206989</v>
      </c>
      <c r="AF204">
        <f t="shared" si="50"/>
        <v>1.0028070806839651E-2</v>
      </c>
    </row>
    <row r="205" spans="1:32" x14ac:dyDescent="0.25">
      <c r="A205" s="6">
        <v>44525.333391203705</v>
      </c>
      <c r="B205">
        <v>78997773.447105408</v>
      </c>
      <c r="C205">
        <v>79036075.845985413</v>
      </c>
      <c r="D205">
        <v>18448.799729786813</v>
      </c>
      <c r="E205">
        <v>236993.32034131885</v>
      </c>
      <c r="F205">
        <v>1.7610123510844658E+19</v>
      </c>
      <c r="G205">
        <v>3202</v>
      </c>
      <c r="H205">
        <v>2.2552426560213382E-4</v>
      </c>
      <c r="I205">
        <v>4434.1126544856306</v>
      </c>
      <c r="J205">
        <f t="shared" si="56"/>
        <v>3.339833011132122E-2</v>
      </c>
      <c r="K205">
        <f t="shared" si="41"/>
        <v>3.6128098890587407E-2</v>
      </c>
      <c r="L205">
        <f t="shared" si="42"/>
        <v>0.76241771022754357</v>
      </c>
      <c r="M205">
        <f t="shared" si="43"/>
        <v>0.61397769754322362</v>
      </c>
      <c r="N205" s="2">
        <v>7.6629983282095748E-2</v>
      </c>
      <c r="O205" s="9">
        <v>0.7359540125715256</v>
      </c>
      <c r="P205">
        <f t="shared" si="52"/>
        <v>0</v>
      </c>
      <c r="Q205">
        <f t="shared" si="44"/>
        <v>0.23758398178139489</v>
      </c>
      <c r="R205">
        <f t="shared" si="53"/>
        <v>0.37670641570224533</v>
      </c>
      <c r="S205" s="9">
        <f t="shared" si="45"/>
        <v>0.56939023316773896</v>
      </c>
      <c r="T205">
        <v>0.82129999999999992</v>
      </c>
      <c r="U205">
        <v>0.87098333333333322</v>
      </c>
      <c r="V205">
        <v>0.70804802316750737</v>
      </c>
      <c r="W205" s="9">
        <v>1.117462924702443</v>
      </c>
      <c r="X205">
        <f t="shared" si="54"/>
        <v>0.26762715509629831</v>
      </c>
      <c r="Y205">
        <f t="shared" si="46"/>
        <v>0.61289895840803887</v>
      </c>
      <c r="Z205">
        <f t="shared" si="57"/>
        <v>3.339833011132122E-2</v>
      </c>
      <c r="AA205">
        <f t="shared" si="47"/>
        <v>4.9997500166648945E-2</v>
      </c>
      <c r="AB205">
        <f t="shared" si="51"/>
        <v>0.20481975918269316</v>
      </c>
      <c r="AC205">
        <f t="shared" si="48"/>
        <v>1.3258886188949019</v>
      </c>
      <c r="AD205">
        <f t="shared" si="55"/>
        <v>2.0992312427593269E-4</v>
      </c>
      <c r="AE205">
        <f t="shared" si="49"/>
        <v>1.1085965493105634</v>
      </c>
      <c r="AF205">
        <f t="shared" si="50"/>
        <v>8.7853331634784038E-3</v>
      </c>
    </row>
    <row r="206" spans="1:32" x14ac:dyDescent="0.25">
      <c r="A206" s="6">
        <v>44526.333414351851</v>
      </c>
      <c r="B206">
        <v>171049760.2804718</v>
      </c>
      <c r="C206">
        <v>170972133.45433426</v>
      </c>
      <c r="D206">
        <v>39902.717489199713</v>
      </c>
      <c r="E206">
        <v>513149.28084141016</v>
      </c>
      <c r="F206">
        <v>6.8466283170065162E+18</v>
      </c>
      <c r="G206">
        <v>3194</v>
      </c>
      <c r="H206">
        <v>2.4735465115855961E-4</v>
      </c>
      <c r="I206">
        <v>4042.7782348793539</v>
      </c>
      <c r="J206">
        <f t="shared" si="56"/>
        <v>-9.2395380307966665E-2</v>
      </c>
      <c r="K206">
        <f t="shared" si="41"/>
        <v>1.673334001928474E-2</v>
      </c>
      <c r="L206">
        <f t="shared" si="42"/>
        <v>1.802676744422524</v>
      </c>
      <c r="M206">
        <f t="shared" si="43"/>
        <v>0.63702588428853879</v>
      </c>
      <c r="N206" s="2">
        <v>0.40705710153974911</v>
      </c>
      <c r="O206" s="9">
        <v>0.74431326183092406</v>
      </c>
      <c r="P206">
        <f t="shared" si="52"/>
        <v>1.4511128565727993</v>
      </c>
      <c r="Q206">
        <f t="shared" si="44"/>
        <v>0.26126377152601177</v>
      </c>
      <c r="R206">
        <f t="shared" si="53"/>
        <v>1.6689291985259469</v>
      </c>
      <c r="S206" s="9">
        <f t="shared" si="45"/>
        <v>0.58807889365293264</v>
      </c>
      <c r="T206">
        <v>0.89390000000000003</v>
      </c>
      <c r="U206">
        <v>0.86955999999999989</v>
      </c>
      <c r="V206">
        <v>0.69372913819606397</v>
      </c>
      <c r="W206" s="9">
        <v>1.1096641854533824</v>
      </c>
      <c r="X206">
        <f t="shared" si="54"/>
        <v>1.7378407050139761</v>
      </c>
      <c r="Y206">
        <f t="shared" si="46"/>
        <v>0.63258081027235691</v>
      </c>
      <c r="Z206">
        <f t="shared" si="57"/>
        <v>-9.2395380307966665E-2</v>
      </c>
      <c r="AA206">
        <f t="shared" si="47"/>
        <v>1.0699465035663047E-2</v>
      </c>
      <c r="AB206">
        <f t="shared" si="51"/>
        <v>0.19657683798855169</v>
      </c>
      <c r="AC206">
        <f t="shared" si="48"/>
        <v>1.2927940587531828</v>
      </c>
      <c r="AD206">
        <f t="shared" si="55"/>
        <v>1.1146035343553491E-3</v>
      </c>
      <c r="AE206">
        <f t="shared" si="49"/>
        <v>0.97501859625480825</v>
      </c>
      <c r="AF206">
        <f t="shared" si="50"/>
        <v>1.058334643931591E-2</v>
      </c>
    </row>
    <row r="207" spans="1:32" x14ac:dyDescent="0.25">
      <c r="A207" s="6">
        <v>44527.333344907405</v>
      </c>
      <c r="B207">
        <v>61458551.631214142</v>
      </c>
      <c r="C207">
        <v>61469861.646755219</v>
      </c>
      <c r="D207">
        <v>15015.532628312707</v>
      </c>
      <c r="E207">
        <v>184375.6548936367</v>
      </c>
      <c r="F207">
        <v>8.298464984566912E+18</v>
      </c>
      <c r="G207">
        <v>3203</v>
      </c>
      <c r="H207">
        <v>2.4243270007252824E-4</v>
      </c>
      <c r="I207">
        <v>4124.8560928489906</v>
      </c>
      <c r="J207">
        <f t="shared" si="56"/>
        <v>2.0098995066992722E-2</v>
      </c>
      <c r="K207">
        <f t="shared" si="41"/>
        <v>6.884130988227273E-3</v>
      </c>
      <c r="L207">
        <f t="shared" si="42"/>
        <v>1.0099925437863435</v>
      </c>
      <c r="M207">
        <f t="shared" si="43"/>
        <v>0.64293003201580112</v>
      </c>
      <c r="N207" s="2">
        <v>0.12765476544256221</v>
      </c>
      <c r="O207" s="9">
        <v>0.6793781827392773</v>
      </c>
      <c r="P207">
        <f t="shared" si="52"/>
        <v>0</v>
      </c>
      <c r="Q207">
        <f t="shared" si="44"/>
        <v>0.24078610686360327</v>
      </c>
      <c r="R207">
        <f t="shared" si="53"/>
        <v>0.74169129758610808</v>
      </c>
      <c r="S207" s="9">
        <f t="shared" si="45"/>
        <v>0.57853181026133571</v>
      </c>
      <c r="T207">
        <v>0.89200000000000002</v>
      </c>
      <c r="U207">
        <v>0.8689699999999998</v>
      </c>
      <c r="V207">
        <v>0.68905846292295414</v>
      </c>
      <c r="W207" s="9">
        <v>1.1065819842489171</v>
      </c>
      <c r="X207">
        <f t="shared" si="54"/>
        <v>0.75687279546606157</v>
      </c>
      <c r="Y207">
        <f t="shared" si="46"/>
        <v>0.62294370425411927</v>
      </c>
      <c r="Z207">
        <f t="shared" si="57"/>
        <v>2.0098995066992722E-2</v>
      </c>
      <c r="AA207">
        <f t="shared" si="47"/>
        <v>5.1997400173313287E-3</v>
      </c>
      <c r="AB207">
        <f t="shared" si="51"/>
        <v>0.18505408078347804</v>
      </c>
      <c r="AC207">
        <f t="shared" si="48"/>
        <v>1.2451001813549722</v>
      </c>
      <c r="AD207">
        <f t="shared" si="55"/>
        <v>3.4967793894694668E-4</v>
      </c>
      <c r="AE207">
        <f t="shared" si="49"/>
        <v>0.95733890247997577</v>
      </c>
      <c r="AF207">
        <f t="shared" si="50"/>
        <v>1.0248804224908925E-2</v>
      </c>
    </row>
    <row r="208" spans="1:32" x14ac:dyDescent="0.25">
      <c r="A208" s="6">
        <v>44528.333472222221</v>
      </c>
      <c r="B208">
        <v>55560649.470710754</v>
      </c>
      <c r="C208">
        <v>55560086.340507507</v>
      </c>
      <c r="D208">
        <v>13648.48357333988</v>
      </c>
      <c r="E208">
        <v>166681.94841215014</v>
      </c>
      <c r="F208">
        <v>9.0860938836425585E+18</v>
      </c>
      <c r="G208">
        <v>3203</v>
      </c>
      <c r="H208">
        <v>2.4445316378749279E-4</v>
      </c>
      <c r="I208">
        <v>4090.7631732241221</v>
      </c>
      <c r="J208">
        <f t="shared" si="56"/>
        <v>-8.2995850276636595E-3</v>
      </c>
      <c r="K208">
        <f t="shared" si="41"/>
        <v>-1.610184273247444E-2</v>
      </c>
      <c r="L208">
        <f t="shared" si="42"/>
        <v>0.91541030309374183</v>
      </c>
      <c r="M208">
        <f t="shared" si="43"/>
        <v>0.67344370878559257</v>
      </c>
      <c r="N208" s="2">
        <v>0.10553560526443108</v>
      </c>
      <c r="O208" s="9">
        <v>0.69225273291535827</v>
      </c>
      <c r="P208">
        <f t="shared" si="52"/>
        <v>0</v>
      </c>
      <c r="Q208">
        <f t="shared" si="44"/>
        <v>0.24078610686360327</v>
      </c>
      <c r="R208">
        <f t="shared" si="53"/>
        <v>0.61086225901582392</v>
      </c>
      <c r="S208" s="9">
        <f t="shared" si="45"/>
        <v>0.57487183275465603</v>
      </c>
      <c r="T208">
        <v>0.86980000000000002</v>
      </c>
      <c r="U208">
        <v>0.86995999999999996</v>
      </c>
      <c r="V208">
        <v>0.6587371148636495</v>
      </c>
      <c r="W208" s="9">
        <v>1.0919866535740945</v>
      </c>
      <c r="X208">
        <f t="shared" si="54"/>
        <v>0.60881678166353326</v>
      </c>
      <c r="Y208">
        <f t="shared" si="46"/>
        <v>0.6192477315106486</v>
      </c>
      <c r="Z208">
        <f t="shared" si="57"/>
        <v>-8.2995850276636595E-3</v>
      </c>
      <c r="AA208">
        <f t="shared" si="47"/>
        <v>5.189740517298104E-2</v>
      </c>
      <c r="AB208">
        <f t="shared" si="51"/>
        <v>0.17392463724638202</v>
      </c>
      <c r="AC208">
        <f t="shared" si="48"/>
        <v>1.197326238940468</v>
      </c>
      <c r="AD208">
        <f t="shared" si="55"/>
        <v>2.8909685203784428E-4</v>
      </c>
      <c r="AE208">
        <f t="shared" si="49"/>
        <v>0.94242679364895043</v>
      </c>
      <c r="AF208">
        <f t="shared" si="50"/>
        <v>9.9943259090027325E-3</v>
      </c>
    </row>
    <row r="209" spans="1:32" x14ac:dyDescent="0.25">
      <c r="A209" s="6">
        <v>44529.333344907405</v>
      </c>
      <c r="B209">
        <v>87686410.563285828</v>
      </c>
      <c r="C209">
        <v>87727340.302513123</v>
      </c>
      <c r="D209">
        <v>20856.935911554843</v>
      </c>
      <c r="E209">
        <v>263059.23168985546</v>
      </c>
      <c r="F209">
        <v>8.5254281711981107E+18</v>
      </c>
      <c r="G209">
        <v>3208</v>
      </c>
      <c r="H209">
        <v>2.3185829235627565E-4</v>
      </c>
      <c r="I209">
        <v>4312.979233295614</v>
      </c>
      <c r="J209">
        <f t="shared" si="56"/>
        <v>5.2897355176314172E-2</v>
      </c>
      <c r="K209">
        <f t="shared" si="41"/>
        <v>6.8471531829254369E-3</v>
      </c>
      <c r="L209">
        <f t="shared" si="42"/>
        <v>1.1877520469739502</v>
      </c>
      <c r="M209">
        <f t="shared" si="43"/>
        <v>0.71303544368472427</v>
      </c>
      <c r="N209" s="2">
        <v>0.17648696935735539</v>
      </c>
      <c r="O209" s="9">
        <v>0.69925222112965546</v>
      </c>
      <c r="P209">
        <f t="shared" si="52"/>
        <v>0.51104546280318341</v>
      </c>
      <c r="Q209">
        <f t="shared" si="44"/>
        <v>0.25782095562370938</v>
      </c>
      <c r="R209">
        <f t="shared" si="53"/>
        <v>0.96992969447961019</v>
      </c>
      <c r="S209" s="9">
        <f t="shared" si="45"/>
        <v>0.58686749311296249</v>
      </c>
      <c r="T209">
        <v>0.81389999999999996</v>
      </c>
      <c r="U209">
        <v>0.86743666666666652</v>
      </c>
      <c r="V209">
        <v>0.66368106077349542</v>
      </c>
      <c r="W209" s="9">
        <v>1.0953719576437098</v>
      </c>
      <c r="X209">
        <f t="shared" si="54"/>
        <v>0.979273164420288</v>
      </c>
      <c r="Y209">
        <f t="shared" si="46"/>
        <v>0.63164837085043757</v>
      </c>
      <c r="Z209">
        <f t="shared" si="57"/>
        <v>5.2897355176314172E-2</v>
      </c>
      <c r="AA209">
        <f t="shared" si="47"/>
        <v>6.3996800213309071E-3</v>
      </c>
      <c r="AB209">
        <f t="shared" si="51"/>
        <v>0.16133193353774208</v>
      </c>
      <c r="AC209">
        <f t="shared" si="48"/>
        <v>1.1410581061347893</v>
      </c>
      <c r="AD209">
        <f t="shared" si="55"/>
        <v>4.8340908244451429E-4</v>
      </c>
      <c r="AE209">
        <f t="shared" si="49"/>
        <v>1.0234700261750431</v>
      </c>
      <c r="AF209">
        <f t="shared" si="50"/>
        <v>1.0566982047189644E-2</v>
      </c>
    </row>
    <row r="210" spans="1:32" x14ac:dyDescent="0.25">
      <c r="A210" s="6">
        <v>44530.333402777775</v>
      </c>
      <c r="B210">
        <v>151103763.09550476</v>
      </c>
      <c r="C210">
        <v>151188926.1861496</v>
      </c>
      <c r="D210">
        <v>33967.655036471784</v>
      </c>
      <c r="E210">
        <v>453311.28928649426</v>
      </c>
      <c r="F210">
        <v>2.3271729628860191E+19</v>
      </c>
      <c r="G210">
        <v>3191</v>
      </c>
      <c r="H210">
        <v>2.175284324786383E-4</v>
      </c>
      <c r="I210">
        <v>4597.1001979164348</v>
      </c>
      <c r="J210">
        <f t="shared" si="56"/>
        <v>6.3796810212643551E-2</v>
      </c>
      <c r="K210">
        <f t="shared" si="41"/>
        <v>5.3916651601041921E-2</v>
      </c>
      <c r="L210">
        <f t="shared" si="42"/>
        <v>0.89383976754679673</v>
      </c>
      <c r="M210">
        <f t="shared" si="43"/>
        <v>0.70404996067212389</v>
      </c>
      <c r="N210" s="2">
        <v>0.10870976163848128</v>
      </c>
      <c r="O210" s="9">
        <v>0.71207412127868008</v>
      </c>
      <c r="P210">
        <f t="shared" si="52"/>
        <v>0</v>
      </c>
      <c r="Q210">
        <f t="shared" si="44"/>
        <v>0.23042105797188381</v>
      </c>
      <c r="R210">
        <f t="shared" si="53"/>
        <v>0.63130495838565781</v>
      </c>
      <c r="S210" s="9">
        <f t="shared" si="45"/>
        <v>0.56910556399293133</v>
      </c>
      <c r="T210">
        <v>0.84510000000000007</v>
      </c>
      <c r="U210">
        <v>0.86537666666666646</v>
      </c>
      <c r="V210">
        <v>0.66100154682137646</v>
      </c>
      <c r="W210" s="9">
        <v>1.0941401154240862</v>
      </c>
      <c r="X210">
        <f t="shared" si="54"/>
        <v>0.60674598368355659</v>
      </c>
      <c r="Y210">
        <f t="shared" si="46"/>
        <v>0.61072187147451074</v>
      </c>
      <c r="Z210">
        <f t="shared" si="57"/>
        <v>6.3796810212643551E-2</v>
      </c>
      <c r="AA210">
        <f t="shared" si="47"/>
        <v>8.6995650289968585E-2</v>
      </c>
      <c r="AB210">
        <f t="shared" si="51"/>
        <v>0.15546889335153313</v>
      </c>
      <c r="AC210">
        <f t="shared" si="48"/>
        <v>1.1139938583199298</v>
      </c>
      <c r="AD210">
        <f t="shared" si="55"/>
        <v>2.9779061936495752E-4</v>
      </c>
      <c r="AE210">
        <f t="shared" si="49"/>
        <v>1.0628956725665495</v>
      </c>
      <c r="AF210">
        <f t="shared" si="50"/>
        <v>9.8343538178069512E-3</v>
      </c>
    </row>
    <row r="211" spans="1:32" x14ac:dyDescent="0.25">
      <c r="A211" s="6">
        <v>44531.333402777775</v>
      </c>
      <c r="B211">
        <v>257857268.17127228</v>
      </c>
      <c r="C211">
        <v>257877583.80965424</v>
      </c>
      <c r="D211">
        <v>55225.010115647689</v>
      </c>
      <c r="E211">
        <v>773571.80451382697</v>
      </c>
      <c r="F211">
        <v>1.7884666289485412E+19</v>
      </c>
      <c r="G211">
        <v>3188</v>
      </c>
      <c r="H211">
        <v>2.1369087384582374E-4</v>
      </c>
      <c r="I211">
        <v>4679.6570298153774</v>
      </c>
      <c r="J211">
        <f t="shared" si="56"/>
        <v>1.779911005932705E-2</v>
      </c>
      <c r="K211">
        <f t="shared" si="41"/>
        <v>4.9843575606041038E-2</v>
      </c>
      <c r="L211">
        <f t="shared" si="42"/>
        <v>1.3400839438290937</v>
      </c>
      <c r="M211">
        <f t="shared" si="43"/>
        <v>0.74100284443976383</v>
      </c>
      <c r="N211" s="2">
        <v>0.23203400196376969</v>
      </c>
      <c r="O211" s="9">
        <v>0.71298659157785049</v>
      </c>
      <c r="P211">
        <f t="shared" si="52"/>
        <v>0.83996650284581853</v>
      </c>
      <c r="Q211">
        <f t="shared" si="44"/>
        <v>0.25841994140007774</v>
      </c>
      <c r="R211">
        <f t="shared" si="53"/>
        <v>1.1769196544729059</v>
      </c>
      <c r="S211" s="9">
        <f t="shared" si="45"/>
        <v>0.59831487259859817</v>
      </c>
      <c r="T211">
        <v>0.85340000000000005</v>
      </c>
      <c r="U211">
        <v>0.86449999999999982</v>
      </c>
      <c r="V211">
        <v>0.63860625619818556</v>
      </c>
      <c r="W211" s="9">
        <v>1.086141019928861</v>
      </c>
      <c r="X211">
        <f t="shared" si="54"/>
        <v>1.1938613664297359</v>
      </c>
      <c r="Y211">
        <f t="shared" si="46"/>
        <v>0.63653130967046256</v>
      </c>
      <c r="Z211">
        <f t="shared" si="57"/>
        <v>1.779911005932705E-2</v>
      </c>
      <c r="AA211">
        <f t="shared" si="47"/>
        <v>7.8796060262638218E-2</v>
      </c>
      <c r="AB211">
        <f t="shared" si="51"/>
        <v>0.14898921732993545</v>
      </c>
      <c r="AC211">
        <f t="shared" si="48"/>
        <v>1.0833979470258641</v>
      </c>
      <c r="AD211">
        <f t="shared" si="55"/>
        <v>6.3550761667209446E-4</v>
      </c>
      <c r="AE211">
        <f t="shared" si="49"/>
        <v>1.055059665366521</v>
      </c>
      <c r="AF211">
        <f t="shared" si="50"/>
        <v>1.0389098198563707E-2</v>
      </c>
    </row>
    <row r="212" spans="1:32" x14ac:dyDescent="0.25">
      <c r="A212" s="6">
        <v>44532.333402777775</v>
      </c>
      <c r="B212">
        <v>178568535.47711945</v>
      </c>
      <c r="C212">
        <v>178519584.36727905</v>
      </c>
      <c r="D212">
        <v>38918.133076615632</v>
      </c>
      <c r="E212">
        <v>535705.60643136501</v>
      </c>
      <c r="F212">
        <v>2.3528656466789405E+19</v>
      </c>
      <c r="G212">
        <v>3180</v>
      </c>
      <c r="H212">
        <v>2.2044073892804565E-4</v>
      </c>
      <c r="I212">
        <v>4536.3665757190702</v>
      </c>
      <c r="J212">
        <f t="shared" si="56"/>
        <v>-3.1098445103655552E-2</v>
      </c>
      <c r="K212">
        <f t="shared" si="41"/>
        <v>2.0911574880225291E-2</v>
      </c>
      <c r="L212">
        <f t="shared" si="42"/>
        <v>0.98405927360883227</v>
      </c>
      <c r="M212">
        <f t="shared" si="43"/>
        <v>0.7590715206051275</v>
      </c>
      <c r="N212" s="2">
        <v>0.12237665998615652</v>
      </c>
      <c r="O212" s="9">
        <v>0.68572882201797714</v>
      </c>
      <c r="P212">
        <f t="shared" si="52"/>
        <v>0</v>
      </c>
      <c r="Q212">
        <f t="shared" si="44"/>
        <v>0.25841994140007774</v>
      </c>
      <c r="R212">
        <f t="shared" si="53"/>
        <v>0.71265779814979857</v>
      </c>
      <c r="S212" s="9">
        <f t="shared" si="45"/>
        <v>0.60715361581604077</v>
      </c>
      <c r="T212">
        <v>0.8637999999999999</v>
      </c>
      <c r="U212">
        <v>0.86205666666666658</v>
      </c>
      <c r="V212">
        <v>0.63410839774367211</v>
      </c>
      <c r="W212" s="9">
        <v>1.0833422436515134</v>
      </c>
      <c r="X212">
        <f t="shared" si="54"/>
        <v>0.72087891185098762</v>
      </c>
      <c r="Y212">
        <f t="shared" si="46"/>
        <v>0.64367742315826149</v>
      </c>
      <c r="Z212">
        <f t="shared" si="57"/>
        <v>-3.1098445103655552E-2</v>
      </c>
      <c r="AA212">
        <f t="shared" si="47"/>
        <v>2.2498875074991848E-2</v>
      </c>
      <c r="AB212">
        <f t="shared" si="51"/>
        <v>0.14098295096991612</v>
      </c>
      <c r="AC212">
        <f t="shared" si="48"/>
        <v>1.0445412378931223</v>
      </c>
      <c r="AD212">
        <f t="shared" si="55"/>
        <v>3.3522232722672156E-4</v>
      </c>
      <c r="AE212">
        <f t="shared" si="49"/>
        <v>0.99173476144198758</v>
      </c>
      <c r="AF212">
        <f t="shared" si="50"/>
        <v>1.0849691373491899E-2</v>
      </c>
    </row>
    <row r="213" spans="1:32" x14ac:dyDescent="0.25">
      <c r="A213" s="6">
        <v>44533.333425925928</v>
      </c>
      <c r="B213">
        <v>148277392.5248642</v>
      </c>
      <c r="C213">
        <v>148300179.92412567</v>
      </c>
      <c r="D213">
        <v>32660.761623609811</v>
      </c>
      <c r="E213">
        <v>444832.17757458985</v>
      </c>
      <c r="F213">
        <v>2.444510268839757E+19</v>
      </c>
      <c r="G213">
        <v>3186</v>
      </c>
      <c r="H213">
        <v>2.1696362136688509E-4</v>
      </c>
      <c r="I213">
        <v>4609.0676109659962</v>
      </c>
      <c r="J213">
        <f t="shared" si="56"/>
        <v>1.5899205052994397E-2</v>
      </c>
      <c r="K213">
        <f t="shared" si="41"/>
        <v>1.4538437000359282E-2</v>
      </c>
      <c r="L213">
        <f t="shared" si="42"/>
        <v>0.88992760638241453</v>
      </c>
      <c r="M213">
        <f t="shared" si="43"/>
        <v>0.78873577415120799</v>
      </c>
      <c r="N213" s="2">
        <v>9.963929278742456E-2</v>
      </c>
      <c r="O213" s="9">
        <v>0.72291989879085017</v>
      </c>
      <c r="P213">
        <f t="shared" si="52"/>
        <v>0</v>
      </c>
      <c r="Q213">
        <f t="shared" si="44"/>
        <v>0.25841994140007774</v>
      </c>
      <c r="R213">
        <f t="shared" si="53"/>
        <v>0.57094850877628478</v>
      </c>
      <c r="S213" s="9">
        <f t="shared" si="45"/>
        <v>0.61336370395973794</v>
      </c>
      <c r="T213">
        <v>0.88580000000000003</v>
      </c>
      <c r="U213">
        <v>0.86155666666666664</v>
      </c>
      <c r="V213">
        <v>0.66991557023625115</v>
      </c>
      <c r="W213" s="9">
        <v>1.1120874643668976</v>
      </c>
      <c r="X213">
        <f t="shared" si="54"/>
        <v>0.52692989164271231</v>
      </c>
      <c r="Y213">
        <f t="shared" si="46"/>
        <v>0.64601343963774116</v>
      </c>
      <c r="Z213">
        <f t="shared" si="57"/>
        <v>1.5899205052994397E-2</v>
      </c>
      <c r="AA213">
        <f t="shared" si="47"/>
        <v>7.5996200253306244E-3</v>
      </c>
      <c r="AB213">
        <f t="shared" si="51"/>
        <v>0.13046014376817547</v>
      </c>
      <c r="AC213">
        <f t="shared" si="48"/>
        <v>0.99156730536108606</v>
      </c>
      <c r="AD213">
        <f t="shared" si="55"/>
        <v>2.7294711034933324E-4</v>
      </c>
      <c r="AE213">
        <f t="shared" si="49"/>
        <v>1.0206084612379895</v>
      </c>
      <c r="AF213">
        <f t="shared" si="50"/>
        <v>1.0867432731356708E-2</v>
      </c>
    </row>
    <row r="214" spans="1:32" x14ac:dyDescent="0.25">
      <c r="A214" s="6">
        <v>44534.333344907405</v>
      </c>
      <c r="B214">
        <v>478669164.3454895</v>
      </c>
      <c r="C214">
        <v>478384924.61508179</v>
      </c>
      <c r="D214">
        <v>118142.53108890913</v>
      </c>
      <c r="E214">
        <v>1436007.4930364639</v>
      </c>
      <c r="F214">
        <v>1.6019330742044568E+19</v>
      </c>
      <c r="G214">
        <v>3165</v>
      </c>
      <c r="H214">
        <v>2.5514234154438791E-4</v>
      </c>
      <c r="I214">
        <v>3919.3808207095522</v>
      </c>
      <c r="J214">
        <f t="shared" si="56"/>
        <v>-0.16209189554027492</v>
      </c>
      <c r="K214">
        <f t="shared" si="41"/>
        <v>-6.0030387708556447E-2</v>
      </c>
      <c r="L214">
        <f t="shared" si="42"/>
        <v>1.9924224732977858</v>
      </c>
      <c r="M214">
        <f t="shared" si="43"/>
        <v>0.84014561666483845</v>
      </c>
      <c r="N214" s="2">
        <v>0.50717786290040467</v>
      </c>
      <c r="O214" s="9">
        <v>0.72552193259459141</v>
      </c>
      <c r="P214">
        <f t="shared" si="52"/>
        <v>1.7049031096798768</v>
      </c>
      <c r="Q214">
        <f t="shared" si="44"/>
        <v>0.31525004505607362</v>
      </c>
      <c r="R214">
        <f t="shared" si="53"/>
        <v>1.8937504483372947</v>
      </c>
      <c r="S214" s="9">
        <f t="shared" si="45"/>
        <v>0.66045874946124272</v>
      </c>
      <c r="T214">
        <v>0.89370000000000005</v>
      </c>
      <c r="U214">
        <v>0.86148999999999998</v>
      </c>
      <c r="V214">
        <v>0.65541418589466904</v>
      </c>
      <c r="W214" s="9">
        <v>1.1018031236031609</v>
      </c>
      <c r="X214">
        <f t="shared" si="54"/>
        <v>2.0199018981529218</v>
      </c>
      <c r="Y214">
        <f t="shared" si="46"/>
        <v>0.69514438019636793</v>
      </c>
      <c r="Z214">
        <f t="shared" si="57"/>
        <v>-0.16209189554027492</v>
      </c>
      <c r="AA214">
        <f t="shared" si="47"/>
        <v>0.14169291547228238</v>
      </c>
      <c r="AB214">
        <f t="shared" si="51"/>
        <v>0.12618369092058809</v>
      </c>
      <c r="AC214">
        <f t="shared" si="48"/>
        <v>0.96937703644900053</v>
      </c>
      <c r="AD214">
        <f t="shared" si="55"/>
        <v>1.3885638902970583E-3</v>
      </c>
      <c r="AE214">
        <f t="shared" si="49"/>
        <v>0.87258676523510592</v>
      </c>
      <c r="AF214">
        <f t="shared" si="50"/>
        <v>9.7357698161617545E-3</v>
      </c>
    </row>
    <row r="215" spans="1:32" x14ac:dyDescent="0.25">
      <c r="A215" s="6">
        <v>44535.333379629628</v>
      </c>
      <c r="B215">
        <v>153751323.4805603</v>
      </c>
      <c r="C215">
        <v>153822460.55472565</v>
      </c>
      <c r="D215">
        <v>37471.2524754107</v>
      </c>
      <c r="E215">
        <v>461253.97044169903</v>
      </c>
      <c r="F215">
        <v>1.8680704309507334E+19</v>
      </c>
      <c r="G215">
        <v>3166</v>
      </c>
      <c r="H215">
        <v>2.35998509964622E-4</v>
      </c>
      <c r="I215">
        <v>4237.3148887673387</v>
      </c>
      <c r="J215">
        <f t="shared" si="56"/>
        <v>7.7996100259971793E-2</v>
      </c>
      <c r="K215">
        <f t="shared" si="41"/>
        <v>-1.8230437865282386E-2</v>
      </c>
      <c r="L215">
        <f t="shared" si="42"/>
        <v>1.0674047632196748</v>
      </c>
      <c r="M215">
        <f t="shared" si="43"/>
        <v>0.86984457589555075</v>
      </c>
      <c r="N215" s="2">
        <v>0.14342999653322799</v>
      </c>
      <c r="O215" s="9">
        <v>0.7289360490590775</v>
      </c>
      <c r="P215">
        <f t="shared" si="52"/>
        <v>0</v>
      </c>
      <c r="Q215">
        <f t="shared" si="44"/>
        <v>0.31525004505607362</v>
      </c>
      <c r="R215">
        <f t="shared" si="53"/>
        <v>0.82237937087471435</v>
      </c>
      <c r="S215" s="9">
        <f t="shared" si="45"/>
        <v>0.67730749888198083</v>
      </c>
      <c r="T215">
        <v>0.92269999999999996</v>
      </c>
      <c r="U215">
        <v>0.86560333333333317</v>
      </c>
      <c r="V215">
        <v>0.66733258828616671</v>
      </c>
      <c r="W215" s="9">
        <v>1.1097822314830812</v>
      </c>
      <c r="X215">
        <f t="shared" si="54"/>
        <v>0.79502772548942868</v>
      </c>
      <c r="Y215">
        <f t="shared" si="46"/>
        <v>0.70826479011614785</v>
      </c>
      <c r="Z215">
        <f t="shared" si="57"/>
        <v>7.7996100259971793E-2</v>
      </c>
      <c r="AA215">
        <f t="shared" si="47"/>
        <v>5.8297085194312356E-2</v>
      </c>
      <c r="AB215">
        <f t="shared" si="51"/>
        <v>0.11875072922914634</v>
      </c>
      <c r="AC215">
        <f t="shared" si="48"/>
        <v>0.92983264482302963</v>
      </c>
      <c r="AD215">
        <f t="shared" si="55"/>
        <v>3.9288170648574586E-4</v>
      </c>
      <c r="AE215">
        <f t="shared" si="49"/>
        <v>0.96580023703314377</v>
      </c>
      <c r="AF215">
        <f t="shared" si="50"/>
        <v>1.2127618014803554E-2</v>
      </c>
    </row>
    <row r="216" spans="1:32" x14ac:dyDescent="0.25">
      <c r="A216" s="6">
        <v>44536.333668981482</v>
      </c>
      <c r="B216">
        <v>236500319.94207764</v>
      </c>
      <c r="C216">
        <v>236446755.27724457</v>
      </c>
      <c r="D216">
        <v>57867.80560436286</v>
      </c>
      <c r="E216">
        <v>709500.959826231</v>
      </c>
      <c r="F216">
        <v>1.7089577588257937E+19</v>
      </c>
      <c r="G216">
        <v>3165</v>
      </c>
      <c r="H216">
        <v>2.4607180939267018E-4</v>
      </c>
      <c r="I216">
        <v>4063.8543783950709</v>
      </c>
      <c r="J216">
        <f t="shared" si="56"/>
        <v>-4.1797910139318231E-2</v>
      </c>
      <c r="K216">
        <f t="shared" si="41"/>
        <v>-2.7005937516219155E-2</v>
      </c>
      <c r="L216">
        <f t="shared" si="42"/>
        <v>1.3708381520408135</v>
      </c>
      <c r="M216">
        <f t="shared" si="43"/>
        <v>0.9008604698762912</v>
      </c>
      <c r="N216" s="2">
        <v>0.23711793782185334</v>
      </c>
      <c r="O216" s="9">
        <v>0.74131719510371608</v>
      </c>
      <c r="P216">
        <f t="shared" si="52"/>
        <v>0.86383749210583793</v>
      </c>
      <c r="Q216">
        <f t="shared" si="44"/>
        <v>0.34404462812626824</v>
      </c>
      <c r="R216">
        <f t="shared" si="53"/>
        <v>1.1940734315565746</v>
      </c>
      <c r="S216" s="9">
        <f t="shared" si="45"/>
        <v>0.71177151488104029</v>
      </c>
      <c r="T216">
        <v>0.89300000000000002</v>
      </c>
      <c r="U216">
        <v>0.86814666666666662</v>
      </c>
      <c r="V216">
        <v>0.64704682232411359</v>
      </c>
      <c r="W216" s="9">
        <v>1.1006795437814054</v>
      </c>
      <c r="X216">
        <f t="shared" si="54"/>
        <v>1.1936137039473966</v>
      </c>
      <c r="Y216">
        <f t="shared" si="46"/>
        <v>0.73827841854869924</v>
      </c>
      <c r="Z216">
        <f t="shared" si="57"/>
        <v>-4.1797910139318231E-2</v>
      </c>
      <c r="AA216">
        <f t="shared" si="47"/>
        <v>7.6596170255305754E-2</v>
      </c>
      <c r="AB216">
        <f t="shared" si="51"/>
        <v>0.11442761204807012</v>
      </c>
      <c r="AC216">
        <f t="shared" si="48"/>
        <v>0.90623350284949777</v>
      </c>
      <c r="AD216">
        <f t="shared" si="55"/>
        <v>6.4942726227135389E-4</v>
      </c>
      <c r="AE216">
        <f t="shared" si="49"/>
        <v>0.88303205168352117</v>
      </c>
      <c r="AF216">
        <f t="shared" si="50"/>
        <v>1.0810369647984652E-2</v>
      </c>
    </row>
    <row r="217" spans="1:32" x14ac:dyDescent="0.25">
      <c r="A217" s="6">
        <v>44537.333437499998</v>
      </c>
      <c r="B217">
        <v>146927749.04263306</v>
      </c>
      <c r="C217">
        <v>147010151.19952393</v>
      </c>
      <c r="D217">
        <v>34616.671217290685</v>
      </c>
      <c r="E217">
        <v>440783.24712787569</v>
      </c>
      <c r="F217">
        <v>1.9724345167900361E+19</v>
      </c>
      <c r="G217">
        <v>3169</v>
      </c>
      <c r="H217">
        <v>2.2959729113993392E-4</v>
      </c>
      <c r="I217">
        <v>4355.4520832326571</v>
      </c>
      <c r="J217">
        <f t="shared" si="56"/>
        <v>6.9296535230975218E-2</v>
      </c>
      <c r="K217">
        <f t="shared" si="41"/>
        <v>-1.6380238750482133E-2</v>
      </c>
      <c r="L217">
        <f t="shared" si="42"/>
        <v>1.0056390357380931</v>
      </c>
      <c r="M217">
        <f t="shared" si="43"/>
        <v>0.92578593657016983</v>
      </c>
      <c r="N217" s="2">
        <v>0.12722984099174162</v>
      </c>
      <c r="O217" s="9">
        <v>0.73724352395388193</v>
      </c>
      <c r="P217">
        <f t="shared" si="52"/>
        <v>0</v>
      </c>
      <c r="Q217">
        <f t="shared" si="44"/>
        <v>0.34404462812626824</v>
      </c>
      <c r="R217">
        <f t="shared" si="53"/>
        <v>0.73939609500483561</v>
      </c>
      <c r="S217" s="9">
        <f t="shared" si="45"/>
        <v>0.73641805138120153</v>
      </c>
      <c r="T217">
        <v>0.86370000000000002</v>
      </c>
      <c r="U217">
        <v>0.86963333333333326</v>
      </c>
      <c r="V217">
        <v>0.60911176944321366</v>
      </c>
      <c r="W217" s="9">
        <v>1.0784452060265657</v>
      </c>
      <c r="X217">
        <f t="shared" si="54"/>
        <v>0.69552733357942664</v>
      </c>
      <c r="Y217">
        <f t="shared" si="46"/>
        <v>0.75349485259926985</v>
      </c>
      <c r="Z217">
        <f t="shared" si="57"/>
        <v>6.9296535230975218E-2</v>
      </c>
      <c r="AA217">
        <f t="shared" si="47"/>
        <v>5.5097245183646656E-2</v>
      </c>
      <c r="AB217">
        <f t="shared" si="51"/>
        <v>0.10826458686086121</v>
      </c>
      <c r="AC217">
        <f t="shared" si="48"/>
        <v>0.87178180416950157</v>
      </c>
      <c r="AD217">
        <f t="shared" si="55"/>
        <v>3.4851416870788237E-4</v>
      </c>
      <c r="AE217">
        <f t="shared" si="49"/>
        <v>0.91971097557630566</v>
      </c>
      <c r="AF217">
        <f t="shared" si="50"/>
        <v>1.2070630759682954E-2</v>
      </c>
    </row>
    <row r="218" spans="1:32" x14ac:dyDescent="0.25">
      <c r="A218" s="6">
        <v>44538.333819444444</v>
      </c>
      <c r="B218">
        <v>148569778.58633423</v>
      </c>
      <c r="C218">
        <v>148542485.23496246</v>
      </c>
      <c r="D218">
        <v>34418.860232332721</v>
      </c>
      <c r="E218">
        <v>445709.33575901389</v>
      </c>
      <c r="F218">
        <v>2.1223765022661693E+19</v>
      </c>
      <c r="G218">
        <v>3164</v>
      </c>
      <c r="H218">
        <v>2.3369713478988847E-4</v>
      </c>
      <c r="I218">
        <v>4279.042620266081</v>
      </c>
      <c r="J218">
        <f t="shared" si="56"/>
        <v>-1.7699115058993829E-2</v>
      </c>
      <c r="K218">
        <f t="shared" si="41"/>
        <v>-3.9762851834581649E-2</v>
      </c>
      <c r="L218">
        <f t="shared" si="42"/>
        <v>0.94539299510142638</v>
      </c>
      <c r="M218">
        <f t="shared" si="43"/>
        <v>0.95729903640688396</v>
      </c>
      <c r="N218" s="2">
        <v>0.11652980428743022</v>
      </c>
      <c r="O218" s="9">
        <v>0.729486930845332</v>
      </c>
      <c r="P218">
        <f t="shared" si="52"/>
        <v>0</v>
      </c>
      <c r="Q218">
        <f t="shared" si="44"/>
        <v>0.34404462812626824</v>
      </c>
      <c r="R218">
        <f t="shared" si="53"/>
        <v>0.67904807758649066</v>
      </c>
      <c r="S218" s="9">
        <f t="shared" si="45"/>
        <v>0.75905298730075121</v>
      </c>
      <c r="T218">
        <v>0.88029999999999997</v>
      </c>
      <c r="U218">
        <v>0.8706600000000001</v>
      </c>
      <c r="V218">
        <v>0.60741313725672608</v>
      </c>
      <c r="W218" s="9">
        <v>1.0771790825304213</v>
      </c>
      <c r="X218">
        <f t="shared" si="54"/>
        <v>0.63780964160363063</v>
      </c>
      <c r="Y218">
        <f t="shared" si="46"/>
        <v>0.77475517398605764</v>
      </c>
      <c r="Z218">
        <f t="shared" si="57"/>
        <v>-1.7699115058993829E-2</v>
      </c>
      <c r="AA218">
        <f t="shared" si="47"/>
        <v>0.10139493033796367</v>
      </c>
      <c r="AB218">
        <f t="shared" si="51"/>
        <v>0.10255153917515214</v>
      </c>
      <c r="AC218">
        <f t="shared" si="48"/>
        <v>0.83894821358715488</v>
      </c>
      <c r="AD218">
        <f t="shared" si="55"/>
        <v>3.1920878522805242E-4</v>
      </c>
      <c r="AE218">
        <f t="shared" si="49"/>
        <v>0.89557036409214874</v>
      </c>
      <c r="AF218">
        <f t="shared" si="50"/>
        <v>1.1601362071909094E-2</v>
      </c>
    </row>
    <row r="219" spans="1:32" x14ac:dyDescent="0.25">
      <c r="A219" s="6">
        <v>44539.333368055559</v>
      </c>
      <c r="B219">
        <v>154146545.01331329</v>
      </c>
      <c r="C219">
        <v>154160321.27626801</v>
      </c>
      <c r="D219">
        <v>35223.317062661052</v>
      </c>
      <c r="E219">
        <v>462439.63503995538</v>
      </c>
      <c r="F219">
        <v>2.0832079178066932E+19</v>
      </c>
      <c r="G219">
        <v>3157</v>
      </c>
      <c r="H219">
        <v>2.3239215344100108E-4</v>
      </c>
      <c r="I219">
        <v>4303.0712749683116</v>
      </c>
      <c r="J219">
        <f t="shared" si="56"/>
        <v>5.5997200186648603E-3</v>
      </c>
      <c r="K219">
        <f t="shared" si="41"/>
        <v>-4.0147897993430909E-2</v>
      </c>
      <c r="L219">
        <f t="shared" si="42"/>
        <v>0.96719746739927348</v>
      </c>
      <c r="M219">
        <f t="shared" si="43"/>
        <v>0.98953895198685982</v>
      </c>
      <c r="N219" s="2">
        <v>0.12183626009499439</v>
      </c>
      <c r="O219" s="9">
        <v>0.77052466182321278</v>
      </c>
      <c r="P219">
        <f t="shared" si="52"/>
        <v>0</v>
      </c>
      <c r="Q219">
        <f t="shared" si="44"/>
        <v>0.34404462812626824</v>
      </c>
      <c r="R219">
        <f t="shared" si="53"/>
        <v>0.70961816361647756</v>
      </c>
      <c r="S219" s="9">
        <f t="shared" si="45"/>
        <v>0.78270692608796699</v>
      </c>
      <c r="T219">
        <v>0.96950000000000003</v>
      </c>
      <c r="U219">
        <v>0.87619999999999998</v>
      </c>
      <c r="V219">
        <v>0.60277770318534551</v>
      </c>
      <c r="W219" s="9">
        <v>1.0739021635064847</v>
      </c>
      <c r="X219">
        <f t="shared" si="54"/>
        <v>0.62214780628695876</v>
      </c>
      <c r="Y219">
        <f t="shared" si="46"/>
        <v>0.7954934341956228</v>
      </c>
      <c r="Z219">
        <f t="shared" si="57"/>
        <v>5.5997200186648603E-3</v>
      </c>
      <c r="AA219">
        <f t="shared" si="47"/>
        <v>0.10469476534896222</v>
      </c>
      <c r="AB219">
        <f t="shared" si="51"/>
        <v>9.6261853654187712E-2</v>
      </c>
      <c r="AC219">
        <f t="shared" si="48"/>
        <v>0.80173666135875432</v>
      </c>
      <c r="AD219">
        <f t="shared" si="55"/>
        <v>3.3374227471396798E-4</v>
      </c>
      <c r="AE219">
        <f t="shared" si="49"/>
        <v>0.91183576687269852</v>
      </c>
      <c r="AF219">
        <f t="shared" si="50"/>
        <v>1.2331390332124714E-2</v>
      </c>
    </row>
    <row r="220" spans="1:32" x14ac:dyDescent="0.25">
      <c r="A220" s="6">
        <v>44540.33357638889</v>
      </c>
      <c r="B220">
        <v>211367880.09350586</v>
      </c>
      <c r="C220">
        <v>211321836.91472626</v>
      </c>
      <c r="D220">
        <v>50892.719221597537</v>
      </c>
      <c r="E220">
        <v>634103.64028050005</v>
      </c>
      <c r="F220">
        <v>1.9935819662933123E+19</v>
      </c>
      <c r="G220">
        <v>3164</v>
      </c>
      <c r="H220">
        <v>2.3994858263093918E-4</v>
      </c>
      <c r="I220">
        <v>4167.5595206081416</v>
      </c>
      <c r="J220">
        <f t="shared" si="56"/>
        <v>-3.1998400106655243E-2</v>
      </c>
      <c r="K220">
        <f t="shared" si="41"/>
        <v>-4.9429853125980187E-2</v>
      </c>
      <c r="L220">
        <f t="shared" si="42"/>
        <v>1.1784724846321046</v>
      </c>
      <c r="M220">
        <f t="shared" si="43"/>
        <v>1.0150991825549538</v>
      </c>
      <c r="N220" s="2">
        <v>0.18103065390704798</v>
      </c>
      <c r="O220" s="9">
        <v>0.78669938749392532</v>
      </c>
      <c r="P220">
        <f t="shared" si="52"/>
        <v>0.54545113571177084</v>
      </c>
      <c r="Q220">
        <f t="shared" si="44"/>
        <v>0.36222633264999388</v>
      </c>
      <c r="R220">
        <f t="shared" si="53"/>
        <v>0.98849030780825098</v>
      </c>
      <c r="S220" s="9">
        <f t="shared" si="45"/>
        <v>0.79944993658194941</v>
      </c>
      <c r="T220">
        <v>0.99370000000000003</v>
      </c>
      <c r="U220">
        <v>0.88014666666666663</v>
      </c>
      <c r="V220">
        <v>0.57893240342236174</v>
      </c>
      <c r="W220" s="9">
        <v>1.062889818209088</v>
      </c>
      <c r="X220">
        <f t="shared" si="54"/>
        <v>0.92649963355753673</v>
      </c>
      <c r="Y220">
        <f t="shared" si="46"/>
        <v>0.80778328042291081</v>
      </c>
      <c r="Z220">
        <f t="shared" si="57"/>
        <v>-3.1998400106655243E-2</v>
      </c>
      <c r="AA220">
        <f t="shared" si="47"/>
        <v>0.12429378541428848</v>
      </c>
      <c r="AB220">
        <f t="shared" si="51"/>
        <v>9.1035448303434033E-2</v>
      </c>
      <c r="AC220">
        <f t="shared" si="48"/>
        <v>0.76991311704327947</v>
      </c>
      <c r="AD220">
        <f t="shared" si="55"/>
        <v>4.95851439619193E-4</v>
      </c>
      <c r="AE220">
        <f t="shared" si="49"/>
        <v>0.88533080716927004</v>
      </c>
      <c r="AF220">
        <f t="shared" si="50"/>
        <v>1.1789867994944858E-2</v>
      </c>
    </row>
    <row r="221" spans="1:32" x14ac:dyDescent="0.25">
      <c r="A221" s="6">
        <v>44541.333715277775</v>
      </c>
      <c r="B221">
        <v>293029163.47857666</v>
      </c>
      <c r="C221">
        <v>292904398.22581482</v>
      </c>
      <c r="D221">
        <v>73186.026431834325</v>
      </c>
      <c r="E221">
        <v>879087.49043573439</v>
      </c>
      <c r="F221">
        <v>1.9154067629109617E+19</v>
      </c>
      <c r="G221">
        <v>3169</v>
      </c>
      <c r="H221">
        <v>2.477259429702613E-4</v>
      </c>
      <c r="I221">
        <v>4036.7189161130646</v>
      </c>
      <c r="J221">
        <f t="shared" si="56"/>
        <v>-3.18984051063219E-2</v>
      </c>
      <c r="K221">
        <f t="shared" si="41"/>
        <v>-6.3666816106870722E-2</v>
      </c>
      <c r="L221">
        <f t="shared" si="42"/>
        <v>1.4264386252477756</v>
      </c>
      <c r="M221">
        <f t="shared" si="43"/>
        <v>1.0352119604516075</v>
      </c>
      <c r="N221" s="2">
        <v>0.26666809689727422</v>
      </c>
      <c r="O221" s="9">
        <v>0.80087116749890341</v>
      </c>
      <c r="P221">
        <f t="shared" si="52"/>
        <v>0.99127013743533632</v>
      </c>
      <c r="Q221">
        <f t="shared" si="44"/>
        <v>0.38160290777729511</v>
      </c>
      <c r="R221">
        <f t="shared" si="53"/>
        <v>1.2892682546904894</v>
      </c>
      <c r="S221" s="9">
        <f t="shared" si="45"/>
        <v>0.81173580895745145</v>
      </c>
      <c r="T221">
        <v>0.89349999999999996</v>
      </c>
      <c r="U221">
        <v>0.88198333333333323</v>
      </c>
      <c r="V221">
        <v>0.55132599977980634</v>
      </c>
      <c r="W221" s="9">
        <v>1.0477026778661422</v>
      </c>
      <c r="X221">
        <f t="shared" si="54"/>
        <v>1.2597499320564272</v>
      </c>
      <c r="Y221">
        <f t="shared" si="46"/>
        <v>0.81710141151971161</v>
      </c>
      <c r="Z221">
        <f t="shared" si="57"/>
        <v>-3.18984051063219E-2</v>
      </c>
      <c r="AA221">
        <f t="shared" si="47"/>
        <v>0.15369231551227802</v>
      </c>
      <c r="AB221">
        <f t="shared" si="51"/>
        <v>8.5869039952880338E-2</v>
      </c>
      <c r="AC221">
        <f t="shared" si="48"/>
        <v>0.73759810327014985</v>
      </c>
      <c r="AD221">
        <f t="shared" si="55"/>
        <v>7.3033076929340649E-4</v>
      </c>
      <c r="AE221">
        <f t="shared" si="49"/>
        <v>0.87897963456802441</v>
      </c>
      <c r="AF221">
        <f t="shared" si="50"/>
        <v>1.184388373823908E-2</v>
      </c>
    </row>
    <row r="222" spans="1:32" x14ac:dyDescent="0.25">
      <c r="A222" s="6">
        <v>44542.333611111113</v>
      </c>
      <c r="B222">
        <v>91414911.69972229</v>
      </c>
      <c r="C222">
        <v>91417070.827041626</v>
      </c>
      <c r="D222">
        <v>22639.347315333784</v>
      </c>
      <c r="E222">
        <v>274244.73509916663</v>
      </c>
      <c r="F222">
        <v>1.9244909109944869E+19</v>
      </c>
      <c r="G222">
        <v>3172</v>
      </c>
      <c r="H222">
        <v>2.4708272422563631E-4</v>
      </c>
      <c r="I222">
        <v>4047.2275151329418</v>
      </c>
      <c r="J222">
        <f t="shared" si="56"/>
        <v>2.5998700086657688E-3</v>
      </c>
      <c r="K222">
        <f t="shared" si="41"/>
        <v>-4.9966881017444661E-2</v>
      </c>
      <c r="L222">
        <f t="shared" si="42"/>
        <v>0.77260676456598232</v>
      </c>
      <c r="M222">
        <f t="shared" si="43"/>
        <v>1.0609655192704734</v>
      </c>
      <c r="N222" s="2">
        <v>8.2208458021456585E-2</v>
      </c>
      <c r="O222" s="9">
        <v>0.8024076358491532</v>
      </c>
      <c r="P222">
        <f t="shared" si="52"/>
        <v>0</v>
      </c>
      <c r="Q222">
        <f t="shared" si="44"/>
        <v>0.38160290777729511</v>
      </c>
      <c r="R222">
        <f t="shared" si="53"/>
        <v>0.43189758224157676</v>
      </c>
      <c r="S222" s="9">
        <f t="shared" si="45"/>
        <v>0.81767012294487373</v>
      </c>
      <c r="T222">
        <v>0.92370000000000008</v>
      </c>
      <c r="U222">
        <v>0.88354999999999995</v>
      </c>
      <c r="V222">
        <v>0.56593961185928288</v>
      </c>
      <c r="W222" s="9">
        <v>1.0571774736028068</v>
      </c>
      <c r="X222">
        <f t="shared" si="54"/>
        <v>0.11754827958238706</v>
      </c>
      <c r="Y222">
        <f t="shared" si="46"/>
        <v>0.80845184341177057</v>
      </c>
      <c r="Z222">
        <f t="shared" si="57"/>
        <v>2.5998700086657688E-3</v>
      </c>
      <c r="AA222">
        <f t="shared" si="47"/>
        <v>0.12639368042128771</v>
      </c>
      <c r="AB222">
        <f t="shared" si="51"/>
        <v>8.0622635602059983E-2</v>
      </c>
      <c r="AC222">
        <f t="shared" si="48"/>
        <v>0.70385706348239307</v>
      </c>
      <c r="AD222">
        <f t="shared" si="55"/>
        <v>2.2520329194855969E-4</v>
      </c>
      <c r="AE222">
        <f t="shared" si="49"/>
        <v>0.87687271810015965</v>
      </c>
      <c r="AF222">
        <f t="shared" si="50"/>
        <v>1.1807255517069182E-2</v>
      </c>
    </row>
    <row r="223" spans="1:32" x14ac:dyDescent="0.25">
      <c r="A223" s="6">
        <v>44543.333368055559</v>
      </c>
      <c r="B223">
        <v>121005840.07241821</v>
      </c>
      <c r="C223">
        <v>120984408.63282013</v>
      </c>
      <c r="D223">
        <v>29844.019517950714</v>
      </c>
      <c r="E223">
        <v>363017.52021723986</v>
      </c>
      <c r="F223">
        <v>1.9355365623742022E+19</v>
      </c>
      <c r="G223">
        <v>3178</v>
      </c>
      <c r="H223">
        <v>2.4996542704726083E-4</v>
      </c>
      <c r="I223">
        <v>4000.5532437529073</v>
      </c>
      <c r="J223">
        <f t="shared" si="56"/>
        <v>-1.1599420038662465E-2</v>
      </c>
      <c r="K223">
        <f t="shared" si="41"/>
        <v>-5.6483617668559832E-2</v>
      </c>
      <c r="L223">
        <f t="shared" si="42"/>
        <v>0.88283998912688277</v>
      </c>
      <c r="M223">
        <f t="shared" si="43"/>
        <v>1.0745242523811105</v>
      </c>
      <c r="N223" s="2">
        <v>0.10712864656162648</v>
      </c>
      <c r="O223" s="9">
        <v>0.85476505644985556</v>
      </c>
      <c r="P223">
        <f t="shared" si="52"/>
        <v>0</v>
      </c>
      <c r="Q223">
        <f t="shared" si="44"/>
        <v>0.38160290777729511</v>
      </c>
      <c r="R223">
        <f t="shared" si="53"/>
        <v>0.62120610900688888</v>
      </c>
      <c r="S223" s="9">
        <f t="shared" si="45"/>
        <v>0.8295646220088716</v>
      </c>
      <c r="T223">
        <v>0.98970000000000002</v>
      </c>
      <c r="U223">
        <v>0.88813999999999993</v>
      </c>
      <c r="V223">
        <v>0.58288546555860898</v>
      </c>
      <c r="W223" s="9">
        <v>1.0631488974352628</v>
      </c>
      <c r="X223">
        <f t="shared" si="54"/>
        <v>0.35647305690132197</v>
      </c>
      <c r="Y223">
        <f t="shared" si="46"/>
        <v>0.80669376998368214</v>
      </c>
      <c r="Z223">
        <f t="shared" si="57"/>
        <v>-1.1599420038662465E-2</v>
      </c>
      <c r="AA223">
        <f t="shared" si="47"/>
        <v>0.1429928504766152</v>
      </c>
      <c r="AB223">
        <f t="shared" si="51"/>
        <v>7.8322750594394142E-2</v>
      </c>
      <c r="AC223">
        <f t="shared" si="48"/>
        <v>0.68875674849572877</v>
      </c>
      <c r="AD223">
        <f t="shared" si="55"/>
        <v>2.9346007764378355E-4</v>
      </c>
      <c r="AE223">
        <f t="shared" si="49"/>
        <v>0.86658693974230805</v>
      </c>
      <c r="AF223">
        <f t="shared" si="50"/>
        <v>1.1507639605031539E-2</v>
      </c>
    </row>
    <row r="224" spans="1:32" x14ac:dyDescent="0.25">
      <c r="A224" s="6">
        <v>44544.333622685182</v>
      </c>
      <c r="B224">
        <v>195653628.34050751</v>
      </c>
      <c r="C224">
        <v>195607084.46710205</v>
      </c>
      <c r="D224">
        <v>51492.967041781172</v>
      </c>
      <c r="E224">
        <v>586960.88502153754</v>
      </c>
      <c r="F224">
        <v>1.8397349959291152E+19</v>
      </c>
      <c r="G224">
        <v>3175</v>
      </c>
      <c r="H224">
        <v>2.6053065885922285E-4</v>
      </c>
      <c r="I224">
        <v>3838.319852176583</v>
      </c>
      <c r="J224">
        <f t="shared" si="56"/>
        <v>-4.1397930137985095E-2</v>
      </c>
      <c r="K224">
        <f t="shared" ref="K224:K287" si="58">(AVERAGE(J195:J224))*(15)+POWER(O224/SQRT(365/15),2)/2</f>
        <v>-7.7280307778928622E-2</v>
      </c>
      <c r="L224">
        <f t="shared" ref="L224:L287" si="59">SQRT(MAX(0,8*(N224/(365/15)-LN(COSH(K224/2))),0))*SQRT(365/15)</f>
        <v>1.1741225575298955</v>
      </c>
      <c r="M224">
        <f t="shared" ref="M224:M287" si="60">AVERAGE(L195:L224)</f>
        <v>1.1136616709654406</v>
      </c>
      <c r="N224" s="2">
        <v>0.19048153541649285</v>
      </c>
      <c r="O224" s="9">
        <v>0.85482967488478812</v>
      </c>
      <c r="P224">
        <f t="shared" si="52"/>
        <v>0.61083876229723633</v>
      </c>
      <c r="Q224">
        <f t="shared" ref="Q224:Q287" si="61">AVERAGE(P195:P224)</f>
        <v>0.40196419985386966</v>
      </c>
      <c r="R224">
        <f t="shared" si="53"/>
        <v>1.0260215108400066</v>
      </c>
      <c r="S224" s="9">
        <f t="shared" ref="S224:S287" si="62">AVERAGE(R195:R224)</f>
        <v>0.8637653390368718</v>
      </c>
      <c r="T224">
        <v>0.93459999999999999</v>
      </c>
      <c r="U224">
        <v>0.89242666666666659</v>
      </c>
      <c r="V224">
        <v>0.60734803793214565</v>
      </c>
      <c r="W224" s="9">
        <v>1.0740005583472392</v>
      </c>
      <c r="X224">
        <f t="shared" si="54"/>
        <v>0.90535755025734499</v>
      </c>
      <c r="Y224">
        <f t="shared" ref="Y224:Y287" si="63">AVERAGE(X195:X224)</f>
        <v>0.83687235499226043</v>
      </c>
      <c r="Z224">
        <f t="shared" si="57"/>
        <v>-4.1397930137985095E-2</v>
      </c>
      <c r="AA224">
        <f t="shared" ref="AA224:AA287" si="64">ABS(SUM(Z195:Z224))</f>
        <v>0.1845907706152668</v>
      </c>
      <c r="AB224">
        <f t="shared" si="51"/>
        <v>7.7812776092694311E-2</v>
      </c>
      <c r="AC224">
        <f t="shared" ref="AC224:AC287" si="65">LN((EXP(AB224)-1)*365/30+1)</f>
        <v>0.68538205900735871</v>
      </c>
      <c r="AD224">
        <f t="shared" si="55"/>
        <v>5.2173109497879327E-4</v>
      </c>
      <c r="AE224">
        <f t="shared" ref="AE224:AE287" si="66">I224/I195</f>
        <v>0.81091704232354045</v>
      </c>
      <c r="AF224">
        <f t="shared" ref="AF224:AF287" si="67">2*SQRT(AE224)*EXP(SUM(AD195:AD224))/(1+AE224)-1</f>
        <v>8.9990681421081575E-3</v>
      </c>
    </row>
    <row r="225" spans="1:32" x14ac:dyDescent="0.25">
      <c r="A225" s="6">
        <v>44545.333599537036</v>
      </c>
      <c r="B225">
        <v>105413343.97193909</v>
      </c>
      <c r="C225">
        <v>105409038.32640076</v>
      </c>
      <c r="D225">
        <v>27527.663100248203</v>
      </c>
      <c r="E225">
        <v>316240.03191581368</v>
      </c>
      <c r="F225">
        <v>1.90790338823144E+19</v>
      </c>
      <c r="G225">
        <v>3178</v>
      </c>
      <c r="H225">
        <v>2.6157481621022434E-4</v>
      </c>
      <c r="I225">
        <v>3822.9980029740814</v>
      </c>
      <c r="J225">
        <f t="shared" si="56"/>
        <v>-3.9998000133318386E-3</v>
      </c>
      <c r="K225">
        <f t="shared" si="58"/>
        <v>-9.0310077575817715E-2</v>
      </c>
      <c r="L225">
        <f t="shared" si="59"/>
        <v>0.76522431996390039</v>
      </c>
      <c r="M225">
        <f t="shared" si="60"/>
        <v>1.1221107391643237</v>
      </c>
      <c r="N225" s="2">
        <v>9.7995166644372245E-2</v>
      </c>
      <c r="O225" s="9">
        <v>0.89568392600310265</v>
      </c>
      <c r="P225">
        <f t="shared" si="52"/>
        <v>0</v>
      </c>
      <c r="Q225">
        <f t="shared" si="61"/>
        <v>0.40196419985386966</v>
      </c>
      <c r="R225">
        <f t="shared" si="53"/>
        <v>0.55931135383562958</v>
      </c>
      <c r="S225" s="9">
        <f t="shared" si="62"/>
        <v>0.87726049416413809</v>
      </c>
      <c r="T225">
        <v>0.93790000000000007</v>
      </c>
      <c r="U225">
        <v>0.89607333333333328</v>
      </c>
      <c r="V225">
        <v>0.56549190930732363</v>
      </c>
      <c r="W225" s="9">
        <v>1.0467190894595595</v>
      </c>
      <c r="X225">
        <f t="shared" si="54"/>
        <v>0</v>
      </c>
      <c r="Y225">
        <f t="shared" si="63"/>
        <v>0.82539875378430527</v>
      </c>
      <c r="Z225">
        <f t="shared" si="57"/>
        <v>-3.9998000133318386E-3</v>
      </c>
      <c r="AA225">
        <f t="shared" si="64"/>
        <v>0.21358932071192305</v>
      </c>
      <c r="AB225">
        <f t="shared" si="51"/>
        <v>7.8922720596393908E-2</v>
      </c>
      <c r="AC225">
        <f t="shared" si="65"/>
        <v>0.69271463730933158</v>
      </c>
      <c r="AD225">
        <f t="shared" si="55"/>
        <v>2.6844387433362714E-4</v>
      </c>
      <c r="AE225">
        <f t="shared" si="66"/>
        <v>0.90195121987420801</v>
      </c>
      <c r="AF225">
        <f t="shared" si="67"/>
        <v>1.3295765564241835E-2</v>
      </c>
    </row>
    <row r="226" spans="1:32" x14ac:dyDescent="0.25">
      <c r="A226" s="6">
        <v>44546.333587962959</v>
      </c>
      <c r="B226">
        <v>207106423.28614807</v>
      </c>
      <c r="C226">
        <v>207207290.92693329</v>
      </c>
      <c r="D226">
        <v>52543.118908751756</v>
      </c>
      <c r="E226">
        <v>621319.2698584348</v>
      </c>
      <c r="F226">
        <v>2.1443272823879594E+19</v>
      </c>
      <c r="G226">
        <v>3192</v>
      </c>
      <c r="H226">
        <v>2.4735465115855961E-4</v>
      </c>
      <c r="I226">
        <v>4042.7782348793539</v>
      </c>
      <c r="J226">
        <f t="shared" si="56"/>
        <v>5.5897205186313144E-2</v>
      </c>
      <c r="K226">
        <f t="shared" si="58"/>
        <v>-8.5755224803540208E-3</v>
      </c>
      <c r="L226">
        <f t="shared" si="59"/>
        <v>1.1693329600493045</v>
      </c>
      <c r="M226">
        <f t="shared" si="60"/>
        <v>1.0991165938783698</v>
      </c>
      <c r="N226" s="2">
        <v>0.17114112865365866</v>
      </c>
      <c r="O226" s="9">
        <v>0.85648527607050984</v>
      </c>
      <c r="P226">
        <f t="shared" si="52"/>
        <v>0.46733364892991186</v>
      </c>
      <c r="Q226">
        <f t="shared" si="61"/>
        <v>0.36611935305435989</v>
      </c>
      <c r="R226">
        <f t="shared" si="53"/>
        <v>0.94762697650696726</v>
      </c>
      <c r="S226" s="9">
        <f t="shared" si="62"/>
        <v>0.8505437357609168</v>
      </c>
      <c r="T226">
        <v>0.8609</v>
      </c>
      <c r="U226">
        <v>0.89314666666666664</v>
      </c>
      <c r="V226">
        <v>0.55305203066772257</v>
      </c>
      <c r="W226" s="9">
        <v>1.0386712567740346</v>
      </c>
      <c r="X226">
        <f t="shared" si="54"/>
        <v>0.80781807064297706</v>
      </c>
      <c r="Y226">
        <f t="shared" si="63"/>
        <v>0.79014234809107153</v>
      </c>
      <c r="Z226">
        <f t="shared" si="57"/>
        <v>5.5897205186313144E-2</v>
      </c>
      <c r="AA226">
        <f t="shared" si="64"/>
        <v>4.7297635157649585E-2</v>
      </c>
      <c r="AB226">
        <f t="shared" ref="AB226:AB289" si="68">AVERAGE(AA197:AA226)</f>
        <v>7.7452794091494429E-2</v>
      </c>
      <c r="AC226">
        <f t="shared" si="65"/>
        <v>0.68299409002891354</v>
      </c>
      <c r="AD226">
        <f t="shared" si="55"/>
        <v>4.6876991474365312E-4</v>
      </c>
      <c r="AE226">
        <f t="shared" si="66"/>
        <v>0.95256439290939643</v>
      </c>
      <c r="AF226">
        <f t="shared" si="67"/>
        <v>1.3595507710302712E-2</v>
      </c>
    </row>
    <row r="227" spans="1:32" x14ac:dyDescent="0.25">
      <c r="A227" s="6">
        <v>44547.333495370367</v>
      </c>
      <c r="B227">
        <v>144118967.45433044</v>
      </c>
      <c r="C227">
        <v>144055887.21269226</v>
      </c>
      <c r="D227">
        <v>36211.137307563797</v>
      </c>
      <c r="E227">
        <v>432356.9023630023</v>
      </c>
      <c r="F227">
        <v>2.1184629930716545E+19</v>
      </c>
      <c r="G227">
        <v>3201</v>
      </c>
      <c r="H227">
        <v>2.6089563895938456E-4</v>
      </c>
      <c r="I227">
        <v>3832.9502324708346</v>
      </c>
      <c r="J227">
        <f t="shared" si="56"/>
        <v>-5.3297335177647599E-2</v>
      </c>
      <c r="K227">
        <f t="shared" si="58"/>
        <v>-3.5883883774205136E-2</v>
      </c>
      <c r="L227">
        <f t="shared" si="59"/>
        <v>0.94796399759786532</v>
      </c>
      <c r="M227">
        <f t="shared" si="60"/>
        <v>1.0914844752677084</v>
      </c>
      <c r="N227" s="2">
        <v>0.11624586903315064</v>
      </c>
      <c r="O227" s="9">
        <v>0.85620890339508571</v>
      </c>
      <c r="P227">
        <f t="shared" si="52"/>
        <v>0</v>
      </c>
      <c r="Q227">
        <f t="shared" si="61"/>
        <v>0.34597607597450986</v>
      </c>
      <c r="R227">
        <f t="shared" si="53"/>
        <v>0.67737346393232145</v>
      </c>
      <c r="S227" s="9">
        <f t="shared" si="62"/>
        <v>0.83905147846581885</v>
      </c>
      <c r="T227">
        <v>0.83829999999999993</v>
      </c>
      <c r="U227">
        <v>0.8906533333333333</v>
      </c>
      <c r="V227">
        <v>0.50890521629568031</v>
      </c>
      <c r="W227" s="9">
        <v>1.0100782023374004</v>
      </c>
      <c r="X227">
        <f t="shared" si="54"/>
        <v>0.44552611308333839</v>
      </c>
      <c r="Y227">
        <f t="shared" si="63"/>
        <v>0.7698657317277865</v>
      </c>
      <c r="Z227">
        <f t="shared" si="57"/>
        <v>-5.3297335177647599E-2</v>
      </c>
      <c r="AA227">
        <f t="shared" si="64"/>
        <v>0.10189490533963008</v>
      </c>
      <c r="AB227">
        <f t="shared" si="68"/>
        <v>7.6582837588594715E-2</v>
      </c>
      <c r="AC227">
        <f t="shared" si="65"/>
        <v>0.67720308550781727</v>
      </c>
      <c r="AD227">
        <f t="shared" si="55"/>
        <v>3.1843112839397155E-4</v>
      </c>
      <c r="AE227">
        <f t="shared" si="66"/>
        <v>0.91484964437493643</v>
      </c>
      <c r="AF227">
        <f t="shared" si="67"/>
        <v>1.2688651751038726E-2</v>
      </c>
    </row>
    <row r="228" spans="1:32" x14ac:dyDescent="0.25">
      <c r="A228" s="6">
        <v>44548.333645833336</v>
      </c>
      <c r="B228">
        <v>247001388.49190521</v>
      </c>
      <c r="C228">
        <v>247027646.91575623</v>
      </c>
      <c r="D228">
        <v>64188.662579890341</v>
      </c>
      <c r="E228">
        <v>741004.16547571123</v>
      </c>
      <c r="F228">
        <v>2.2925073211716104E+19</v>
      </c>
      <c r="G228">
        <v>3208</v>
      </c>
      <c r="H228">
        <v>2.5217471897041719E-4</v>
      </c>
      <c r="I228">
        <v>3965.5045679551677</v>
      </c>
      <c r="J228">
        <f t="shared" si="56"/>
        <v>3.3998300113321292E-2</v>
      </c>
      <c r="K228">
        <f t="shared" si="58"/>
        <v>-1.3479127262918686E-2</v>
      </c>
      <c r="L228">
        <f t="shared" si="59"/>
        <v>1.2429903686250614</v>
      </c>
      <c r="M228">
        <f t="shared" si="60"/>
        <v>1.0990951345462139</v>
      </c>
      <c r="N228" s="2">
        <v>0.19368075877994595</v>
      </c>
      <c r="O228" s="9">
        <v>0.82600376976455347</v>
      </c>
      <c r="P228">
        <f t="shared" si="52"/>
        <v>0.63144103480249403</v>
      </c>
      <c r="Q228">
        <f t="shared" si="61"/>
        <v>0.36702411046792632</v>
      </c>
      <c r="R228">
        <f t="shared" si="53"/>
        <v>1.0384189557274244</v>
      </c>
      <c r="S228" s="9">
        <f t="shared" si="62"/>
        <v>0.84697529286050188</v>
      </c>
      <c r="T228">
        <v>0.81930000000000003</v>
      </c>
      <c r="U228">
        <v>0.88510666666666671</v>
      </c>
      <c r="V228">
        <v>0.48640445968716012</v>
      </c>
      <c r="W228" s="9">
        <v>1.000408632654922</v>
      </c>
      <c r="X228">
        <f t="shared" si="54"/>
        <v>0.94812722608350641</v>
      </c>
      <c r="Y228">
        <f t="shared" si="63"/>
        <v>0.7751956518806381</v>
      </c>
      <c r="Z228">
        <f t="shared" si="57"/>
        <v>3.3998300113321292E-2</v>
      </c>
      <c r="AA228">
        <f t="shared" si="64"/>
        <v>5.4997250183313542E-2</v>
      </c>
      <c r="AB228">
        <f t="shared" si="68"/>
        <v>7.5222905584061861E-2</v>
      </c>
      <c r="AC228">
        <f t="shared" si="65"/>
        <v>0.66809296317162492</v>
      </c>
      <c r="AD228">
        <f t="shared" si="55"/>
        <v>5.304914803447952E-4</v>
      </c>
      <c r="AE228">
        <f t="shared" si="66"/>
        <v>0.95447133265394657</v>
      </c>
      <c r="AF228">
        <f t="shared" si="67"/>
        <v>1.3568005787875093E-2</v>
      </c>
    </row>
    <row r="229" spans="1:32" x14ac:dyDescent="0.25">
      <c r="A229" s="6">
        <v>44549.333356481482</v>
      </c>
      <c r="B229">
        <v>91024254.939331055</v>
      </c>
      <c r="C229">
        <v>91012207.201766968</v>
      </c>
      <c r="D229">
        <v>23027.605417922139</v>
      </c>
      <c r="E229">
        <v>273072.76481798291</v>
      </c>
      <c r="F229">
        <v>2.3331791518772457E+19</v>
      </c>
      <c r="G229">
        <v>3214</v>
      </c>
      <c r="H229">
        <v>2.5420010620191884E-4</v>
      </c>
      <c r="I229">
        <v>3933.9086633019333</v>
      </c>
      <c r="J229">
        <f t="shared" si="56"/>
        <v>-7.9996000266638664E-3</v>
      </c>
      <c r="K229">
        <f t="shared" si="58"/>
        <v>-1.4657942540451708E-2</v>
      </c>
      <c r="L229">
        <f t="shared" si="59"/>
        <v>0.73400534604012435</v>
      </c>
      <c r="M229">
        <f t="shared" si="60"/>
        <v>1.0751835106792567</v>
      </c>
      <c r="N229" s="2">
        <v>6.799899329339977E-2</v>
      </c>
      <c r="O229" s="9">
        <v>0.78433434885441156</v>
      </c>
      <c r="P229">
        <f t="shared" si="52"/>
        <v>0</v>
      </c>
      <c r="Q229">
        <f t="shared" si="61"/>
        <v>0.33353021340701122</v>
      </c>
      <c r="R229">
        <f t="shared" si="53"/>
        <v>0.26992555218368092</v>
      </c>
      <c r="S229" s="9">
        <f t="shared" si="62"/>
        <v>0.81264905369033691</v>
      </c>
      <c r="T229">
        <v>0.85</v>
      </c>
      <c r="U229">
        <v>0.8865533333333333</v>
      </c>
      <c r="V229">
        <v>0.49175334396291098</v>
      </c>
      <c r="W229" s="9">
        <v>1.0049286686024164</v>
      </c>
      <c r="X229">
        <f t="shared" si="54"/>
        <v>0</v>
      </c>
      <c r="Y229">
        <f t="shared" si="63"/>
        <v>0.73089642632269036</v>
      </c>
      <c r="Z229">
        <f t="shared" si="57"/>
        <v>-7.9996000266638664E-3</v>
      </c>
      <c r="AA229">
        <f t="shared" si="64"/>
        <v>5.4597270181980427E-2</v>
      </c>
      <c r="AB229">
        <f t="shared" si="68"/>
        <v>7.4602936581995419E-2</v>
      </c>
      <c r="AC229">
        <f t="shared" si="65"/>
        <v>0.66391626187805197</v>
      </c>
      <c r="AD229">
        <f t="shared" si="55"/>
        <v>1.8628126033129561E-4</v>
      </c>
      <c r="AE229">
        <f t="shared" si="66"/>
        <v>0.9105601537162209</v>
      </c>
      <c r="AF229">
        <f t="shared" si="67"/>
        <v>1.2171400273445432E-2</v>
      </c>
    </row>
    <row r="230" spans="1:32" x14ac:dyDescent="0.25">
      <c r="A230" s="6">
        <v>44550.333541666667</v>
      </c>
      <c r="B230">
        <v>135280660.23681641</v>
      </c>
      <c r="C230">
        <v>135231882.01810455</v>
      </c>
      <c r="D230">
        <v>34605.644986055791</v>
      </c>
      <c r="E230">
        <v>405841.98071047664</v>
      </c>
      <c r="F230">
        <v>8.6561672736741417E+18</v>
      </c>
      <c r="G230">
        <v>3223</v>
      </c>
      <c r="H230">
        <v>2.6446787720317783E-4</v>
      </c>
      <c r="I230">
        <v>3781.1775500876752</v>
      </c>
      <c r="J230">
        <f t="shared" si="56"/>
        <v>-3.9598020131985767E-2</v>
      </c>
      <c r="K230">
        <f t="shared" si="58"/>
        <v>-5.4214231403405699E-2</v>
      </c>
      <c r="L230">
        <f t="shared" si="59"/>
        <v>1.4452649331750285</v>
      </c>
      <c r="M230">
        <f t="shared" si="60"/>
        <v>1.1018887711818681</v>
      </c>
      <c r="N230" s="2">
        <v>0.27003776086384129</v>
      </c>
      <c r="O230" s="9">
        <v>0.77784653639296863</v>
      </c>
      <c r="P230">
        <f t="shared" si="52"/>
        <v>1.0047754958713948</v>
      </c>
      <c r="Q230">
        <f t="shared" si="61"/>
        <v>0.36702272993605772</v>
      </c>
      <c r="R230">
        <f t="shared" si="53"/>
        <v>1.2996807085916131</v>
      </c>
      <c r="S230" s="9">
        <f t="shared" si="62"/>
        <v>0.85597174397672404</v>
      </c>
      <c r="T230">
        <v>0.86129999999999995</v>
      </c>
      <c r="U230">
        <v>0.8883633333333335</v>
      </c>
      <c r="V230">
        <v>0.49175334396291098</v>
      </c>
      <c r="W230" s="9">
        <v>1.0004507533936728</v>
      </c>
      <c r="X230">
        <f t="shared" si="54"/>
        <v>1.2878721198873939</v>
      </c>
      <c r="Y230">
        <f t="shared" si="63"/>
        <v>0.77382549698560343</v>
      </c>
      <c r="Z230">
        <f t="shared" si="57"/>
        <v>-3.9598020131985767E-2</v>
      </c>
      <c r="AA230">
        <f t="shared" si="64"/>
        <v>0.13329333544428557</v>
      </c>
      <c r="AB230">
        <f t="shared" si="68"/>
        <v>7.8196090260638548E-2</v>
      </c>
      <c r="AC230">
        <f t="shared" si="65"/>
        <v>0.68791949221807724</v>
      </c>
      <c r="AD230">
        <f t="shared" si="55"/>
        <v>7.395559428942074E-4</v>
      </c>
      <c r="AE230">
        <f t="shared" si="66"/>
        <v>0.87180182966650499</v>
      </c>
      <c r="AF230">
        <f t="shared" si="67"/>
        <v>1.1502625296189173E-2</v>
      </c>
    </row>
    <row r="231" spans="1:32" x14ac:dyDescent="0.25">
      <c r="A231" s="6">
        <v>44551.333495370367</v>
      </c>
      <c r="B231">
        <v>151066507.42961884</v>
      </c>
      <c r="C231">
        <v>151166273.0634079</v>
      </c>
      <c r="D231">
        <v>38576.37795176357</v>
      </c>
      <c r="E231">
        <v>453199.52228884399</v>
      </c>
      <c r="F231">
        <v>2.4404915757682917E+19</v>
      </c>
      <c r="G231">
        <v>3234</v>
      </c>
      <c r="H231">
        <v>2.4839567325937408E-4</v>
      </c>
      <c r="I231">
        <v>4025.8350190979481</v>
      </c>
      <c r="J231">
        <f t="shared" si="56"/>
        <v>6.2696865208977284E-2</v>
      </c>
      <c r="K231">
        <f t="shared" si="58"/>
        <v>-2.4882272206787875E-2</v>
      </c>
      <c r="L231">
        <f t="shared" si="59"/>
        <v>0.93074795837429347</v>
      </c>
      <c r="M231">
        <f t="shared" si="60"/>
        <v>1.1100196125394273</v>
      </c>
      <c r="N231" s="2">
        <v>0.11016960106234676</v>
      </c>
      <c r="O231" s="9">
        <v>0.77576120701655926</v>
      </c>
      <c r="P231">
        <f t="shared" si="52"/>
        <v>0</v>
      </c>
      <c r="Q231">
        <f t="shared" si="61"/>
        <v>0.36702272993605772</v>
      </c>
      <c r="R231">
        <f t="shared" si="53"/>
        <v>0.64048783428980205</v>
      </c>
      <c r="S231" s="9">
        <f t="shared" si="62"/>
        <v>0.87135089623629758</v>
      </c>
      <c r="T231">
        <v>0.8701000000000001</v>
      </c>
      <c r="U231">
        <v>0.88910333333333336</v>
      </c>
      <c r="V231">
        <v>0.47528536438416558</v>
      </c>
      <c r="W231" s="9">
        <v>0.99139267000755704</v>
      </c>
      <c r="X231">
        <f t="shared" si="54"/>
        <v>0.53181077256958953</v>
      </c>
      <c r="Y231">
        <f t="shared" si="63"/>
        <v>0.79155252273792309</v>
      </c>
      <c r="Z231">
        <f t="shared" si="57"/>
        <v>6.2696865208977284E-2</v>
      </c>
      <c r="AA231">
        <f t="shared" si="64"/>
        <v>7.4496275248306806E-2</v>
      </c>
      <c r="AB231">
        <f t="shared" si="68"/>
        <v>7.898938392994935E-2</v>
      </c>
      <c r="AC231">
        <f t="shared" si="65"/>
        <v>0.69315358356707701</v>
      </c>
      <c r="AD231">
        <f t="shared" si="55"/>
        <v>3.0178898058271273E-4</v>
      </c>
      <c r="AE231">
        <f t="shared" si="66"/>
        <v>0.96059923115280843</v>
      </c>
      <c r="AF231">
        <f t="shared" si="67"/>
        <v>1.3809861360171372E-2</v>
      </c>
    </row>
    <row r="232" spans="1:32" x14ac:dyDescent="0.25">
      <c r="A232" s="6">
        <v>44552.333356481482</v>
      </c>
      <c r="B232">
        <v>62867859.745361328</v>
      </c>
      <c r="C232">
        <v>62837008.50377655</v>
      </c>
      <c r="D232">
        <v>15668.834834972396</v>
      </c>
      <c r="E232">
        <v>188603.57923607528</v>
      </c>
      <c r="F232">
        <v>2.3719037005652902E+19</v>
      </c>
      <c r="G232">
        <v>3238</v>
      </c>
      <c r="H232">
        <v>2.5257850127169635E-4</v>
      </c>
      <c r="I232">
        <v>3959.165150498337</v>
      </c>
      <c r="J232">
        <f t="shared" si="56"/>
        <v>-1.6699165055660572E-2</v>
      </c>
      <c r="K232">
        <f t="shared" si="58"/>
        <v>-1.652068672915348E-2</v>
      </c>
      <c r="L232">
        <f t="shared" si="59"/>
        <v>0.5988611460474611</v>
      </c>
      <c r="M232">
        <f t="shared" si="60"/>
        <v>1.0922146503232579</v>
      </c>
      <c r="N232" s="2">
        <v>4.5659496072036503E-2</v>
      </c>
      <c r="O232" s="9">
        <v>0.76189939545580998</v>
      </c>
      <c r="P232">
        <f t="shared" si="52"/>
        <v>0</v>
      </c>
      <c r="Q232">
        <f t="shared" si="61"/>
        <v>0.35391858222179684</v>
      </c>
      <c r="R232">
        <f t="shared" si="53"/>
        <v>0</v>
      </c>
      <c r="S232" s="9">
        <f t="shared" si="62"/>
        <v>0.84090708705415118</v>
      </c>
      <c r="T232">
        <v>0.82590000000000008</v>
      </c>
      <c r="U232">
        <v>0.88570000000000004</v>
      </c>
      <c r="V232">
        <v>0.45615051623546538</v>
      </c>
      <c r="W232" s="9">
        <v>0.98300236079257863</v>
      </c>
      <c r="X232">
        <f t="shared" si="54"/>
        <v>0</v>
      </c>
      <c r="Y232">
        <f t="shared" si="63"/>
        <v>0.76137041818503171</v>
      </c>
      <c r="Z232">
        <f t="shared" si="57"/>
        <v>-1.6699165055660572E-2</v>
      </c>
      <c r="AA232">
        <f t="shared" si="64"/>
        <v>5.6897155189646498E-2</v>
      </c>
      <c r="AB232">
        <f t="shared" si="68"/>
        <v>7.9602686598660266E-2</v>
      </c>
      <c r="AC232">
        <f t="shared" si="65"/>
        <v>0.69718424189023243</v>
      </c>
      <c r="AD232">
        <f t="shared" si="55"/>
        <v>1.2508668612064099E-4</v>
      </c>
      <c r="AE232">
        <f t="shared" si="66"/>
        <v>0.95638208990334617</v>
      </c>
      <c r="AF232">
        <f t="shared" si="67"/>
        <v>1.3436388082278095E-2</v>
      </c>
    </row>
    <row r="233" spans="1:32" x14ac:dyDescent="0.25">
      <c r="A233" s="6">
        <v>44553.333379629628</v>
      </c>
      <c r="B233">
        <v>82998581.72984314</v>
      </c>
      <c r="C233">
        <v>82996867.194389343</v>
      </c>
      <c r="D233">
        <v>20923.426822913811</v>
      </c>
      <c r="E233">
        <v>248995.74518953264</v>
      </c>
      <c r="F233">
        <v>2.2022734194271592E+19</v>
      </c>
      <c r="G233">
        <v>3242</v>
      </c>
      <c r="H233">
        <v>2.5348937692573165E-4</v>
      </c>
      <c r="I233">
        <v>3944.9384906294677</v>
      </c>
      <c r="J233">
        <f t="shared" si="56"/>
        <v>-3.5998200119988747E-3</v>
      </c>
      <c r="K233">
        <f t="shared" si="58"/>
        <v>-1.2867850088778426E-2</v>
      </c>
      <c r="L233">
        <f t="shared" si="59"/>
        <v>0.72136623954430423</v>
      </c>
      <c r="M233">
        <f t="shared" si="60"/>
        <v>1.0749877949286828</v>
      </c>
      <c r="N233" s="2">
        <v>6.5549796899201193E-2</v>
      </c>
      <c r="O233" s="9">
        <v>0.73930552294383423</v>
      </c>
      <c r="P233">
        <f t="shared" si="52"/>
        <v>0</v>
      </c>
      <c r="Q233">
        <f t="shared" si="61"/>
        <v>0.3329278986432932</v>
      </c>
      <c r="R233">
        <f t="shared" si="53"/>
        <v>0.23079478453395874</v>
      </c>
      <c r="S233" s="9">
        <f t="shared" si="62"/>
        <v>0.81402112527600157</v>
      </c>
      <c r="T233">
        <v>0.8076000000000001</v>
      </c>
      <c r="U233">
        <v>0.88273333333333348</v>
      </c>
      <c r="V233">
        <v>0.43097273192888619</v>
      </c>
      <c r="W233" s="9">
        <v>0.96139228956312472</v>
      </c>
      <c r="X233">
        <f t="shared" si="54"/>
        <v>0</v>
      </c>
      <c r="Y233">
        <f t="shared" si="63"/>
        <v>0.72739728320565677</v>
      </c>
      <c r="Z233">
        <f t="shared" si="57"/>
        <v>-3.5998200119988747E-3</v>
      </c>
      <c r="AA233">
        <f t="shared" si="64"/>
        <v>4.8197590160649575E-2</v>
      </c>
      <c r="AB233">
        <f t="shared" si="68"/>
        <v>8.0352649101159995E-2</v>
      </c>
      <c r="AC233">
        <f t="shared" si="65"/>
        <v>0.70209439571146515</v>
      </c>
      <c r="AD233">
        <f t="shared" si="55"/>
        <v>1.7957236057390664E-4</v>
      </c>
      <c r="AE233">
        <f t="shared" si="66"/>
        <v>0.91989492696853059</v>
      </c>
      <c r="AF233">
        <f t="shared" si="67"/>
        <v>1.2451028977597867E-2</v>
      </c>
    </row>
    <row r="234" spans="1:32" x14ac:dyDescent="0.25">
      <c r="A234" s="6">
        <v>44554.33353009259</v>
      </c>
      <c r="B234">
        <v>74495052.916633606</v>
      </c>
      <c r="C234">
        <v>74544382.594772339</v>
      </c>
      <c r="D234">
        <v>18344.370114546269</v>
      </c>
      <c r="E234">
        <v>223485.15874990821</v>
      </c>
      <c r="F234">
        <v>2.2984232457628606E+19</v>
      </c>
      <c r="G234">
        <v>3247</v>
      </c>
      <c r="H234">
        <v>2.4496702910835951E-4</v>
      </c>
      <c r="I234">
        <v>4082.1820129828848</v>
      </c>
      <c r="J234">
        <f t="shared" si="56"/>
        <v>3.419829011398761E-2</v>
      </c>
      <c r="K234">
        <f t="shared" si="58"/>
        <v>-1.3496823283099325E-2</v>
      </c>
      <c r="L234">
        <f t="shared" si="59"/>
        <v>0.6661019464517266</v>
      </c>
      <c r="M234">
        <f t="shared" si="60"/>
        <v>1.0597131487880005</v>
      </c>
      <c r="N234" s="2">
        <v>5.6015554070628609E-2</v>
      </c>
      <c r="O234" s="9">
        <v>0.73670072341997972</v>
      </c>
      <c r="P234">
        <f t="shared" si="52"/>
        <v>0</v>
      </c>
      <c r="Q234">
        <f t="shared" si="61"/>
        <v>0.32073252130185531</v>
      </c>
      <c r="R234">
        <f t="shared" si="53"/>
        <v>0</v>
      </c>
      <c r="S234" s="9">
        <f t="shared" si="62"/>
        <v>0.78395729220864585</v>
      </c>
      <c r="T234">
        <v>0.82790000000000008</v>
      </c>
      <c r="U234">
        <v>0.87987666666666675</v>
      </c>
      <c r="V234">
        <v>0.41508586432585048</v>
      </c>
      <c r="W234" s="9">
        <v>0.9394531183176501</v>
      </c>
      <c r="X234">
        <f t="shared" si="54"/>
        <v>0</v>
      </c>
      <c r="Y234">
        <f t="shared" si="63"/>
        <v>0.69832192063162457</v>
      </c>
      <c r="Z234">
        <f t="shared" si="57"/>
        <v>3.419829011398761E-2</v>
      </c>
      <c r="AA234">
        <f t="shared" si="64"/>
        <v>4.9297535164315974E-2</v>
      </c>
      <c r="AB234">
        <f t="shared" si="68"/>
        <v>8.0812626102693172E-2</v>
      </c>
      <c r="AC234">
        <f t="shared" si="65"/>
        <v>0.70509588416142543</v>
      </c>
      <c r="AD234">
        <f t="shared" si="55"/>
        <v>1.5345549652928119E-4</v>
      </c>
      <c r="AE234">
        <f t="shared" si="66"/>
        <v>0.92063110053220543</v>
      </c>
      <c r="AF234">
        <f t="shared" si="67"/>
        <v>1.2177942369706818E-2</v>
      </c>
    </row>
    <row r="235" spans="1:32" x14ac:dyDescent="0.25">
      <c r="A235" s="6">
        <v>44555.333553240744</v>
      </c>
      <c r="B235">
        <v>75045824.654273987</v>
      </c>
      <c r="C235">
        <v>75045273.825767517</v>
      </c>
      <c r="D235">
        <v>18434.148758649826</v>
      </c>
      <c r="E235">
        <v>225137.47396281362</v>
      </c>
      <c r="F235">
        <v>2.2790110359845962E+19</v>
      </c>
      <c r="G235">
        <v>3247</v>
      </c>
      <c r="H235">
        <v>2.4437984250310219E-4</v>
      </c>
      <c r="I235">
        <v>4091.9905249030753</v>
      </c>
      <c r="J235">
        <f t="shared" si="56"/>
        <v>2.3998800079994402E-3</v>
      </c>
      <c r="K235">
        <f t="shared" si="58"/>
        <v>-2.8978972310553623E-2</v>
      </c>
      <c r="L235">
        <f t="shared" si="59"/>
        <v>0.65898758859747752</v>
      </c>
      <c r="M235">
        <f t="shared" si="60"/>
        <v>1.0562654780669984</v>
      </c>
      <c r="N235" s="2">
        <v>5.6837324244053369E-2</v>
      </c>
      <c r="O235" s="9">
        <v>0.73726453126783242</v>
      </c>
      <c r="P235">
        <f t="shared" si="52"/>
        <v>0</v>
      </c>
      <c r="Q235">
        <f t="shared" si="61"/>
        <v>0.32073252130185531</v>
      </c>
      <c r="R235">
        <f t="shared" si="53"/>
        <v>0</v>
      </c>
      <c r="S235" s="9">
        <f t="shared" si="62"/>
        <v>0.77140041168523799</v>
      </c>
      <c r="T235">
        <v>0.83319999999999994</v>
      </c>
      <c r="U235">
        <v>0.88027333333333346</v>
      </c>
      <c r="V235">
        <v>0.37201494386766965</v>
      </c>
      <c r="W235" s="9">
        <v>0.90131770674581457</v>
      </c>
      <c r="X235">
        <f t="shared" si="54"/>
        <v>0</v>
      </c>
      <c r="Y235">
        <f t="shared" si="63"/>
        <v>0.68940101546174803</v>
      </c>
      <c r="Z235">
        <f t="shared" si="57"/>
        <v>2.3998800079994402E-3</v>
      </c>
      <c r="AA235">
        <f t="shared" si="64"/>
        <v>8.0295985267637801E-2</v>
      </c>
      <c r="AB235">
        <f t="shared" si="68"/>
        <v>8.1822575606059475E-2</v>
      </c>
      <c r="AC235">
        <f t="shared" si="65"/>
        <v>0.71165947916388628</v>
      </c>
      <c r="AD235">
        <f t="shared" si="55"/>
        <v>1.5570657366132209E-4</v>
      </c>
      <c r="AE235">
        <f t="shared" si="66"/>
        <v>1.0121728888315316</v>
      </c>
      <c r="AF235">
        <f t="shared" si="67"/>
        <v>1.296984239160115E-2</v>
      </c>
    </row>
    <row r="236" spans="1:32" x14ac:dyDescent="0.25">
      <c r="A236" s="6">
        <v>44556.333414351851</v>
      </c>
      <c r="B236">
        <v>57904518.525001526</v>
      </c>
      <c r="C236">
        <v>57881296.984390259</v>
      </c>
      <c r="D236">
        <v>14223.619975784793</v>
      </c>
      <c r="E236">
        <v>173713.55557501316</v>
      </c>
      <c r="F236">
        <v>2.277252892796559E+19</v>
      </c>
      <c r="G236">
        <v>3246</v>
      </c>
      <c r="H236">
        <v>2.4770117285297598E-4</v>
      </c>
      <c r="I236">
        <v>4037.1225880046759</v>
      </c>
      <c r="J236">
        <f t="shared" si="56"/>
        <v>-1.3499325044995202E-2</v>
      </c>
      <c r="K236">
        <f t="shared" si="58"/>
        <v>9.6029388285839082E-3</v>
      </c>
      <c r="L236">
        <f t="shared" si="59"/>
        <v>0.58864785223181892</v>
      </c>
      <c r="M236">
        <f t="shared" si="60"/>
        <v>1.0157978483273082</v>
      </c>
      <c r="N236" s="2">
        <v>4.3593777318257775E-2</v>
      </c>
      <c r="O236" s="9">
        <v>0.70810167803639923</v>
      </c>
      <c r="P236">
        <f t="shared" si="52"/>
        <v>0</v>
      </c>
      <c r="Q236">
        <f t="shared" si="61"/>
        <v>0.27236209274942869</v>
      </c>
      <c r="R236">
        <f t="shared" si="53"/>
        <v>0</v>
      </c>
      <c r="S236" s="9">
        <f t="shared" si="62"/>
        <v>0.71576943840103979</v>
      </c>
      <c r="T236">
        <v>0.77229999999999999</v>
      </c>
      <c r="U236">
        <v>0.87622000000000011</v>
      </c>
      <c r="V236">
        <v>0.36090775359836325</v>
      </c>
      <c r="W236" s="9">
        <v>0.89195752384926363</v>
      </c>
      <c r="X236">
        <f t="shared" si="54"/>
        <v>0</v>
      </c>
      <c r="Y236">
        <f t="shared" si="63"/>
        <v>0.63147299196128215</v>
      </c>
      <c r="Z236">
        <f t="shared" si="57"/>
        <v>-1.3499325044995202E-2</v>
      </c>
      <c r="AA236">
        <f t="shared" si="64"/>
        <v>1.3999300046663391E-3</v>
      </c>
      <c r="AB236">
        <f t="shared" si="68"/>
        <v>8.1512591105026247E-2</v>
      </c>
      <c r="AC236">
        <f t="shared" si="65"/>
        <v>0.70964878447325874</v>
      </c>
      <c r="AD236">
        <f t="shared" si="55"/>
        <v>1.1942787455884534E-4</v>
      </c>
      <c r="AE236">
        <f t="shared" si="66"/>
        <v>0.9787305295337666</v>
      </c>
      <c r="AF236">
        <f t="shared" si="67"/>
        <v>1.1922314430024672E-2</v>
      </c>
    </row>
    <row r="237" spans="1:32" x14ac:dyDescent="0.25">
      <c r="A237" s="6">
        <v>44557.333460648151</v>
      </c>
      <c r="B237">
        <v>33573768.25415802</v>
      </c>
      <c r="C237">
        <v>33587511.774299622</v>
      </c>
      <c r="D237">
        <v>8254.0546964034438</v>
      </c>
      <c r="E237">
        <v>100721.30476248264</v>
      </c>
      <c r="F237">
        <v>2.2897555177474822E+19</v>
      </c>
      <c r="G237">
        <v>3255</v>
      </c>
      <c r="H237">
        <v>2.4506503061900444E-4</v>
      </c>
      <c r="I237">
        <v>4080.5495483142645</v>
      </c>
      <c r="J237">
        <f t="shared" si="56"/>
        <v>1.069946503566278E-2</v>
      </c>
      <c r="K237">
        <f t="shared" si="58"/>
        <v>4.8477796061526211E-3</v>
      </c>
      <c r="L237">
        <f t="shared" si="59"/>
        <v>0.44920447660564444</v>
      </c>
      <c r="M237">
        <f t="shared" si="60"/>
        <v>0.9971049127546181</v>
      </c>
      <c r="N237" s="2">
        <v>2.5294564763619794E-2</v>
      </c>
      <c r="O237" s="9">
        <v>0.70619553598277807</v>
      </c>
      <c r="P237">
        <f t="shared" si="52"/>
        <v>0</v>
      </c>
      <c r="Q237">
        <f t="shared" si="61"/>
        <v>0.27236209274942869</v>
      </c>
      <c r="R237">
        <f t="shared" si="53"/>
        <v>0</v>
      </c>
      <c r="S237" s="9">
        <f t="shared" si="62"/>
        <v>0.69104639514816957</v>
      </c>
      <c r="T237">
        <v>0.82250000000000001</v>
      </c>
      <c r="U237">
        <v>0.87390333333333348</v>
      </c>
      <c r="V237">
        <v>0.35283968580518149</v>
      </c>
      <c r="W237" s="9">
        <v>0.88759200891810441</v>
      </c>
      <c r="X237">
        <f t="shared" si="54"/>
        <v>0</v>
      </c>
      <c r="Y237">
        <f t="shared" si="63"/>
        <v>0.60624389877908014</v>
      </c>
      <c r="Z237">
        <f t="shared" si="57"/>
        <v>1.069946503566278E-2</v>
      </c>
      <c r="AA237">
        <f t="shared" si="64"/>
        <v>1.0799460035996262E-2</v>
      </c>
      <c r="AB237">
        <f t="shared" si="68"/>
        <v>8.1699248438981742E-2</v>
      </c>
      <c r="AC237">
        <f t="shared" si="65"/>
        <v>0.71085993492018917</v>
      </c>
      <c r="AD237">
        <f t="shared" si="55"/>
        <v>6.9297776288197783E-5</v>
      </c>
      <c r="AE237">
        <f t="shared" si="66"/>
        <v>0.99750324707704652</v>
      </c>
      <c r="AF237">
        <f t="shared" si="67"/>
        <v>1.1696289412169714E-2</v>
      </c>
    </row>
    <row r="238" spans="1:32" x14ac:dyDescent="0.25">
      <c r="A238" s="6">
        <v>44558.333402777775</v>
      </c>
      <c r="B238">
        <v>65118812.110900879</v>
      </c>
      <c r="C238">
        <v>65064483.869926453</v>
      </c>
      <c r="D238">
        <v>16304.817751679569</v>
      </c>
      <c r="E238">
        <v>195356.43633267283</v>
      </c>
      <c r="F238">
        <v>2.19625050119018E+19</v>
      </c>
      <c r="G238">
        <v>3253</v>
      </c>
      <c r="H238">
        <v>2.5516785577854242E-4</v>
      </c>
      <c r="I238">
        <v>3918.9889218173694</v>
      </c>
      <c r="J238">
        <f t="shared" si="56"/>
        <v>-4.0397980134652352E-2</v>
      </c>
      <c r="K238">
        <f t="shared" si="58"/>
        <v>-1.0958045624394331E-2</v>
      </c>
      <c r="L238">
        <f t="shared" si="59"/>
        <v>0.63678269878543226</v>
      </c>
      <c r="M238">
        <f t="shared" si="60"/>
        <v>0.98781732594434124</v>
      </c>
      <c r="N238" s="2">
        <v>5.1051763430224467E-2</v>
      </c>
      <c r="O238" s="9">
        <v>0.71453219294778925</v>
      </c>
      <c r="P238">
        <f t="shared" si="52"/>
        <v>0</v>
      </c>
      <c r="Q238">
        <f t="shared" si="61"/>
        <v>0.27236209274942869</v>
      </c>
      <c r="R238">
        <f t="shared" si="53"/>
        <v>0</v>
      </c>
      <c r="S238" s="9">
        <f t="shared" si="62"/>
        <v>0.67068431984764199</v>
      </c>
      <c r="T238">
        <v>0.79090000000000005</v>
      </c>
      <c r="U238">
        <v>0.87127333333333346</v>
      </c>
      <c r="V238">
        <v>0.36724967362571481</v>
      </c>
      <c r="W238" s="9">
        <v>0.89229508165434013</v>
      </c>
      <c r="X238">
        <f t="shared" si="54"/>
        <v>0</v>
      </c>
      <c r="Y238">
        <f t="shared" si="63"/>
        <v>0.58595000605696224</v>
      </c>
      <c r="Z238">
        <f t="shared" si="57"/>
        <v>-4.0397980134652352E-2</v>
      </c>
      <c r="AA238">
        <f t="shared" si="64"/>
        <v>4.289785514298497E-2</v>
      </c>
      <c r="AB238">
        <f t="shared" si="68"/>
        <v>8.1399263437981859E-2</v>
      </c>
      <c r="AC238">
        <f t="shared" si="65"/>
        <v>0.70891283725832321</v>
      </c>
      <c r="AD238">
        <f t="shared" si="55"/>
        <v>1.3985806441935624E-4</v>
      </c>
      <c r="AE238">
        <f t="shared" si="66"/>
        <v>0.90865007917573704</v>
      </c>
      <c r="AF238">
        <f t="shared" si="67"/>
        <v>1.038687996448906E-2</v>
      </c>
    </row>
    <row r="239" spans="1:32" x14ac:dyDescent="0.25">
      <c r="A239" s="6">
        <v>44559.333379629628</v>
      </c>
      <c r="B239">
        <v>76421014.772361755</v>
      </c>
      <c r="C239">
        <v>76365949.428009033</v>
      </c>
      <c r="D239">
        <v>19946.087719289586</v>
      </c>
      <c r="E239">
        <v>229263.04431711137</v>
      </c>
      <c r="F239">
        <v>8.2077521468671846E+18</v>
      </c>
      <c r="G239">
        <v>3254</v>
      </c>
      <c r="H239">
        <v>2.6766044922696056E-4</v>
      </c>
      <c r="I239">
        <v>3736.0768200461994</v>
      </c>
      <c r="J239">
        <f t="shared" si="56"/>
        <v>-4.7797610159316037E-2</v>
      </c>
      <c r="K239">
        <f t="shared" si="58"/>
        <v>-6.1282656192347726E-2</v>
      </c>
      <c r="L239">
        <f t="shared" si="59"/>
        <v>1.1017990056852505</v>
      </c>
      <c r="M239">
        <f t="shared" si="60"/>
        <v>0.98495222456805132</v>
      </c>
      <c r="N239" s="2">
        <v>0.16316651772562385</v>
      </c>
      <c r="O239" s="9">
        <v>0.71531067629297462</v>
      </c>
      <c r="P239">
        <f t="shared" si="52"/>
        <v>0.39319696336297871</v>
      </c>
      <c r="Q239">
        <f t="shared" si="61"/>
        <v>0.2684338094347552</v>
      </c>
      <c r="R239">
        <f t="shared" si="53"/>
        <v>0.91334549825323919</v>
      </c>
      <c r="S239" s="9">
        <f t="shared" si="62"/>
        <v>0.66879817997342961</v>
      </c>
      <c r="T239">
        <v>0.85400000000000009</v>
      </c>
      <c r="U239">
        <v>0.87261000000000011</v>
      </c>
      <c r="V239">
        <v>0.35815195939708572</v>
      </c>
      <c r="W239" s="9">
        <v>0.88636601295966078</v>
      </c>
      <c r="X239">
        <f t="shared" si="54"/>
        <v>0.90567833868427106</v>
      </c>
      <c r="Y239">
        <f t="shared" si="63"/>
        <v>0.58349684519909506</v>
      </c>
      <c r="Z239">
        <f t="shared" si="57"/>
        <v>-4.7797610159316037E-2</v>
      </c>
      <c r="AA239">
        <f t="shared" si="64"/>
        <v>0.14359282047861516</v>
      </c>
      <c r="AB239">
        <f t="shared" si="68"/>
        <v>8.597236811989134E-2</v>
      </c>
      <c r="AC239">
        <f t="shared" si="65"/>
        <v>0.73825308351590413</v>
      </c>
      <c r="AD239">
        <f t="shared" si="55"/>
        <v>4.4693166657469048E-4</v>
      </c>
      <c r="AE239">
        <f t="shared" si="66"/>
        <v>0.81270293428442542</v>
      </c>
      <c r="AF239">
        <f t="shared" si="67"/>
        <v>6.0952826005735705E-3</v>
      </c>
    </row>
    <row r="240" spans="1:32" x14ac:dyDescent="0.25">
      <c r="A240" s="6">
        <v>44560.333472222221</v>
      </c>
      <c r="B240">
        <v>78164718.677124023</v>
      </c>
      <c r="C240">
        <v>78155981.297180176</v>
      </c>
      <c r="D240">
        <v>21206.99967328459</v>
      </c>
      <c r="E240">
        <v>234494.15603135526</v>
      </c>
      <c r="F240">
        <v>8.5665348508209439E+18</v>
      </c>
      <c r="G240">
        <v>3242</v>
      </c>
      <c r="H240">
        <v>2.674999091511331E-4</v>
      </c>
      <c r="I240">
        <v>3738.3190266244774</v>
      </c>
      <c r="J240">
        <f t="shared" si="56"/>
        <v>5.9997000199981645E-4</v>
      </c>
      <c r="K240">
        <f t="shared" si="58"/>
        <v>-9.3242806062880643E-2</v>
      </c>
      <c r="L240">
        <f t="shared" si="59"/>
        <v>1.0576579849247107</v>
      </c>
      <c r="M240">
        <f t="shared" si="60"/>
        <v>0.99041283181398165</v>
      </c>
      <c r="N240" s="2">
        <v>0.16626539911792573</v>
      </c>
      <c r="O240" s="9">
        <v>0.70289770358977111</v>
      </c>
      <c r="P240">
        <f t="shared" si="52"/>
        <v>0.42355035490043297</v>
      </c>
      <c r="Q240">
        <f t="shared" si="61"/>
        <v>0.28255215459810296</v>
      </c>
      <c r="R240">
        <f t="shared" si="53"/>
        <v>0.92681770069300728</v>
      </c>
      <c r="S240" s="9">
        <f t="shared" si="62"/>
        <v>0.67864860471700794</v>
      </c>
      <c r="T240">
        <v>0.84129999999999994</v>
      </c>
      <c r="U240">
        <v>0.8724833333333335</v>
      </c>
      <c r="V240">
        <v>0.36574792168536358</v>
      </c>
      <c r="W240" s="9">
        <v>0.89029038029825325</v>
      </c>
      <c r="X240">
        <f t="shared" si="54"/>
        <v>0.93036842051635427</v>
      </c>
      <c r="Y240">
        <f t="shared" si="63"/>
        <v>0.59428425976018828</v>
      </c>
      <c r="Z240">
        <f t="shared" si="57"/>
        <v>5.9997000199981645E-4</v>
      </c>
      <c r="AA240">
        <f t="shared" si="64"/>
        <v>0.20678966068925883</v>
      </c>
      <c r="AB240">
        <f t="shared" si="68"/>
        <v>8.9965501799867689E-2</v>
      </c>
      <c r="AC240">
        <f t="shared" si="65"/>
        <v>0.76329239414435912</v>
      </c>
      <c r="AD240">
        <f t="shared" si="55"/>
        <v>4.5541792293229093E-4</v>
      </c>
      <c r="AE240">
        <f t="shared" si="66"/>
        <v>0.79884465951385375</v>
      </c>
      <c r="AF240">
        <f t="shared" si="67"/>
        <v>5.3234203209482356E-3</v>
      </c>
    </row>
    <row r="241" spans="1:32" x14ac:dyDescent="0.25">
      <c r="A241" s="6">
        <v>44561.333483796298</v>
      </c>
      <c r="B241">
        <v>82849511.941604614</v>
      </c>
      <c r="C241">
        <v>82892873.990478516</v>
      </c>
      <c r="D241">
        <v>22170.413012539968</v>
      </c>
      <c r="E241">
        <v>248548.5358248204</v>
      </c>
      <c r="F241">
        <v>9.5064546320188518E+18</v>
      </c>
      <c r="G241">
        <v>3237</v>
      </c>
      <c r="H241">
        <v>2.6409789971832543E-4</v>
      </c>
      <c r="I241">
        <v>3786.4746409060945</v>
      </c>
      <c r="J241">
        <f t="shared" si="56"/>
        <v>1.2799360042661937E-2</v>
      </c>
      <c r="K241">
        <f t="shared" si="58"/>
        <v>-9.5743749767416356E-2</v>
      </c>
      <c r="L241">
        <f t="shared" si="59"/>
        <v>1.0188881267323036</v>
      </c>
      <c r="M241">
        <f t="shared" si="60"/>
        <v>0.97970630457742192</v>
      </c>
      <c r="N241" s="2">
        <v>0.15763853313001813</v>
      </c>
      <c r="O241" s="9">
        <v>0.70286070585137017</v>
      </c>
      <c r="P241">
        <f t="shared" si="52"/>
        <v>0.33223481941696281</v>
      </c>
      <c r="Q241">
        <f t="shared" si="61"/>
        <v>0.26562776515047443</v>
      </c>
      <c r="R241">
        <f t="shared" si="53"/>
        <v>0.88880600943884935</v>
      </c>
      <c r="S241" s="9">
        <f t="shared" si="62"/>
        <v>0.669044816549206</v>
      </c>
      <c r="T241">
        <v>0.72840000000000005</v>
      </c>
      <c r="U241">
        <v>0.86831666666666685</v>
      </c>
      <c r="V241">
        <v>0.36574792168536358</v>
      </c>
      <c r="W241" s="9">
        <v>0.885595871439951</v>
      </c>
      <c r="X241">
        <f t="shared" si="54"/>
        <v>0.88990136949239784</v>
      </c>
      <c r="Y241">
        <f t="shared" si="63"/>
        <v>0.58415225986227703</v>
      </c>
      <c r="Z241">
        <f t="shared" si="57"/>
        <v>1.2799360042661937E-2</v>
      </c>
      <c r="AA241">
        <f t="shared" si="64"/>
        <v>0.21178941070592394</v>
      </c>
      <c r="AB241">
        <f t="shared" si="68"/>
        <v>9.4398613481310553E-2</v>
      </c>
      <c r="AC241">
        <f t="shared" si="65"/>
        <v>0.79048821926575275</v>
      </c>
      <c r="AD241">
        <f t="shared" si="55"/>
        <v>4.3179315605320105E-4</v>
      </c>
      <c r="AE241">
        <f t="shared" si="66"/>
        <v>0.83469326777364583</v>
      </c>
      <c r="AF241">
        <f t="shared" si="67"/>
        <v>7.348650886693564E-3</v>
      </c>
    </row>
    <row r="242" spans="1:32" x14ac:dyDescent="0.25">
      <c r="A242" s="6">
        <v>44562.333356481482</v>
      </c>
      <c r="B242">
        <v>66548638.770423889</v>
      </c>
      <c r="C242">
        <v>66539774.924034119</v>
      </c>
      <c r="D242">
        <v>17977.857149543241</v>
      </c>
      <c r="E242">
        <v>199645.91631127894</v>
      </c>
      <c r="F242">
        <v>9.7661619831022019E+18</v>
      </c>
      <c r="G242">
        <v>3246</v>
      </c>
      <c r="H242">
        <v>2.6972928604638891E-4</v>
      </c>
      <c r="I242">
        <v>3707.4209280634686</v>
      </c>
      <c r="J242">
        <f t="shared" si="56"/>
        <v>-2.1098945070325659E-2</v>
      </c>
      <c r="K242">
        <f t="shared" si="58"/>
        <v>-9.0536718551017331E-2</v>
      </c>
      <c r="L242">
        <f t="shared" si="59"/>
        <v>0.88633808056590824</v>
      </c>
      <c r="M242">
        <f t="shared" si="60"/>
        <v>0.97644893147599121</v>
      </c>
      <c r="N242" s="2">
        <v>0.12312311810422934</v>
      </c>
      <c r="O242" s="9">
        <v>0.71000060343890792</v>
      </c>
      <c r="P242">
        <f t="shared" si="52"/>
        <v>0</v>
      </c>
      <c r="Q242">
        <f t="shared" si="61"/>
        <v>0.26562776515047443</v>
      </c>
      <c r="R242">
        <f t="shared" si="53"/>
        <v>0.71683526852987745</v>
      </c>
      <c r="S242" s="9">
        <f t="shared" si="62"/>
        <v>0.66918406556187526</v>
      </c>
      <c r="T242">
        <v>0.69019999999999992</v>
      </c>
      <c r="U242">
        <v>0.86253000000000024</v>
      </c>
      <c r="V242">
        <v>0.34610949187888018</v>
      </c>
      <c r="W242" s="9">
        <v>0.86851176508657191</v>
      </c>
      <c r="X242">
        <f t="shared" si="54"/>
        <v>0.70042584882833447</v>
      </c>
      <c r="Y242">
        <f t="shared" si="63"/>
        <v>0.58347049109485538</v>
      </c>
      <c r="Z242">
        <f t="shared" si="57"/>
        <v>-2.1098945070325659E-2</v>
      </c>
      <c r="AA242">
        <f t="shared" si="64"/>
        <v>0.20178991067259411</v>
      </c>
      <c r="AB242">
        <f t="shared" si="68"/>
        <v>0.10037498133456395</v>
      </c>
      <c r="AC242">
        <f t="shared" si="65"/>
        <v>0.82620082035090425</v>
      </c>
      <c r="AD242">
        <f t="shared" si="55"/>
        <v>3.3726673042628426E-4</v>
      </c>
      <c r="AE242">
        <f t="shared" si="66"/>
        <v>0.80437547048402813</v>
      </c>
      <c r="AF242">
        <f t="shared" si="67"/>
        <v>5.5026133447473313E-3</v>
      </c>
    </row>
    <row r="243" spans="1:32" x14ac:dyDescent="0.25">
      <c r="A243" s="6">
        <v>44563.333969907406</v>
      </c>
      <c r="B243">
        <v>26534847.515762329</v>
      </c>
      <c r="C243">
        <v>26542850.267181396</v>
      </c>
      <c r="D243">
        <v>7099.3467913921922</v>
      </c>
      <c r="E243">
        <v>79604.542547285557</v>
      </c>
      <c r="F243">
        <v>9.7644938022199132E+18</v>
      </c>
      <c r="G243">
        <v>3241</v>
      </c>
      <c r="H243">
        <v>2.6699216721799408E-4</v>
      </c>
      <c r="I243">
        <v>3745.4282289244793</v>
      </c>
      <c r="J243">
        <f t="shared" si="56"/>
        <v>1.0199490033996447E-2</v>
      </c>
      <c r="K243">
        <f t="shared" si="58"/>
        <v>-9.4272414935886062E-2</v>
      </c>
      <c r="L243">
        <f t="shared" si="59"/>
        <v>0.41814201842659765</v>
      </c>
      <c r="M243">
        <f t="shared" si="60"/>
        <v>0.96072274521079726</v>
      </c>
      <c r="N243" s="2">
        <v>4.8877507591566657E-2</v>
      </c>
      <c r="O243" s="9">
        <v>0.67896246701538465</v>
      </c>
      <c r="P243">
        <f t="shared" si="52"/>
        <v>0</v>
      </c>
      <c r="Q243">
        <f t="shared" si="61"/>
        <v>0.26562776515047443</v>
      </c>
      <c r="R243">
        <f t="shared" si="53"/>
        <v>0</v>
      </c>
      <c r="S243" s="9">
        <f t="shared" si="62"/>
        <v>0.65015244860266574</v>
      </c>
      <c r="T243">
        <v>0.71069999999999989</v>
      </c>
      <c r="U243">
        <v>0.85669333333333364</v>
      </c>
      <c r="V243">
        <v>0.28851643520318132</v>
      </c>
      <c r="W243" s="9">
        <v>0.83007581159650656</v>
      </c>
      <c r="X243">
        <f t="shared" si="54"/>
        <v>0</v>
      </c>
      <c r="Y243">
        <f t="shared" si="63"/>
        <v>0.56590616137343164</v>
      </c>
      <c r="Z243">
        <f t="shared" si="57"/>
        <v>1.0199490033996447E-2</v>
      </c>
      <c r="AA243">
        <f t="shared" si="64"/>
        <v>0.20748962569159202</v>
      </c>
      <c r="AB243">
        <f t="shared" si="68"/>
        <v>0.10703798152343932</v>
      </c>
      <c r="AC243">
        <f t="shared" si="65"/>
        <v>0.86480699227245661</v>
      </c>
      <c r="AD243">
        <f t="shared" si="55"/>
        <v>1.3390201442805915E-4</v>
      </c>
      <c r="AE243">
        <f t="shared" si="66"/>
        <v>0.95561732841424141</v>
      </c>
      <c r="AF243">
        <f t="shared" si="67"/>
        <v>1.1063549927538663E-2</v>
      </c>
    </row>
    <row r="244" spans="1:32" x14ac:dyDescent="0.25">
      <c r="A244" s="6">
        <v>44564.33353009259</v>
      </c>
      <c r="B244">
        <v>34415579.725761414</v>
      </c>
      <c r="C244">
        <v>34439496.151329041</v>
      </c>
      <c r="D244">
        <v>9039.2648406196386</v>
      </c>
      <c r="E244">
        <v>103246.73917728662</v>
      </c>
      <c r="F244">
        <v>2.0763198450144772E+19</v>
      </c>
      <c r="G244">
        <v>3254</v>
      </c>
      <c r="H244">
        <v>2.6110442853594291E-4</v>
      </c>
      <c r="I244">
        <v>3829.8852516871148</v>
      </c>
      <c r="J244">
        <f t="shared" si="56"/>
        <v>2.229888507432538E-2</v>
      </c>
      <c r="K244">
        <f t="shared" si="58"/>
        <v>-2.1354364349660815E-3</v>
      </c>
      <c r="L244">
        <f t="shared" si="59"/>
        <v>0.48646757282001868</v>
      </c>
      <c r="M244">
        <f t="shared" si="60"/>
        <v>0.91052424852820502</v>
      </c>
      <c r="N244" s="2">
        <v>2.9595207693045418E-2</v>
      </c>
      <c r="O244" s="9">
        <v>0.67686580923039419</v>
      </c>
      <c r="P244">
        <f t="shared" si="52"/>
        <v>0</v>
      </c>
      <c r="Q244">
        <f t="shared" si="61"/>
        <v>0.20879766149447854</v>
      </c>
      <c r="R244">
        <f t="shared" si="53"/>
        <v>0</v>
      </c>
      <c r="S244" s="9">
        <f t="shared" si="62"/>
        <v>0.58702743365808918</v>
      </c>
      <c r="T244">
        <v>0.70169999999999999</v>
      </c>
      <c r="U244">
        <v>0.85029333333333346</v>
      </c>
      <c r="V244">
        <v>0.27753318065520521</v>
      </c>
      <c r="W244" s="9">
        <v>0.82477457403511278</v>
      </c>
      <c r="X244">
        <f t="shared" si="54"/>
        <v>0</v>
      </c>
      <c r="Y244">
        <f t="shared" si="63"/>
        <v>0.49857609810166742</v>
      </c>
      <c r="Z244">
        <f t="shared" si="57"/>
        <v>2.229888507432538E-2</v>
      </c>
      <c r="AA244">
        <f t="shared" si="64"/>
        <v>2.3098845076991743E-2</v>
      </c>
      <c r="AB244">
        <f t="shared" si="68"/>
        <v>0.10308484584359628</v>
      </c>
      <c r="AC244">
        <f t="shared" si="65"/>
        <v>0.84205118266332368</v>
      </c>
      <c r="AD244">
        <f t="shared" si="55"/>
        <v>8.1079473773505278E-5</v>
      </c>
      <c r="AE244">
        <f t="shared" si="66"/>
        <v>0.90384721273364044</v>
      </c>
      <c r="AF244">
        <f t="shared" si="67"/>
        <v>8.7136743580484843E-3</v>
      </c>
    </row>
    <row r="245" spans="1:32" x14ac:dyDescent="0.25">
      <c r="A245" s="6">
        <v>44565.333483796298</v>
      </c>
      <c r="B245">
        <v>49495698.295593262</v>
      </c>
      <c r="C245">
        <v>49491116.399581909</v>
      </c>
      <c r="D245">
        <v>13141.160970350727</v>
      </c>
      <c r="E245">
        <v>148487.09488677979</v>
      </c>
      <c r="F245">
        <v>2.1071998507161264E+19</v>
      </c>
      <c r="G245">
        <v>3259</v>
      </c>
      <c r="H245">
        <v>2.6141792623656478E-4</v>
      </c>
      <c r="I245">
        <v>3825.2923753020309</v>
      </c>
      <c r="J245">
        <f t="shared" si="56"/>
        <v>-1.1999400039997075E-3</v>
      </c>
      <c r="K245">
        <f t="shared" si="58"/>
        <v>-4.1823840857238684E-2</v>
      </c>
      <c r="L245">
        <f t="shared" si="59"/>
        <v>0.54441876813065959</v>
      </c>
      <c r="M245">
        <f t="shared" si="60"/>
        <v>0.89309138202523786</v>
      </c>
      <c r="N245" s="2">
        <v>4.2369172370501328E-2</v>
      </c>
      <c r="O245" s="9">
        <v>0.67360865610369303</v>
      </c>
      <c r="P245">
        <f t="shared" si="52"/>
        <v>0</v>
      </c>
      <c r="Q245">
        <f t="shared" si="61"/>
        <v>0.20879766149447854</v>
      </c>
      <c r="R245">
        <f t="shared" si="53"/>
        <v>0</v>
      </c>
      <c r="S245" s="9">
        <f t="shared" si="62"/>
        <v>0.55961478796226538</v>
      </c>
      <c r="T245">
        <v>0.67290000000000005</v>
      </c>
      <c r="U245">
        <v>0.84196666666666686</v>
      </c>
      <c r="V245">
        <v>0.29529053171693409</v>
      </c>
      <c r="W245" s="9">
        <v>0.83932179532458773</v>
      </c>
      <c r="X245">
        <f t="shared" si="54"/>
        <v>0</v>
      </c>
      <c r="Y245">
        <f t="shared" si="63"/>
        <v>0.47207517391868647</v>
      </c>
      <c r="Z245">
        <f t="shared" si="57"/>
        <v>-1.1999400039997075E-3</v>
      </c>
      <c r="AA245">
        <f t="shared" si="64"/>
        <v>0.10229488534096326</v>
      </c>
      <c r="AB245">
        <f t="shared" si="68"/>
        <v>0.10455143918181799</v>
      </c>
      <c r="AC245">
        <f t="shared" si="65"/>
        <v>0.85054348477895225</v>
      </c>
      <c r="AD245">
        <f t="shared" si="55"/>
        <v>1.1607318754965304E-4</v>
      </c>
      <c r="AE245">
        <f t="shared" si="66"/>
        <v>0.94129661624655592</v>
      </c>
      <c r="AF245">
        <f t="shared" si="67"/>
        <v>9.2613079276793187E-3</v>
      </c>
    </row>
    <row r="246" spans="1:32" x14ac:dyDescent="0.25">
      <c r="A246" s="6">
        <v>44566.333425925928</v>
      </c>
      <c r="B246">
        <v>55043806.35912323</v>
      </c>
      <c r="C246">
        <v>55036672.539329529</v>
      </c>
      <c r="D246">
        <v>14394.604660518467</v>
      </c>
      <c r="E246">
        <v>165131.41907736659</v>
      </c>
      <c r="F246">
        <v>1.0364822115606446E+19</v>
      </c>
      <c r="G246">
        <v>3263</v>
      </c>
      <c r="H246">
        <v>2.6462659760497105E-4</v>
      </c>
      <c r="I246">
        <v>3778.9096373932098</v>
      </c>
      <c r="J246">
        <f t="shared" si="56"/>
        <v>-1.219939004066214E-2</v>
      </c>
      <c r="K246">
        <f t="shared" si="58"/>
        <v>-2.6523034851923033E-2</v>
      </c>
      <c r="L246">
        <f t="shared" si="59"/>
        <v>0.85622641914825981</v>
      </c>
      <c r="M246">
        <f t="shared" si="60"/>
        <v>0.87593765759548614</v>
      </c>
      <c r="N246" s="2">
        <v>9.3780122831397292E-2</v>
      </c>
      <c r="O246" s="9">
        <v>0.69148911158158211</v>
      </c>
      <c r="P246">
        <f t="shared" si="52"/>
        <v>0</v>
      </c>
      <c r="Q246">
        <f t="shared" si="61"/>
        <v>0.18000307842428395</v>
      </c>
      <c r="R246">
        <f t="shared" si="53"/>
        <v>0.52830752410470672</v>
      </c>
      <c r="S246" s="9">
        <f t="shared" si="62"/>
        <v>0.53742259104720314</v>
      </c>
      <c r="T246">
        <v>0.80010000000000003</v>
      </c>
      <c r="U246">
        <v>0.83887000000000012</v>
      </c>
      <c r="V246">
        <v>0.33008527765882728</v>
      </c>
      <c r="W246" s="9">
        <v>0.85935121509650192</v>
      </c>
      <c r="X246">
        <f t="shared" si="54"/>
        <v>0.52457822169453638</v>
      </c>
      <c r="Y246">
        <f t="shared" si="63"/>
        <v>0.4497739911769244</v>
      </c>
      <c r="Z246">
        <f t="shared" si="57"/>
        <v>-1.219939004066214E-2</v>
      </c>
      <c r="AA246">
        <f t="shared" si="64"/>
        <v>7.2696365242307132E-2</v>
      </c>
      <c r="AB246">
        <f t="shared" si="68"/>
        <v>0.1044214456813847</v>
      </c>
      <c r="AC246">
        <f t="shared" si="65"/>
        <v>0.84979316272443528</v>
      </c>
      <c r="AD246">
        <f t="shared" si="55"/>
        <v>2.5689884204014722E-4</v>
      </c>
      <c r="AE246">
        <f t="shared" si="66"/>
        <v>0.86762741620807082</v>
      </c>
      <c r="AF246">
        <f t="shared" si="67"/>
        <v>6.7883759899507456E-3</v>
      </c>
    </row>
    <row r="247" spans="1:32" x14ac:dyDescent="0.25">
      <c r="A247" s="6">
        <v>44567.333587962959</v>
      </c>
      <c r="B247">
        <v>332189651.382164</v>
      </c>
      <c r="C247">
        <v>331960427.27216339</v>
      </c>
      <c r="D247">
        <v>94915.956705639139</v>
      </c>
      <c r="E247">
        <v>996568.9541464895</v>
      </c>
      <c r="F247">
        <v>6.9584040755139123E+18</v>
      </c>
      <c r="G247">
        <v>3255</v>
      </c>
      <c r="H247">
        <v>2.9758916580447926E-4</v>
      </c>
      <c r="I247">
        <v>3360.3373876084443</v>
      </c>
      <c r="J247">
        <f t="shared" si="56"/>
        <v>-0.1173941303912911</v>
      </c>
      <c r="K247">
        <f t="shared" si="58"/>
        <v>-0.1196284973018879</v>
      </c>
      <c r="L247">
        <f t="shared" si="59"/>
        <v>2.5691686159326688</v>
      </c>
      <c r="M247">
        <f t="shared" si="60"/>
        <v>0.92805531026863852</v>
      </c>
      <c r="N247" s="2">
        <v>0.86858171362555103</v>
      </c>
      <c r="O247" s="9">
        <v>0.699879191250945</v>
      </c>
      <c r="P247">
        <f t="shared" si="52"/>
        <v>2.4078881658410309</v>
      </c>
      <c r="Q247">
        <f t="shared" si="61"/>
        <v>0.26026601728565163</v>
      </c>
      <c r="R247">
        <f t="shared" si="53"/>
        <v>2.5450975553756039</v>
      </c>
      <c r="S247" s="9">
        <f t="shared" si="62"/>
        <v>0.59761263972622869</v>
      </c>
      <c r="T247">
        <v>0.74170000000000003</v>
      </c>
      <c r="U247">
        <v>0.83480333333333345</v>
      </c>
      <c r="V247">
        <v>0.3853891664285643</v>
      </c>
      <c r="W247" s="9">
        <v>0.89649810062219315</v>
      </c>
      <c r="X247">
        <f t="shared" si="54"/>
        <v>2.8931585889580127</v>
      </c>
      <c r="Y247">
        <f t="shared" si="63"/>
        <v>0.52302836635621064</v>
      </c>
      <c r="Z247">
        <f t="shared" si="57"/>
        <v>-0.1173941303912911</v>
      </c>
      <c r="AA247">
        <f t="shared" si="64"/>
        <v>0.25938703086457349</v>
      </c>
      <c r="AB247">
        <f t="shared" si="68"/>
        <v>0.11123110520408225</v>
      </c>
      <c r="AC247">
        <f t="shared" si="65"/>
        <v>0.88848652531974026</v>
      </c>
      <c r="AD247">
        <f t="shared" si="55"/>
        <v>2.3768489829008588E-3</v>
      </c>
      <c r="AE247">
        <f t="shared" si="66"/>
        <v>0.78530121941143238</v>
      </c>
      <c r="AF247">
        <f t="shared" si="67"/>
        <v>4.036101623724031E-3</v>
      </c>
    </row>
    <row r="248" spans="1:32" x14ac:dyDescent="0.25">
      <c r="A248" s="6">
        <v>44568.333414351851</v>
      </c>
      <c r="B248">
        <v>196589047.30438232</v>
      </c>
      <c r="C248">
        <v>196536550.39847565</v>
      </c>
      <c r="D248">
        <v>60319.516479345039</v>
      </c>
      <c r="E248">
        <v>589767.14191314578</v>
      </c>
      <c r="F248">
        <v>5.7686941017671598E+18</v>
      </c>
      <c r="G248">
        <v>3249</v>
      </c>
      <c r="H248">
        <v>3.0815785015265654E-4</v>
      </c>
      <c r="I248">
        <v>3245.0901364499259</v>
      </c>
      <c r="J248">
        <f t="shared" si="56"/>
        <v>-3.4898255116320637E-2</v>
      </c>
      <c r="K248">
        <f t="shared" si="58"/>
        <v>-0.12770365338652384</v>
      </c>
      <c r="L248">
        <f t="shared" si="59"/>
        <v>2.1995258060170779</v>
      </c>
      <c r="M248">
        <f t="shared" si="60"/>
        <v>0.96985973729916031</v>
      </c>
      <c r="N248" s="2">
        <v>0.6543097300775178</v>
      </c>
      <c r="O248" s="9">
        <v>0.71788046425252017</v>
      </c>
      <c r="P248">
        <f t="shared" si="52"/>
        <v>2.020828926656836</v>
      </c>
      <c r="Q248">
        <f t="shared" si="61"/>
        <v>0.32762698150754616</v>
      </c>
      <c r="R248">
        <f t="shared" si="53"/>
        <v>2.1825090373225513</v>
      </c>
      <c r="S248" s="9">
        <f t="shared" si="62"/>
        <v>0.647728005050764</v>
      </c>
      <c r="T248">
        <v>0.75260000000000005</v>
      </c>
      <c r="U248">
        <v>0.83054666666666677</v>
      </c>
      <c r="V248">
        <v>0.3817487719298216</v>
      </c>
      <c r="W248" s="9">
        <v>0.89389846429372488</v>
      </c>
      <c r="X248">
        <f t="shared" si="54"/>
        <v>2.3908799978164339</v>
      </c>
      <c r="Y248">
        <f t="shared" si="63"/>
        <v>0.5814640448966375</v>
      </c>
      <c r="Z248">
        <f t="shared" si="57"/>
        <v>-3.4898255116320637E-2</v>
      </c>
      <c r="AA248">
        <f t="shared" si="64"/>
        <v>0.2765861709219003</v>
      </c>
      <c r="AB248">
        <f t="shared" si="68"/>
        <v>0.1170708132235468</v>
      </c>
      <c r="AC248">
        <f t="shared" si="65"/>
        <v>0.92071622871181658</v>
      </c>
      <c r="AD248">
        <f t="shared" si="55"/>
        <v>1.7910245550331785E-3</v>
      </c>
      <c r="AE248">
        <f t="shared" si="66"/>
        <v>0.7541334849197503</v>
      </c>
      <c r="AF248">
        <f t="shared" si="67"/>
        <v>2.8670659767906503E-3</v>
      </c>
    </row>
    <row r="249" spans="1:32" x14ac:dyDescent="0.25">
      <c r="A249" s="6">
        <v>44569.333344907405</v>
      </c>
      <c r="B249">
        <v>93629567.425491333</v>
      </c>
      <c r="C249">
        <v>93633757.703491211</v>
      </c>
      <c r="D249">
        <v>29427.393645362929</v>
      </c>
      <c r="E249">
        <v>280888.70227646828</v>
      </c>
      <c r="F249">
        <v>7.4045671029088696E+18</v>
      </c>
      <c r="G249">
        <v>3250</v>
      </c>
      <c r="H249">
        <v>3.1222107082302892E-4</v>
      </c>
      <c r="I249">
        <v>3202.8587864488281</v>
      </c>
      <c r="J249">
        <f t="shared" si="56"/>
        <v>-1.3099345043661965E-2</v>
      </c>
      <c r="K249">
        <f t="shared" si="58"/>
        <v>-0.13800214142822617</v>
      </c>
      <c r="L249">
        <f t="shared" si="59"/>
        <v>1.2302302150178597</v>
      </c>
      <c r="M249">
        <f t="shared" si="60"/>
        <v>0.97862749555311324</v>
      </c>
      <c r="N249" s="2">
        <v>0.24706468702545395</v>
      </c>
      <c r="O249" s="9">
        <v>0.68495975023538436</v>
      </c>
      <c r="P249">
        <f t="shared" si="52"/>
        <v>0.90872944620305363</v>
      </c>
      <c r="Q249">
        <f t="shared" si="61"/>
        <v>0.357917963047648</v>
      </c>
      <c r="R249">
        <f t="shared" si="53"/>
        <v>1.2269414629794277</v>
      </c>
      <c r="S249" s="9">
        <f t="shared" si="62"/>
        <v>0.66497211502952913</v>
      </c>
      <c r="T249">
        <v>0.75680000000000003</v>
      </c>
      <c r="U249">
        <v>0.82345666666666661</v>
      </c>
      <c r="V249">
        <v>0.35655232880763743</v>
      </c>
      <c r="W249" s="9">
        <v>0.88112517320449146</v>
      </c>
      <c r="X249">
        <f t="shared" si="54"/>
        <v>1.2666342620002109</v>
      </c>
      <c r="Y249">
        <f t="shared" si="63"/>
        <v>0.60294692675374573</v>
      </c>
      <c r="Z249">
        <f t="shared" si="57"/>
        <v>-1.3099345043661965E-2</v>
      </c>
      <c r="AA249">
        <f t="shared" si="64"/>
        <v>0.29528523598422712</v>
      </c>
      <c r="AB249">
        <f t="shared" si="68"/>
        <v>0.12342382891138896</v>
      </c>
      <c r="AC249">
        <f t="shared" si="65"/>
        <v>0.95484193604240408</v>
      </c>
      <c r="AD249">
        <f t="shared" si="55"/>
        <v>6.7666056708701628E-4</v>
      </c>
      <c r="AE249">
        <f t="shared" si="66"/>
        <v>0.76852142617544628</v>
      </c>
      <c r="AF249">
        <f t="shared" si="67"/>
        <v>4.4966384395033199E-3</v>
      </c>
    </row>
    <row r="250" spans="1:32" x14ac:dyDescent="0.25">
      <c r="A250" s="6">
        <v>44570.333483796298</v>
      </c>
      <c r="B250">
        <v>87714635.690208435</v>
      </c>
      <c r="C250">
        <v>87682273.645393372</v>
      </c>
      <c r="D250">
        <v>28594.368497114629</v>
      </c>
      <c r="E250">
        <v>263143.90707063675</v>
      </c>
      <c r="F250">
        <v>7.7264290555801631E+18</v>
      </c>
      <c r="G250">
        <v>3251</v>
      </c>
      <c r="H250">
        <v>3.2099004568486816E-4</v>
      </c>
      <c r="I250">
        <v>3115.3614058853077</v>
      </c>
      <c r="J250">
        <f t="shared" si="56"/>
        <v>-2.7698615092323273E-2</v>
      </c>
      <c r="K250">
        <f t="shared" si="58"/>
        <v>-0.13613681727843466</v>
      </c>
      <c r="L250">
        <f t="shared" si="59"/>
        <v>1.1681689664342525</v>
      </c>
      <c r="M250">
        <f t="shared" si="60"/>
        <v>0.97828404494651811</v>
      </c>
      <c r="N250" s="2">
        <v>0.22690578116423787</v>
      </c>
      <c r="O250" s="9">
        <v>0.67477467798539659</v>
      </c>
      <c r="P250">
        <f t="shared" si="52"/>
        <v>0.81517970994546951</v>
      </c>
      <c r="Q250">
        <f t="shared" si="61"/>
        <v>0.36690891552210464</v>
      </c>
      <c r="R250">
        <f t="shared" si="53"/>
        <v>1.1593593518354739</v>
      </c>
      <c r="S250" s="9">
        <f t="shared" si="62"/>
        <v>0.67066774983043642</v>
      </c>
      <c r="T250">
        <v>0.75540000000000007</v>
      </c>
      <c r="U250">
        <v>0.81551333333333342</v>
      </c>
      <c r="V250">
        <v>0.3863660412615505</v>
      </c>
      <c r="W250" s="9">
        <v>0.89654913986366613</v>
      </c>
      <c r="X250">
        <f t="shared" si="54"/>
        <v>1.1994613544500483</v>
      </c>
      <c r="Y250">
        <f t="shared" si="63"/>
        <v>0.61204565078349615</v>
      </c>
      <c r="Z250">
        <f t="shared" si="57"/>
        <v>-2.7698615092323273E-2</v>
      </c>
      <c r="AA250">
        <f t="shared" si="64"/>
        <v>0.29098545096989514</v>
      </c>
      <c r="AB250">
        <f t="shared" si="68"/>
        <v>0.12898021776324253</v>
      </c>
      <c r="AC250">
        <f t="shared" si="65"/>
        <v>0.98393294023184441</v>
      </c>
      <c r="AD250">
        <f t="shared" si="55"/>
        <v>6.2146652409225927E-4</v>
      </c>
      <c r="AE250">
        <f t="shared" si="66"/>
        <v>0.77175584196609681</v>
      </c>
      <c r="AF250">
        <f t="shared" si="67"/>
        <v>4.8968082792042456E-3</v>
      </c>
    </row>
    <row r="251" spans="1:32" x14ac:dyDescent="0.25">
      <c r="A251" s="6">
        <v>44571.333437499998</v>
      </c>
      <c r="B251">
        <v>35593186.68762207</v>
      </c>
      <c r="C251">
        <v>35580128.421630859</v>
      </c>
      <c r="D251">
        <v>11357.589185867459</v>
      </c>
      <c r="E251">
        <v>106779.56006285548</v>
      </c>
      <c r="F251">
        <v>7.848188224487593E+18</v>
      </c>
      <c r="G251">
        <v>3253</v>
      </c>
      <c r="H251">
        <v>3.2852369045902031E-4</v>
      </c>
      <c r="I251">
        <v>3043.920511798643</v>
      </c>
      <c r="J251">
        <f t="shared" si="56"/>
        <v>-2.3198840077324943E-2</v>
      </c>
      <c r="K251">
        <f t="shared" si="58"/>
        <v>-0.13243021804162147</v>
      </c>
      <c r="L251">
        <f t="shared" si="59"/>
        <v>0.52459237325733898</v>
      </c>
      <c r="M251">
        <f t="shared" si="60"/>
        <v>0.94822250321350365</v>
      </c>
      <c r="N251" s="2">
        <v>8.7704737716059106E-2</v>
      </c>
      <c r="O251" s="9">
        <v>0.65116762808789141</v>
      </c>
      <c r="P251">
        <f t="shared" si="52"/>
        <v>0</v>
      </c>
      <c r="Q251">
        <f t="shared" si="61"/>
        <v>0.33386657760759342</v>
      </c>
      <c r="R251">
        <f t="shared" si="53"/>
        <v>0.48011015309295402</v>
      </c>
      <c r="S251" s="9">
        <f t="shared" si="62"/>
        <v>0.6436958131105186</v>
      </c>
      <c r="T251">
        <v>0.78480000000000005</v>
      </c>
      <c r="U251">
        <v>0.81189000000000011</v>
      </c>
      <c r="V251">
        <v>0.39535669755230624</v>
      </c>
      <c r="W251" s="9">
        <v>0.90169737241914538</v>
      </c>
      <c r="X251">
        <f t="shared" si="54"/>
        <v>0.52994790382714629</v>
      </c>
      <c r="Y251">
        <f t="shared" si="63"/>
        <v>0.58771891650918695</v>
      </c>
      <c r="Z251">
        <f t="shared" si="57"/>
        <v>-2.3198840077324943E-2</v>
      </c>
      <c r="AA251">
        <f t="shared" si="64"/>
        <v>0.28228588594089815</v>
      </c>
      <c r="AB251">
        <f t="shared" si="68"/>
        <v>0.13326667011086321</v>
      </c>
      <c r="AC251">
        <f t="shared" si="65"/>
        <v>1.0059174538362663</v>
      </c>
      <c r="AD251">
        <f t="shared" si="55"/>
        <v>2.4025808836068211E-4</v>
      </c>
      <c r="AE251">
        <f t="shared" si="66"/>
        <v>0.75210017238150184</v>
      </c>
      <c r="AF251">
        <f t="shared" si="67"/>
        <v>2.6548371334655929E-3</v>
      </c>
    </row>
    <row r="252" spans="1:32" x14ac:dyDescent="0.25">
      <c r="A252" s="6">
        <v>44572.333680555559</v>
      </c>
      <c r="B252">
        <v>121907115.85825348</v>
      </c>
      <c r="C252">
        <v>121920805.28586578</v>
      </c>
      <c r="D252">
        <v>40207.024938419461</v>
      </c>
      <c r="E252">
        <v>365721.34757475555</v>
      </c>
      <c r="F252">
        <v>1.4203276527877851E+19</v>
      </c>
      <c r="G252">
        <v>3261</v>
      </c>
      <c r="H252">
        <v>3.1986860027053397E-4</v>
      </c>
      <c r="I252">
        <v>3126.2837276126324</v>
      </c>
      <c r="J252">
        <f t="shared" si="56"/>
        <v>2.6698665088990367E-2</v>
      </c>
      <c r="K252">
        <f t="shared" si="58"/>
        <v>-0.11962960834624814</v>
      </c>
      <c r="L252">
        <f t="shared" si="59"/>
        <v>1.0212264603337151</v>
      </c>
      <c r="M252">
        <f t="shared" si="60"/>
        <v>0.95650982640576143</v>
      </c>
      <c r="N252" s="2">
        <v>0.17386703449190127</v>
      </c>
      <c r="O252" s="9">
        <v>0.6786591717668109</v>
      </c>
      <c r="P252">
        <f t="shared" si="52"/>
        <v>0.49011017753979258</v>
      </c>
      <c r="Q252">
        <f t="shared" si="61"/>
        <v>0.3502035835255865</v>
      </c>
      <c r="R252">
        <f t="shared" si="53"/>
        <v>0.95906419665717746</v>
      </c>
      <c r="S252" s="9">
        <f t="shared" si="62"/>
        <v>0.6612680335910387</v>
      </c>
      <c r="T252">
        <v>0.76400000000000001</v>
      </c>
      <c r="U252">
        <v>0.80656666666666677</v>
      </c>
      <c r="V252">
        <v>0.36417396357631654</v>
      </c>
      <c r="W252" s="9">
        <v>0.8860581891236704</v>
      </c>
      <c r="X252">
        <f t="shared" si="54"/>
        <v>0.98335020429310249</v>
      </c>
      <c r="Y252">
        <f t="shared" si="63"/>
        <v>0.61657898066621075</v>
      </c>
      <c r="Z252">
        <f t="shared" si="57"/>
        <v>2.6698665088990367E-2</v>
      </c>
      <c r="AA252">
        <f t="shared" si="64"/>
        <v>0.25818709086057356</v>
      </c>
      <c r="AB252">
        <f t="shared" si="68"/>
        <v>0.13765978379217272</v>
      </c>
      <c r="AC252">
        <f t="shared" si="65"/>
        <v>1.0280532597026586</v>
      </c>
      <c r="AD252">
        <f t="shared" si="55"/>
        <v>4.7623462199250873E-4</v>
      </c>
      <c r="AE252">
        <f t="shared" si="66"/>
        <v>0.78146284704359414</v>
      </c>
      <c r="AF252">
        <f t="shared" si="67"/>
        <v>5.4464875726281115E-3</v>
      </c>
    </row>
    <row r="253" spans="1:32" x14ac:dyDescent="0.25">
      <c r="A253" s="6">
        <v>44573.333437499998</v>
      </c>
      <c r="B253">
        <v>79610815.84487915</v>
      </c>
      <c r="C253">
        <v>79661653.105018616</v>
      </c>
      <c r="D253">
        <v>24854.735654721037</v>
      </c>
      <c r="E253">
        <v>238832.44753465056</v>
      </c>
      <c r="F253">
        <v>1.4520754352493521E+19</v>
      </c>
      <c r="G253">
        <v>3260</v>
      </c>
      <c r="H253">
        <v>3.0223749696985688E-4</v>
      </c>
      <c r="I253">
        <v>3308.6563051431476</v>
      </c>
      <c r="J253">
        <f t="shared" si="56"/>
        <v>5.6697165188979493E-2</v>
      </c>
      <c r="K253">
        <f t="shared" si="58"/>
        <v>-8.6681121328658101E-2</v>
      </c>
      <c r="L253">
        <f t="shared" si="59"/>
        <v>0.82610148095135094</v>
      </c>
      <c r="M253">
        <f t="shared" si="60"/>
        <v>0.95461854279991021</v>
      </c>
      <c r="N253" s="2">
        <v>0.10815222362060055</v>
      </c>
      <c r="O253" s="9">
        <v>0.63418272793150154</v>
      </c>
      <c r="P253">
        <f t="shared" si="52"/>
        <v>0</v>
      </c>
      <c r="Q253">
        <f t="shared" si="61"/>
        <v>0.3502035835255865</v>
      </c>
      <c r="R253">
        <f t="shared" si="53"/>
        <v>0.62776241233389507</v>
      </c>
      <c r="S253" s="9">
        <f t="shared" si="62"/>
        <v>0.66148657703527225</v>
      </c>
      <c r="T253">
        <v>0.70420000000000005</v>
      </c>
      <c r="U253">
        <v>0.79705000000000004</v>
      </c>
      <c r="V253">
        <v>0.34722810987699038</v>
      </c>
      <c r="W253" s="9">
        <v>0.87735041606006769</v>
      </c>
      <c r="X253">
        <f t="shared" si="54"/>
        <v>0.68704578116039705</v>
      </c>
      <c r="Y253">
        <f t="shared" si="63"/>
        <v>0.62759807147484659</v>
      </c>
      <c r="Z253">
        <f t="shared" si="57"/>
        <v>5.6697165188979493E-2</v>
      </c>
      <c r="AA253">
        <f t="shared" si="64"/>
        <v>0.18989050563293158</v>
      </c>
      <c r="AB253">
        <f t="shared" si="68"/>
        <v>0.13922303896404997</v>
      </c>
      <c r="AC253">
        <f t="shared" si="65"/>
        <v>1.0358364351452827</v>
      </c>
      <c r="AD253">
        <f t="shared" si="55"/>
        <v>2.9626357158798458E-4</v>
      </c>
      <c r="AE253">
        <f t="shared" si="66"/>
        <v>0.86200640711766607</v>
      </c>
      <c r="AF253">
        <f t="shared" si="67"/>
        <v>1.0315129293770431E-2</v>
      </c>
    </row>
    <row r="254" spans="1:32" x14ac:dyDescent="0.25">
      <c r="A254" s="6">
        <v>44574.333587962959</v>
      </c>
      <c r="B254">
        <v>55380984.461120605</v>
      </c>
      <c r="C254">
        <v>55405711.438240051</v>
      </c>
      <c r="D254">
        <v>16506.197178818285</v>
      </c>
      <c r="E254">
        <v>166142.95338335633</v>
      </c>
      <c r="F254">
        <v>1.4487988554869715E+19</v>
      </c>
      <c r="G254">
        <v>3264</v>
      </c>
      <c r="H254">
        <v>2.9782732047875629E-4</v>
      </c>
      <c r="I254">
        <v>3357.6503270166882</v>
      </c>
      <c r="J254">
        <f t="shared" si="56"/>
        <v>1.4699265048994926E-2</v>
      </c>
      <c r="K254">
        <f t="shared" si="58"/>
        <v>-5.8357485082289509E-2</v>
      </c>
      <c r="L254">
        <f t="shared" si="59"/>
        <v>0.70518573867828538</v>
      </c>
      <c r="M254">
        <f t="shared" si="60"/>
        <v>0.93898731550485659</v>
      </c>
      <c r="N254" s="2">
        <v>7.2518084223345311E-2</v>
      </c>
      <c r="O254" s="9">
        <v>0.64464947595319821</v>
      </c>
      <c r="P254">
        <f t="shared" si="52"/>
        <v>0</v>
      </c>
      <c r="Q254">
        <f t="shared" si="61"/>
        <v>0.32984229144901195</v>
      </c>
      <c r="R254">
        <f t="shared" si="53"/>
        <v>0.33017045773543913</v>
      </c>
      <c r="S254" s="9">
        <f t="shared" si="62"/>
        <v>0.63829154193178661</v>
      </c>
      <c r="T254">
        <v>0.67900000000000005</v>
      </c>
      <c r="U254">
        <v>0.78852999999999995</v>
      </c>
      <c r="V254">
        <v>0.33631191907123131</v>
      </c>
      <c r="W254" s="9">
        <v>0.87119690543639294</v>
      </c>
      <c r="X254">
        <f t="shared" si="54"/>
        <v>0.4070667163322001</v>
      </c>
      <c r="Y254">
        <f t="shared" si="63"/>
        <v>0.6109883770106751</v>
      </c>
      <c r="Z254">
        <f t="shared" si="57"/>
        <v>1.4699265048994926E-2</v>
      </c>
      <c r="AA254">
        <f t="shared" si="64"/>
        <v>0.13379331044595161</v>
      </c>
      <c r="AB254">
        <f t="shared" si="68"/>
        <v>0.13752979029173945</v>
      </c>
      <c r="AC254">
        <f t="shared" si="65"/>
        <v>1.0274038585494285</v>
      </c>
      <c r="AD254">
        <f t="shared" si="55"/>
        <v>1.9865994860937026E-4</v>
      </c>
      <c r="AE254">
        <f t="shared" si="66"/>
        <v>0.87827676718758985</v>
      </c>
      <c r="AF254">
        <f t="shared" si="67"/>
        <v>1.0644887238655532E-2</v>
      </c>
    </row>
    <row r="255" spans="1:32" x14ac:dyDescent="0.25">
      <c r="A255" s="6">
        <v>44575.333541666667</v>
      </c>
      <c r="B255">
        <v>73456348.592674255</v>
      </c>
      <c r="C255">
        <v>73422352.884910583</v>
      </c>
      <c r="D255">
        <v>22354.509411755949</v>
      </c>
      <c r="E255">
        <v>220369.04577802122</v>
      </c>
      <c r="F255">
        <v>1.4045182141943071E+19</v>
      </c>
      <c r="G255">
        <v>3263</v>
      </c>
      <c r="H255">
        <v>3.1044656159885019E-4</v>
      </c>
      <c r="I255">
        <v>3221.1662930001148</v>
      </c>
      <c r="J255">
        <f t="shared" si="56"/>
        <v>-4.149792513831832E-2</v>
      </c>
      <c r="K255">
        <f t="shared" si="58"/>
        <v>-7.84439758751833E-2</v>
      </c>
      <c r="L255">
        <f t="shared" si="59"/>
        <v>0.80257573061979726</v>
      </c>
      <c r="M255">
        <f t="shared" si="60"/>
        <v>0.94023236252671982</v>
      </c>
      <c r="N255" s="2">
        <v>9.9227944632237539E-2</v>
      </c>
      <c r="O255" s="9">
        <v>0.59201754447587063</v>
      </c>
      <c r="P255">
        <f t="shared" si="52"/>
        <v>0</v>
      </c>
      <c r="Q255">
        <f t="shared" si="61"/>
        <v>0.32984229144901195</v>
      </c>
      <c r="R255">
        <f t="shared" si="53"/>
        <v>0.56805934059072316</v>
      </c>
      <c r="S255" s="9">
        <f t="shared" si="62"/>
        <v>0.63858314149028972</v>
      </c>
      <c r="T255">
        <v>0.60770000000000002</v>
      </c>
      <c r="U255">
        <v>0.77752333333333346</v>
      </c>
      <c r="V255">
        <v>0.33631191907123131</v>
      </c>
      <c r="W255" s="9">
        <v>0.865375914419373</v>
      </c>
      <c r="X255">
        <f t="shared" si="54"/>
        <v>0.67200342630540544</v>
      </c>
      <c r="Y255">
        <f t="shared" si="63"/>
        <v>0.63338849122085528</v>
      </c>
      <c r="Z255">
        <f t="shared" si="57"/>
        <v>-4.149792513831832E-2</v>
      </c>
      <c r="AA255">
        <f t="shared" si="64"/>
        <v>0.17129143557093809</v>
      </c>
      <c r="AB255">
        <f t="shared" si="68"/>
        <v>0.13611986078704</v>
      </c>
      <c r="AC255">
        <f t="shared" si="65"/>
        <v>1.0203385881854956</v>
      </c>
      <c r="AD255">
        <f t="shared" si="55"/>
        <v>2.7182043603172194E-4</v>
      </c>
      <c r="AE255">
        <f t="shared" si="66"/>
        <v>0.79677046472875401</v>
      </c>
      <c r="AF255">
        <f t="shared" si="67"/>
        <v>6.2779410315620954E-3</v>
      </c>
    </row>
    <row r="256" spans="1:32" x14ac:dyDescent="0.25">
      <c r="A256" s="6">
        <v>44576.333344907405</v>
      </c>
      <c r="B256">
        <v>43497535.597747803</v>
      </c>
      <c r="C256">
        <v>43511669.083831787</v>
      </c>
      <c r="D256">
        <v>13248.411993363872</v>
      </c>
      <c r="E256">
        <v>130492.60679323971</v>
      </c>
      <c r="F256">
        <v>1.4488808400048837E+19</v>
      </c>
      <c r="G256">
        <v>3265</v>
      </c>
      <c r="H256">
        <v>3.0509178084782228E-4</v>
      </c>
      <c r="I256">
        <v>3277.7021957821712</v>
      </c>
      <c r="J256">
        <f t="shared" si="56"/>
        <v>1.7399130057993942E-2</v>
      </c>
      <c r="K256">
        <f t="shared" si="58"/>
        <v>-9.766989975923708E-2</v>
      </c>
      <c r="L256">
        <f t="shared" si="59"/>
        <v>0.47750028777766651</v>
      </c>
      <c r="M256">
        <f t="shared" si="60"/>
        <v>0.91717127345099847</v>
      </c>
      <c r="N256" s="2">
        <v>5.7504993249991095E-2</v>
      </c>
      <c r="O256" s="9">
        <v>0.59296681081860514</v>
      </c>
      <c r="P256">
        <f t="shared" si="52"/>
        <v>0</v>
      </c>
      <c r="Q256">
        <f t="shared" si="61"/>
        <v>0.3142645031513483</v>
      </c>
      <c r="R256">
        <f t="shared" si="53"/>
        <v>0</v>
      </c>
      <c r="S256" s="9">
        <f t="shared" si="62"/>
        <v>0.60699557560672412</v>
      </c>
      <c r="T256">
        <v>0.59079999999999999</v>
      </c>
      <c r="U256">
        <v>0.7685200000000002</v>
      </c>
      <c r="V256">
        <v>0.31887388046042686</v>
      </c>
      <c r="W256" s="9">
        <v>0.84926003565711727</v>
      </c>
      <c r="X256">
        <f t="shared" si="54"/>
        <v>0.33003192600806852</v>
      </c>
      <c r="Y256">
        <f t="shared" si="63"/>
        <v>0.61746228639969158</v>
      </c>
      <c r="Z256">
        <f t="shared" si="57"/>
        <v>1.7399130057993942E-2</v>
      </c>
      <c r="AA256">
        <f t="shared" si="64"/>
        <v>0.20978951069925722</v>
      </c>
      <c r="AB256">
        <f t="shared" si="68"/>
        <v>0.14153625663842689</v>
      </c>
      <c r="AC256">
        <f t="shared" si="65"/>
        <v>1.0472655370572119</v>
      </c>
      <c r="AD256">
        <f t="shared" si="55"/>
        <v>1.575355173411668E-4</v>
      </c>
      <c r="AE256">
        <f t="shared" si="66"/>
        <v>0.85513820868716739</v>
      </c>
      <c r="AF256">
        <f t="shared" si="67"/>
        <v>9.3706147667054207E-3</v>
      </c>
    </row>
    <row r="257" spans="1:32" x14ac:dyDescent="0.25">
      <c r="A257" s="6">
        <v>44577.333495370367</v>
      </c>
      <c r="B257">
        <v>32643516.964065552</v>
      </c>
      <c r="C257">
        <v>32658541.955680847</v>
      </c>
      <c r="D257">
        <v>9819.8077441360801</v>
      </c>
      <c r="E257">
        <v>97930.550892189145</v>
      </c>
      <c r="F257">
        <v>1.4725852548807328E+19</v>
      </c>
      <c r="G257">
        <v>3266</v>
      </c>
      <c r="H257">
        <v>2.9982936277829394E-4</v>
      </c>
      <c r="I257">
        <v>3335.2303814868219</v>
      </c>
      <c r="J257">
        <f t="shared" si="56"/>
        <v>1.7399130057993723E-2</v>
      </c>
      <c r="K257">
        <f t="shared" si="58"/>
        <v>-6.2352608148480197E-2</v>
      </c>
      <c r="L257">
        <f t="shared" si="59"/>
        <v>0.49379965561741618</v>
      </c>
      <c r="M257">
        <f t="shared" si="60"/>
        <v>0.90203246205165022</v>
      </c>
      <c r="N257" s="2">
        <v>4.2303384205113335E-2</v>
      </c>
      <c r="O257" s="9">
        <v>0.59169573520119778</v>
      </c>
      <c r="P257">
        <f t="shared" si="52"/>
        <v>0</v>
      </c>
      <c r="Q257">
        <f t="shared" si="61"/>
        <v>0.3142645031513483</v>
      </c>
      <c r="R257">
        <f t="shared" si="53"/>
        <v>0</v>
      </c>
      <c r="S257" s="9">
        <f t="shared" si="62"/>
        <v>0.5844164601423133</v>
      </c>
      <c r="T257">
        <v>0.62130000000000007</v>
      </c>
      <c r="U257">
        <v>0.76128666666666678</v>
      </c>
      <c r="V257">
        <v>0.31887388046042686</v>
      </c>
      <c r="W257" s="9">
        <v>0.8496857162423076</v>
      </c>
      <c r="X257">
        <f t="shared" si="54"/>
        <v>0</v>
      </c>
      <c r="Y257">
        <f t="shared" si="63"/>
        <v>0.60261141596358025</v>
      </c>
      <c r="Z257">
        <f t="shared" si="57"/>
        <v>1.7399130057993723E-2</v>
      </c>
      <c r="AA257">
        <f t="shared" si="64"/>
        <v>0.13909304546361598</v>
      </c>
      <c r="AB257">
        <f t="shared" si="68"/>
        <v>0.14277619464255975</v>
      </c>
      <c r="AC257">
        <f t="shared" si="65"/>
        <v>1.0533492106771858</v>
      </c>
      <c r="AD257">
        <f t="shared" si="55"/>
        <v>1.1589296690439097E-4</v>
      </c>
      <c r="AE257">
        <f t="shared" si="66"/>
        <v>0.84106078415303664</v>
      </c>
      <c r="AF257">
        <f t="shared" si="67"/>
        <v>8.4778757713706021E-3</v>
      </c>
    </row>
    <row r="258" spans="1:32" x14ac:dyDescent="0.25">
      <c r="A258" s="6">
        <v>44578.333402777775</v>
      </c>
      <c r="B258">
        <v>63011210.101799011</v>
      </c>
      <c r="C258">
        <v>62994863.79360199</v>
      </c>
      <c r="D258">
        <v>19059.371827444062</v>
      </c>
      <c r="E258">
        <v>189033.63030540943</v>
      </c>
      <c r="F258">
        <v>1.4486135149451989E+19</v>
      </c>
      <c r="G258">
        <v>3263</v>
      </c>
      <c r="H258">
        <v>3.0591660042119127E-4</v>
      </c>
      <c r="I258">
        <v>3268.864777600113</v>
      </c>
      <c r="J258">
        <f t="shared" si="56"/>
        <v>-2.0098995066992899E-2</v>
      </c>
      <c r="K258">
        <f t="shared" si="58"/>
        <v>-8.9244442565895268E-2</v>
      </c>
      <c r="L258">
        <f t="shared" si="59"/>
        <v>0.68360040892036844</v>
      </c>
      <c r="M258">
        <f t="shared" si="60"/>
        <v>0.8833861300614938</v>
      </c>
      <c r="N258" s="2">
        <v>8.2631223415598157E-2</v>
      </c>
      <c r="O258" s="9">
        <v>0.59810987072783073</v>
      </c>
      <c r="P258">
        <f t="shared" si="52"/>
        <v>0</v>
      </c>
      <c r="Q258">
        <f t="shared" si="61"/>
        <v>0.29321646865793166</v>
      </c>
      <c r="R258">
        <f t="shared" si="53"/>
        <v>0.43579541610628736</v>
      </c>
      <c r="S258" s="9">
        <f t="shared" si="62"/>
        <v>0.56432900882160897</v>
      </c>
      <c r="T258">
        <v>0.62209999999999999</v>
      </c>
      <c r="U258">
        <v>0.75471333333333346</v>
      </c>
      <c r="V258">
        <v>0.3263570091561116</v>
      </c>
      <c r="W258" s="9">
        <v>0.8523191092885003</v>
      </c>
      <c r="X258">
        <f t="shared" si="54"/>
        <v>0.55422649872044638</v>
      </c>
      <c r="Y258">
        <f t="shared" si="63"/>
        <v>0.58948139171814495</v>
      </c>
      <c r="Z258">
        <f t="shared" si="57"/>
        <v>-2.0098995066992899E-2</v>
      </c>
      <c r="AA258">
        <f t="shared" si="64"/>
        <v>0.19319034064393009</v>
      </c>
      <c r="AB258">
        <f t="shared" si="68"/>
        <v>0.14738263099124699</v>
      </c>
      <c r="AC258">
        <f t="shared" si="65"/>
        <v>1.0756961929608311</v>
      </c>
      <c r="AD258">
        <f t="shared" si="55"/>
        <v>2.2636129181689463E-4</v>
      </c>
      <c r="AE258">
        <f t="shared" si="66"/>
        <v>0.83094577362566047</v>
      </c>
      <c r="AF258">
        <f t="shared" si="67"/>
        <v>7.6265166505364856E-3</v>
      </c>
    </row>
    <row r="259" spans="1:32" x14ac:dyDescent="0.25">
      <c r="A259" s="6">
        <v>44579.333333333336</v>
      </c>
      <c r="B259">
        <v>67098368.39050293</v>
      </c>
      <c r="C259">
        <v>67067762.6276474</v>
      </c>
      <c r="D259">
        <v>21000.170448014513</v>
      </c>
      <c r="E259">
        <v>201295.10517151654</v>
      </c>
      <c r="F259">
        <v>1.5021152051264571E+19</v>
      </c>
      <c r="G259">
        <v>3266</v>
      </c>
      <c r="H259">
        <v>3.1665434741709133E-4</v>
      </c>
      <c r="I259">
        <v>3158.0175928638623</v>
      </c>
      <c r="J259">
        <f t="shared" si="56"/>
        <v>-3.4498275114987681E-2</v>
      </c>
      <c r="K259">
        <f t="shared" si="58"/>
        <v>-0.10247873064611958</v>
      </c>
      <c r="L259">
        <f t="shared" si="59"/>
        <v>0.65952621145368484</v>
      </c>
      <c r="M259">
        <f t="shared" si="60"/>
        <v>0.88090349224194575</v>
      </c>
      <c r="N259" s="2">
        <v>8.6301134504475005E-2</v>
      </c>
      <c r="O259" s="9">
        <v>0.59872182581481537</v>
      </c>
      <c r="P259">
        <f t="shared" ref="P259:P322" si="69">SQRT(MAX(0,8*(N259-LN(COSH(LN(3)/2))),0))</f>
        <v>0</v>
      </c>
      <c r="Q259">
        <f t="shared" si="61"/>
        <v>0.29321646865793166</v>
      </c>
      <c r="R259">
        <f t="shared" ref="R259:R322" si="70">SQRT(MAX(0,8*(N259-LN(COSH(LN(2)/2))),0))</f>
        <v>0.46827015003122602</v>
      </c>
      <c r="S259" s="9">
        <f t="shared" si="62"/>
        <v>0.57094049541652714</v>
      </c>
      <c r="T259">
        <v>0.64219999999999999</v>
      </c>
      <c r="U259">
        <v>0.74778666666666671</v>
      </c>
      <c r="V259">
        <v>0.33096713318310544</v>
      </c>
      <c r="W259" s="9">
        <v>0.85355237342302792</v>
      </c>
      <c r="X259">
        <f t="shared" ref="X259:X322" si="71">IF(EXP(2*N259-O259*O259/4)-1&lt;0,0,2*LN(EXP(N259-O259*O259/8)+SQRT(EXP(2*N259-O259*O259/4)-1)))</f>
        <v>0.58013585952590374</v>
      </c>
      <c r="Y259">
        <f t="shared" si="63"/>
        <v>0.60881925370234169</v>
      </c>
      <c r="Z259">
        <f t="shared" si="57"/>
        <v>-3.4498275114987681E-2</v>
      </c>
      <c r="AA259">
        <f t="shared" si="64"/>
        <v>0.21968901573225394</v>
      </c>
      <c r="AB259">
        <f t="shared" si="68"/>
        <v>0.15288568917625606</v>
      </c>
      <c r="AC259">
        <f t="shared" si="65"/>
        <v>1.1018846919966119</v>
      </c>
      <c r="AD259">
        <f t="shared" ref="AD259:AD322" si="72">LN(N259/365+1)</f>
        <v>2.3641351651805973E-4</v>
      </c>
      <c r="AE259">
        <f t="shared" si="66"/>
        <v>0.83519420895499508</v>
      </c>
      <c r="AF259">
        <f t="shared" si="67"/>
        <v>7.9110525606871374E-3</v>
      </c>
    </row>
    <row r="260" spans="1:32" x14ac:dyDescent="0.25">
      <c r="A260" s="6">
        <v>44580.333356481482</v>
      </c>
      <c r="B260">
        <v>94270305.930900574</v>
      </c>
      <c r="C260">
        <v>94257258.505943298</v>
      </c>
      <c r="D260">
        <v>30264.548651816323</v>
      </c>
      <c r="E260">
        <v>282810.91779269278</v>
      </c>
      <c r="F260">
        <v>1.482544164656698E+19</v>
      </c>
      <c r="G260">
        <v>3262</v>
      </c>
      <c r="H260">
        <v>3.2012458473187335E-4</v>
      </c>
      <c r="I260">
        <v>3123.7838257176331</v>
      </c>
      <c r="J260">
        <f t="shared" ref="J260:J323" si="73">LN(I260/I259)</f>
        <v>-1.0899455036329444E-2</v>
      </c>
      <c r="K260">
        <f t="shared" si="58"/>
        <v>-8.8105366019933962E-2</v>
      </c>
      <c r="L260">
        <f t="shared" si="59"/>
        <v>0.90211753712630505</v>
      </c>
      <c r="M260">
        <f t="shared" si="60"/>
        <v>0.86279857904032164</v>
      </c>
      <c r="N260" s="2">
        <v>0.12533047990466081</v>
      </c>
      <c r="O260" s="9">
        <v>0.5996997742096376</v>
      </c>
      <c r="P260">
        <f t="shared" si="69"/>
        <v>0</v>
      </c>
      <c r="Q260">
        <f t="shared" si="61"/>
        <v>0.25972395212888522</v>
      </c>
      <c r="R260">
        <f t="shared" si="70"/>
        <v>0.72904848714729087</v>
      </c>
      <c r="S260" s="9">
        <f t="shared" si="62"/>
        <v>0.55191942136838301</v>
      </c>
      <c r="T260">
        <v>0.63639999999999997</v>
      </c>
      <c r="U260">
        <v>0.74029</v>
      </c>
      <c r="V260">
        <v>0.34679397873513912</v>
      </c>
      <c r="W260" s="9">
        <v>0.86374030677121383</v>
      </c>
      <c r="X260">
        <f t="shared" si="71"/>
        <v>0.81265909425678395</v>
      </c>
      <c r="Y260">
        <f t="shared" si="63"/>
        <v>0.5929788195146547</v>
      </c>
      <c r="Z260">
        <f t="shared" ref="Z260:Z323" si="74">LN(I260/I259)</f>
        <v>-1.0899455036329444E-2</v>
      </c>
      <c r="AA260">
        <f t="shared" si="64"/>
        <v>0.19099045063659767</v>
      </c>
      <c r="AB260">
        <f t="shared" si="68"/>
        <v>0.15480892634933316</v>
      </c>
      <c r="AC260">
        <f t="shared" si="65"/>
        <v>1.1109111128802371</v>
      </c>
      <c r="AD260">
        <f t="shared" si="72"/>
        <v>3.4331223942947074E-4</v>
      </c>
      <c r="AE260">
        <f t="shared" si="66"/>
        <v>0.77593438650587476</v>
      </c>
      <c r="AF260">
        <f t="shared" si="67"/>
        <v>3.5152971340055572E-3</v>
      </c>
    </row>
    <row r="261" spans="1:32" x14ac:dyDescent="0.25">
      <c r="A261" s="6">
        <v>44581.333344907405</v>
      </c>
      <c r="B261">
        <v>48683332.637672424</v>
      </c>
      <c r="C261">
        <v>48683556.496681213</v>
      </c>
      <c r="D261">
        <v>15576.769230823964</v>
      </c>
      <c r="E261">
        <v>146049.99791301787</v>
      </c>
      <c r="F261">
        <v>1.5295328152401097E+19</v>
      </c>
      <c r="G261">
        <v>3265</v>
      </c>
      <c r="H261">
        <v>3.1862360429833905E-4</v>
      </c>
      <c r="I261">
        <v>3138.4994285095813</v>
      </c>
      <c r="J261">
        <f t="shared" si="73"/>
        <v>4.6997650156653257E-3</v>
      </c>
      <c r="K261">
        <f t="shared" si="58"/>
        <v>-0.11721849396706016</v>
      </c>
      <c r="L261">
        <f t="shared" si="59"/>
        <v>0.40892300722528047</v>
      </c>
      <c r="M261">
        <f t="shared" si="60"/>
        <v>0.84540441400202115</v>
      </c>
      <c r="N261" s="2">
        <v>6.2671381596360251E-2</v>
      </c>
      <c r="O261" s="9">
        <v>0.59503251770879917</v>
      </c>
      <c r="P261">
        <f t="shared" si="69"/>
        <v>0</v>
      </c>
      <c r="Q261">
        <f t="shared" si="61"/>
        <v>0.25972395212888522</v>
      </c>
      <c r="R261">
        <f t="shared" si="70"/>
        <v>0.17389338729620776</v>
      </c>
      <c r="S261" s="9">
        <f t="shared" si="62"/>
        <v>0.53636627313526319</v>
      </c>
      <c r="T261">
        <v>0.71609999999999996</v>
      </c>
      <c r="U261">
        <v>0.73515666666666668</v>
      </c>
      <c r="V261">
        <v>0.42084229476074231</v>
      </c>
      <c r="W261" s="9">
        <v>0.92317905152630353</v>
      </c>
      <c r="X261">
        <f t="shared" si="71"/>
        <v>0.38498534585904737</v>
      </c>
      <c r="Y261">
        <f t="shared" si="63"/>
        <v>0.58808463862430338</v>
      </c>
      <c r="Z261">
        <f t="shared" si="74"/>
        <v>4.6997650156653257E-3</v>
      </c>
      <c r="AA261">
        <f t="shared" si="64"/>
        <v>0.24898755082990959</v>
      </c>
      <c r="AB261">
        <f t="shared" si="68"/>
        <v>0.16062530220205323</v>
      </c>
      <c r="AC261">
        <f t="shared" si="65"/>
        <v>1.1378264663189741</v>
      </c>
      <c r="AD261">
        <f t="shared" si="72"/>
        <v>1.7168767615991447E-4</v>
      </c>
      <c r="AE261">
        <f t="shared" si="66"/>
        <v>0.79271748189502544</v>
      </c>
      <c r="AF261">
        <f t="shared" si="67"/>
        <v>4.6835145885033569E-3</v>
      </c>
    </row>
    <row r="262" spans="1:32" x14ac:dyDescent="0.25">
      <c r="A262" s="6">
        <v>44582.333541666667</v>
      </c>
      <c r="B262">
        <v>270804587.87573242</v>
      </c>
      <c r="C262">
        <v>270587631.54288483</v>
      </c>
      <c r="D262">
        <v>92273.516884241253</v>
      </c>
      <c r="E262">
        <v>812413.76362718642</v>
      </c>
      <c r="F262">
        <v>4.8164288532471009E+18</v>
      </c>
      <c r="G262">
        <v>3263</v>
      </c>
      <c r="H262">
        <v>3.6075688139243798E-4</v>
      </c>
      <c r="I262">
        <v>2771.9498963962424</v>
      </c>
      <c r="J262">
        <f t="shared" si="73"/>
        <v>-0.1241937904139554</v>
      </c>
      <c r="K262">
        <f t="shared" si="58"/>
        <v>-0.1653382624412999</v>
      </c>
      <c r="L262">
        <f t="shared" si="59"/>
        <v>2.863468202802808</v>
      </c>
      <c r="M262">
        <f t="shared" si="60"/>
        <v>0.92089131589386608</v>
      </c>
      <c r="N262" s="2">
        <v>1.1079859851938065</v>
      </c>
      <c r="O262" s="9">
        <v>0.7924250848522183</v>
      </c>
      <c r="P262">
        <f t="shared" si="69"/>
        <v>2.7772575666911647</v>
      </c>
      <c r="Q262">
        <f t="shared" si="61"/>
        <v>0.35229920435192408</v>
      </c>
      <c r="R262">
        <f t="shared" si="70"/>
        <v>2.897025325903265</v>
      </c>
      <c r="S262" s="9">
        <f t="shared" si="62"/>
        <v>0.63293378399870537</v>
      </c>
      <c r="T262">
        <v>0.93930000000000002</v>
      </c>
      <c r="U262">
        <v>0.73893666666666669</v>
      </c>
      <c r="V262">
        <v>0.50133781222362095</v>
      </c>
      <c r="W262" s="9">
        <v>0.98314095927023781</v>
      </c>
      <c r="X262">
        <f t="shared" si="71"/>
        <v>3.3782021153037554</v>
      </c>
      <c r="Y262">
        <f t="shared" si="63"/>
        <v>0.7006913758010952</v>
      </c>
      <c r="Z262">
        <f t="shared" si="74"/>
        <v>-0.1241937904139554</v>
      </c>
      <c r="AA262">
        <f t="shared" si="64"/>
        <v>0.35648217618820444</v>
      </c>
      <c r="AB262">
        <f t="shared" si="68"/>
        <v>0.17061146956867182</v>
      </c>
      <c r="AC262">
        <f t="shared" si="65"/>
        <v>1.182758315356004</v>
      </c>
      <c r="AD262">
        <f t="shared" si="72"/>
        <v>3.030979977441871E-3</v>
      </c>
      <c r="AE262">
        <f t="shared" si="66"/>
        <v>0.70265985210682991</v>
      </c>
      <c r="AF262">
        <f t="shared" si="67"/>
        <v>-1.1768500828605033E-3</v>
      </c>
    </row>
    <row r="263" spans="1:32" x14ac:dyDescent="0.25">
      <c r="A263" s="6">
        <v>44583.334016203706</v>
      </c>
      <c r="B263">
        <v>432623216.50405121</v>
      </c>
      <c r="C263">
        <v>432388868.79682159</v>
      </c>
      <c r="D263">
        <v>169914.0898737479</v>
      </c>
      <c r="E263">
        <v>1297869.6495121717</v>
      </c>
      <c r="F263">
        <v>3.9839462508936402E+18</v>
      </c>
      <c r="G263">
        <v>3225</v>
      </c>
      <c r="H263">
        <v>4.0201880175973778E-4</v>
      </c>
      <c r="I263">
        <v>2487.4458498526624</v>
      </c>
      <c r="J263">
        <f t="shared" si="73"/>
        <v>-0.108294585360961</v>
      </c>
      <c r="K263">
        <f t="shared" si="58"/>
        <v>-0.2177373029452937</v>
      </c>
      <c r="L263">
        <f t="shared" si="59"/>
        <v>4.188240042139598</v>
      </c>
      <c r="M263">
        <f t="shared" si="60"/>
        <v>1.0364537759803758</v>
      </c>
      <c r="N263" s="2">
        <v>2.3365893647560583</v>
      </c>
      <c r="O263" s="9">
        <v>0.79083721506604787</v>
      </c>
      <c r="P263">
        <f t="shared" si="69"/>
        <v>4.1883154881457223</v>
      </c>
      <c r="Q263">
        <f t="shared" si="61"/>
        <v>0.49190972062344812</v>
      </c>
      <c r="R263">
        <f t="shared" si="70"/>
        <v>4.2686745923556808</v>
      </c>
      <c r="S263" s="9">
        <f t="shared" si="62"/>
        <v>0.76752977759276275</v>
      </c>
      <c r="T263">
        <v>0.95109999999999995</v>
      </c>
      <c r="U263">
        <v>0.74371999999999994</v>
      </c>
      <c r="V263">
        <v>0.52233059798442649</v>
      </c>
      <c r="W263" s="9">
        <v>1.0020617666060547</v>
      </c>
      <c r="X263">
        <f t="shared" si="71"/>
        <v>5.8976328675876317</v>
      </c>
      <c r="Y263">
        <f t="shared" si="63"/>
        <v>0.89727913805401616</v>
      </c>
      <c r="Z263">
        <f t="shared" si="74"/>
        <v>-0.108294585360961</v>
      </c>
      <c r="AA263">
        <f t="shared" si="64"/>
        <v>0.46117694153716643</v>
      </c>
      <c r="AB263">
        <f t="shared" si="68"/>
        <v>0.18437744794788904</v>
      </c>
      <c r="AC263">
        <f t="shared" si="65"/>
        <v>1.2422450544154753</v>
      </c>
      <c r="AD263">
        <f t="shared" si="72"/>
        <v>6.3812113923641563E-3</v>
      </c>
      <c r="AE263">
        <f t="shared" si="66"/>
        <v>0.6093422199063252</v>
      </c>
      <c r="AF263">
        <f t="shared" si="67"/>
        <v>-9.8078176049672949E-3</v>
      </c>
    </row>
    <row r="264" spans="1:32" x14ac:dyDescent="0.25">
      <c r="A264" s="6">
        <v>44584.333483796298</v>
      </c>
      <c r="B264">
        <v>136437598.204422</v>
      </c>
      <c r="C264">
        <v>136434734.06438446</v>
      </c>
      <c r="D264">
        <v>56746.041958864778</v>
      </c>
      <c r="E264">
        <v>409312.79461325705</v>
      </c>
      <c r="F264">
        <v>3.9937866797307986E+18</v>
      </c>
      <c r="G264">
        <v>3219</v>
      </c>
      <c r="H264">
        <v>4.0201880175973778E-4</v>
      </c>
      <c r="I264">
        <v>2487.4458498526624</v>
      </c>
      <c r="J264">
        <f t="shared" si="73"/>
        <v>0</v>
      </c>
      <c r="K264">
        <f t="shared" si="58"/>
        <v>-0.23359524849474483</v>
      </c>
      <c r="L264">
        <f t="shared" si="59"/>
        <v>2.2141867852037929</v>
      </c>
      <c r="M264">
        <f t="shared" si="60"/>
        <v>1.088056603938778</v>
      </c>
      <c r="N264" s="2">
        <v>0.77842573113417091</v>
      </c>
      <c r="O264" s="9">
        <v>0.82814765798970513</v>
      </c>
      <c r="P264">
        <f t="shared" si="69"/>
        <v>2.2531483660128209</v>
      </c>
      <c r="Q264">
        <f t="shared" si="61"/>
        <v>0.56701466615720875</v>
      </c>
      <c r="R264">
        <f t="shared" si="70"/>
        <v>2.3992235632487096</v>
      </c>
      <c r="S264" s="9">
        <f t="shared" si="62"/>
        <v>0.84750389636771972</v>
      </c>
      <c r="T264">
        <v>0.85799999999999998</v>
      </c>
      <c r="U264">
        <v>0.74472333333333329</v>
      </c>
      <c r="V264">
        <v>0.59005044741650214</v>
      </c>
      <c r="W264" s="9">
        <v>1.0653425329102548</v>
      </c>
      <c r="X264">
        <f t="shared" si="71"/>
        <v>2.6328764453020361</v>
      </c>
      <c r="Y264">
        <f t="shared" si="63"/>
        <v>0.98504168623075072</v>
      </c>
      <c r="Z264">
        <f t="shared" si="74"/>
        <v>0</v>
      </c>
      <c r="AA264">
        <f t="shared" si="64"/>
        <v>0.4953752316511541</v>
      </c>
      <c r="AB264">
        <f t="shared" si="68"/>
        <v>0.19924670449745033</v>
      </c>
      <c r="AC264">
        <f t="shared" si="65"/>
        <v>1.303603681966339</v>
      </c>
      <c r="AD264">
        <f t="shared" si="72"/>
        <v>2.1304023165978465E-3</v>
      </c>
      <c r="AE264">
        <f t="shared" si="66"/>
        <v>0.60788162502198884</v>
      </c>
      <c r="AF264">
        <f t="shared" si="67"/>
        <v>-8.1379457314344483E-3</v>
      </c>
    </row>
    <row r="265" spans="1:32" x14ac:dyDescent="0.25">
      <c r="A265" s="6">
        <v>44585.333923611113</v>
      </c>
      <c r="B265">
        <v>167593934.09789276</v>
      </c>
      <c r="C265">
        <v>167490387.84184265</v>
      </c>
      <c r="D265">
        <v>72653.505735723302</v>
      </c>
      <c r="E265">
        <v>502781.80229368806</v>
      </c>
      <c r="F265">
        <v>3.4969846531349478E+18</v>
      </c>
      <c r="G265">
        <v>3222</v>
      </c>
      <c r="H265">
        <v>4.5604548552230457E-4</v>
      </c>
      <c r="I265">
        <v>2192.7637302553485</v>
      </c>
      <c r="J265">
        <f t="shared" si="73"/>
        <v>-0.12609369542028775</v>
      </c>
      <c r="K265">
        <f t="shared" si="58"/>
        <v>-0.2979171257901353</v>
      </c>
      <c r="L265">
        <f t="shared" si="59"/>
        <v>2.5293672805982377</v>
      </c>
      <c r="M265">
        <f t="shared" si="60"/>
        <v>1.1504025936721369</v>
      </c>
      <c r="N265" s="2">
        <v>1.0686818244506422</v>
      </c>
      <c r="O265" s="9">
        <v>0.8259383656261241</v>
      </c>
      <c r="P265">
        <f t="shared" si="69"/>
        <v>2.7200599820220903</v>
      </c>
      <c r="Q265">
        <f t="shared" si="61"/>
        <v>0.65768333222461173</v>
      </c>
      <c r="R265">
        <f t="shared" si="70"/>
        <v>2.8422389859017141</v>
      </c>
      <c r="S265" s="9">
        <f t="shared" si="62"/>
        <v>0.942245195897777</v>
      </c>
      <c r="T265">
        <v>0.87849999999999995</v>
      </c>
      <c r="U265">
        <v>0.74623333333333319</v>
      </c>
      <c r="V265">
        <v>0.60982109978136445</v>
      </c>
      <c r="W265" s="9">
        <v>1.0862401281457825</v>
      </c>
      <c r="X265">
        <f t="shared" si="71"/>
        <v>3.279179779025764</v>
      </c>
      <c r="Y265">
        <f t="shared" si="63"/>
        <v>1.0943476788649429</v>
      </c>
      <c r="Z265">
        <f t="shared" si="74"/>
        <v>-0.12609369542028775</v>
      </c>
      <c r="AA265">
        <f t="shared" si="64"/>
        <v>0.62386880707944126</v>
      </c>
      <c r="AB265">
        <f t="shared" si="68"/>
        <v>0.21736579855784377</v>
      </c>
      <c r="AC265">
        <f t="shared" si="65"/>
        <v>1.3747403787371597</v>
      </c>
      <c r="AD265">
        <f t="shared" si="72"/>
        <v>2.9236174718910929E-3</v>
      </c>
      <c r="AE265">
        <f t="shared" si="66"/>
        <v>0.54315014777371651</v>
      </c>
      <c r="AF265">
        <f t="shared" si="67"/>
        <v>-2.0397928947230803E-2</v>
      </c>
    </row>
    <row r="266" spans="1:32" x14ac:dyDescent="0.25">
      <c r="A266" s="6">
        <v>44586.33357638889</v>
      </c>
      <c r="B266">
        <v>138712623.91607666</v>
      </c>
      <c r="C266">
        <v>138756140.10702515</v>
      </c>
      <c r="D266">
        <v>59635.861688645557</v>
      </c>
      <c r="E266">
        <v>416137.8717482388</v>
      </c>
      <c r="F266">
        <v>7.6161801274238822E+18</v>
      </c>
      <c r="G266">
        <v>3229</v>
      </c>
      <c r="H266">
        <v>4.08747672549705E-4</v>
      </c>
      <c r="I266">
        <v>2446.4971109490461</v>
      </c>
      <c r="J266">
        <f t="shared" si="73"/>
        <v>0.10949452536496042</v>
      </c>
      <c r="K266">
        <f t="shared" si="58"/>
        <v>-0.23630810234160976</v>
      </c>
      <c r="L266">
        <f t="shared" si="59"/>
        <v>1.431017955895219</v>
      </c>
      <c r="M266">
        <f t="shared" si="60"/>
        <v>1.1784815971275835</v>
      </c>
      <c r="N266" s="2">
        <v>0.42543410336938792</v>
      </c>
      <c r="O266" s="9">
        <v>0.82923436474003542</v>
      </c>
      <c r="P266">
        <f t="shared" si="69"/>
        <v>1.5009145669051187</v>
      </c>
      <c r="Q266">
        <f t="shared" si="61"/>
        <v>0.70771381778811582</v>
      </c>
      <c r="R266">
        <f t="shared" si="70"/>
        <v>1.7124078615591469</v>
      </c>
      <c r="S266" s="9">
        <f t="shared" si="62"/>
        <v>0.99932545794974847</v>
      </c>
      <c r="T266">
        <v>0.87970000000000004</v>
      </c>
      <c r="U266">
        <v>0.74981333333333322</v>
      </c>
      <c r="V266">
        <v>0.64574837165226506</v>
      </c>
      <c r="W266" s="9">
        <v>1.1111925641282181</v>
      </c>
      <c r="X266">
        <f t="shared" si="71"/>
        <v>1.7426125943734558</v>
      </c>
      <c r="Y266">
        <f t="shared" si="63"/>
        <v>1.1524347653440581</v>
      </c>
      <c r="Z266">
        <f t="shared" si="74"/>
        <v>0.10949452536496042</v>
      </c>
      <c r="AA266">
        <f t="shared" si="64"/>
        <v>0.50087495666948567</v>
      </c>
      <c r="AB266">
        <f t="shared" si="68"/>
        <v>0.23401496611333775</v>
      </c>
      <c r="AC266">
        <f t="shared" si="65"/>
        <v>1.4369648399727559</v>
      </c>
      <c r="AD266">
        <f t="shared" si="72"/>
        <v>1.1648941332398444E-3</v>
      </c>
      <c r="AE266">
        <f t="shared" si="66"/>
        <v>0.59955088940403389</v>
      </c>
      <c r="AF266">
        <f t="shared" si="67"/>
        <v>-6.0445193271209119E-3</v>
      </c>
    </row>
    <row r="267" spans="1:32" x14ac:dyDescent="0.25">
      <c r="A267" s="6">
        <v>44587.333379629628</v>
      </c>
      <c r="B267">
        <v>108640447.05219269</v>
      </c>
      <c r="C267">
        <v>108664319.37197113</v>
      </c>
      <c r="D267">
        <v>44260.334229944274</v>
      </c>
      <c r="E267">
        <v>325921.3411565721</v>
      </c>
      <c r="F267">
        <v>9.2978742959289733E+18</v>
      </c>
      <c r="G267">
        <v>3235</v>
      </c>
      <c r="H267">
        <v>3.9366484811694522E-4</v>
      </c>
      <c r="I267">
        <v>2540.2318870567078</v>
      </c>
      <c r="J267">
        <f t="shared" si="73"/>
        <v>3.7598120125319781E-2</v>
      </c>
      <c r="K267">
        <f t="shared" si="58"/>
        <v>-0.22276114525835281</v>
      </c>
      <c r="L267">
        <f t="shared" si="59"/>
        <v>0.95046270502878472</v>
      </c>
      <c r="M267">
        <f t="shared" si="60"/>
        <v>1.1951902047416882</v>
      </c>
      <c r="N267" s="2">
        <v>0.26354656216518285</v>
      </c>
      <c r="O267" s="9">
        <v>0.83209430707662424</v>
      </c>
      <c r="P267">
        <f t="shared" si="69"/>
        <v>0.97859297336243922</v>
      </c>
      <c r="Q267">
        <f t="shared" si="61"/>
        <v>0.74033358356686374</v>
      </c>
      <c r="R267">
        <f t="shared" si="70"/>
        <v>1.2795469333697493</v>
      </c>
      <c r="S267" s="9">
        <f t="shared" si="62"/>
        <v>1.0419770223954068</v>
      </c>
      <c r="T267">
        <v>0.86450000000000005</v>
      </c>
      <c r="U267">
        <v>0.75121333333333318</v>
      </c>
      <c r="V267">
        <v>0.66080564892401417</v>
      </c>
      <c r="W267" s="9">
        <v>1.120285285210604</v>
      </c>
      <c r="X267">
        <f t="shared" si="71"/>
        <v>1.2253487371853871</v>
      </c>
      <c r="Y267">
        <f t="shared" si="63"/>
        <v>1.1932797232502377</v>
      </c>
      <c r="Z267">
        <f t="shared" si="74"/>
        <v>3.7598120125319781E-2</v>
      </c>
      <c r="AA267">
        <f t="shared" si="64"/>
        <v>0.47397630157982867</v>
      </c>
      <c r="AB267">
        <f t="shared" si="68"/>
        <v>0.24945419416479886</v>
      </c>
      <c r="AC267">
        <f t="shared" si="65"/>
        <v>1.4922562793589709</v>
      </c>
      <c r="AD267">
        <f t="shared" si="72"/>
        <v>7.2178482644408293E-4</v>
      </c>
      <c r="AE267">
        <f t="shared" si="66"/>
        <v>0.64818552380054073</v>
      </c>
      <c r="AF267">
        <f t="shared" si="67"/>
        <v>3.6421879497425813E-3</v>
      </c>
    </row>
    <row r="268" spans="1:32" x14ac:dyDescent="0.25">
      <c r="A268" s="6">
        <v>44588.333333333336</v>
      </c>
      <c r="B268">
        <v>181072452.11759186</v>
      </c>
      <c r="C268">
        <v>181066802.80870056</v>
      </c>
      <c r="D268">
        <v>71852.434863125905</v>
      </c>
      <c r="E268">
        <v>543217.35635277629</v>
      </c>
      <c r="F268">
        <v>9.0532114961302948E+18</v>
      </c>
      <c r="G268">
        <v>3237</v>
      </c>
      <c r="H268">
        <v>4.0670913669841436E-4</v>
      </c>
      <c r="I268">
        <v>2458.7596141011372</v>
      </c>
      <c r="J268">
        <f t="shared" si="73"/>
        <v>-3.2598370108655038E-2</v>
      </c>
      <c r="K268">
        <f t="shared" si="58"/>
        <v>-0.21937605490724993</v>
      </c>
      <c r="L268">
        <f t="shared" si="59"/>
        <v>1.5131716706829443</v>
      </c>
      <c r="M268">
        <f t="shared" si="60"/>
        <v>1.2244031704716052</v>
      </c>
      <c r="N268" s="2">
        <v>0.43230127253233275</v>
      </c>
      <c r="O268" s="9">
        <v>0.81690359834585125</v>
      </c>
      <c r="P268">
        <f t="shared" si="69"/>
        <v>1.519105621887938</v>
      </c>
      <c r="Q268">
        <f t="shared" si="61"/>
        <v>0.79097043762979502</v>
      </c>
      <c r="R268">
        <f t="shared" si="70"/>
        <v>1.728374391627326</v>
      </c>
      <c r="S268" s="9">
        <f t="shared" si="62"/>
        <v>1.0995895021163176</v>
      </c>
      <c r="T268">
        <v>0.85819999999999996</v>
      </c>
      <c r="U268">
        <v>0.75345666666666655</v>
      </c>
      <c r="V268">
        <v>0.66400262794980458</v>
      </c>
      <c r="W268" s="9">
        <v>1.1218930538465017</v>
      </c>
      <c r="X268">
        <f t="shared" si="71"/>
        <v>1.7692768397288763</v>
      </c>
      <c r="Y268">
        <f t="shared" si="63"/>
        <v>1.2522556179078668</v>
      </c>
      <c r="Z268">
        <f t="shared" si="74"/>
        <v>-3.2598370108655038E-2</v>
      </c>
      <c r="AA268">
        <f t="shared" si="64"/>
        <v>0.46617669155383135</v>
      </c>
      <c r="AB268">
        <f t="shared" si="68"/>
        <v>0.26356348871182705</v>
      </c>
      <c r="AC268">
        <f t="shared" si="65"/>
        <v>1.5409404413503671</v>
      </c>
      <c r="AD268">
        <f t="shared" si="72"/>
        <v>1.1836862150110426E-3</v>
      </c>
      <c r="AE268">
        <f t="shared" si="66"/>
        <v>0.65811270285141854</v>
      </c>
      <c r="AF268">
        <f t="shared" si="67"/>
        <v>6.2937128096736128E-3</v>
      </c>
    </row>
    <row r="269" spans="1:32" x14ac:dyDescent="0.25">
      <c r="A269" s="6">
        <v>44589.333344907405</v>
      </c>
      <c r="B269">
        <v>136197122.25269318</v>
      </c>
      <c r="C269">
        <v>136181350.14591217</v>
      </c>
      <c r="D269">
        <v>56275.915638340637</v>
      </c>
      <c r="E269">
        <v>408591.36675806344</v>
      </c>
      <c r="F269">
        <v>8.1392175285865923E+18</v>
      </c>
      <c r="G269">
        <v>3239</v>
      </c>
      <c r="H269">
        <v>4.220806557884385E-4</v>
      </c>
      <c r="I269">
        <v>2369.2154243174668</v>
      </c>
      <c r="J269">
        <f t="shared" si="73"/>
        <v>-3.7098145123653371E-2</v>
      </c>
      <c r="K269">
        <f t="shared" si="58"/>
        <v>-0.21327025806282174</v>
      </c>
      <c r="L269">
        <f t="shared" si="59"/>
        <v>1.3611719368504476</v>
      </c>
      <c r="M269">
        <f t="shared" si="60"/>
        <v>1.2330489348437785</v>
      </c>
      <c r="N269" s="2">
        <v>0.36968501328547948</v>
      </c>
      <c r="O269" s="9">
        <v>0.83912252952202948</v>
      </c>
      <c r="P269">
        <f t="shared" si="69"/>
        <v>1.3441546847281798</v>
      </c>
      <c r="Q269">
        <f t="shared" si="61"/>
        <v>0.82266902834196842</v>
      </c>
      <c r="R269">
        <f t="shared" si="70"/>
        <v>1.5768157671897827</v>
      </c>
      <c r="S269" s="9">
        <f t="shared" si="62"/>
        <v>1.1217051777475358</v>
      </c>
      <c r="T269">
        <v>0.75629999999999997</v>
      </c>
      <c r="U269">
        <v>0.75019999999999998</v>
      </c>
      <c r="V269">
        <v>0.64475475458566767</v>
      </c>
      <c r="W269" s="9">
        <v>1.1110765423146034</v>
      </c>
      <c r="X269">
        <f t="shared" si="71"/>
        <v>1.5724785477697796</v>
      </c>
      <c r="Y269">
        <f t="shared" si="63"/>
        <v>1.2744822915440501</v>
      </c>
      <c r="Z269">
        <f t="shared" si="74"/>
        <v>-3.7098145123653371E-2</v>
      </c>
      <c r="AA269">
        <f t="shared" si="64"/>
        <v>0.4554772265181688</v>
      </c>
      <c r="AB269">
        <f t="shared" si="68"/>
        <v>0.27395963557981218</v>
      </c>
      <c r="AC269">
        <f t="shared" si="65"/>
        <v>1.5757709962013535</v>
      </c>
      <c r="AD269">
        <f t="shared" si="72"/>
        <v>1.0123230808786851E-3</v>
      </c>
      <c r="AE269">
        <f t="shared" si="66"/>
        <v>0.63376491076438568</v>
      </c>
      <c r="AF269">
        <f t="shared" si="67"/>
        <v>2.7871177298461891E-3</v>
      </c>
    </row>
    <row r="270" spans="1:32" x14ac:dyDescent="0.25">
      <c r="A270" s="6">
        <v>44590.333356481482</v>
      </c>
      <c r="B270">
        <v>88031430.220344543</v>
      </c>
      <c r="C270">
        <v>88074076.400260925</v>
      </c>
      <c r="D270">
        <v>35392.84036947228</v>
      </c>
      <c r="E270">
        <v>264094.29066103697</v>
      </c>
      <c r="F270">
        <v>1.0156404355931724E+19</v>
      </c>
      <c r="G270">
        <v>3243</v>
      </c>
      <c r="H270">
        <v>3.8761038895631321E-4</v>
      </c>
      <c r="I270">
        <v>2579.9102100762011</v>
      </c>
      <c r="J270">
        <f t="shared" si="73"/>
        <v>8.5195740283969243E-2</v>
      </c>
      <c r="K270">
        <f t="shared" si="58"/>
        <v>-0.17103769959770718</v>
      </c>
      <c r="L270">
        <f t="shared" si="59"/>
        <v>0.91895371629976241</v>
      </c>
      <c r="M270">
        <f t="shared" si="60"/>
        <v>1.2284254592229469</v>
      </c>
      <c r="N270" s="2">
        <v>0.19443183943150152</v>
      </c>
      <c r="O270" s="9">
        <v>0.83722600771382882</v>
      </c>
      <c r="P270">
        <f t="shared" si="69"/>
        <v>0.6361811264450471</v>
      </c>
      <c r="Q270">
        <f t="shared" si="61"/>
        <v>0.82975672072678885</v>
      </c>
      <c r="R270">
        <f t="shared" si="70"/>
        <v>1.0413081065786818</v>
      </c>
      <c r="S270" s="9">
        <f t="shared" si="62"/>
        <v>1.1255215246103916</v>
      </c>
      <c r="T270">
        <v>0.7168000000000001</v>
      </c>
      <c r="U270">
        <v>0.74604999999999988</v>
      </c>
      <c r="V270">
        <v>0.62425995035428949</v>
      </c>
      <c r="W270" s="9">
        <v>1.097438431571921</v>
      </c>
      <c r="X270">
        <f t="shared" si="71"/>
        <v>0.94093648092578441</v>
      </c>
      <c r="Y270">
        <f t="shared" si="63"/>
        <v>1.2748345602243645</v>
      </c>
      <c r="Z270">
        <f t="shared" si="74"/>
        <v>8.5195740283969243E-2</v>
      </c>
      <c r="AA270">
        <f t="shared" si="64"/>
        <v>0.37088145623619939</v>
      </c>
      <c r="AB270">
        <f t="shared" si="68"/>
        <v>0.27942936209804353</v>
      </c>
      <c r="AC270">
        <f t="shared" si="65"/>
        <v>1.5937615098079039</v>
      </c>
      <c r="AD270">
        <f t="shared" si="72"/>
        <v>5.3254814210753764E-4</v>
      </c>
      <c r="AE270">
        <f t="shared" si="66"/>
        <v>0.68134886794298843</v>
      </c>
      <c r="AF270">
        <f t="shared" si="67"/>
        <v>1.0403044319623689E-2</v>
      </c>
    </row>
    <row r="271" spans="1:32" x14ac:dyDescent="0.25">
      <c r="A271" s="6">
        <v>44591.333379629628</v>
      </c>
      <c r="B271">
        <v>55978370.491233826</v>
      </c>
      <c r="C271">
        <v>55991057.536224365</v>
      </c>
      <c r="D271">
        <v>21597.656323498115</v>
      </c>
      <c r="E271">
        <v>167935.11147370934</v>
      </c>
      <c r="F271">
        <v>9.9639175386706555E+18</v>
      </c>
      <c r="G271">
        <v>3242</v>
      </c>
      <c r="H271">
        <v>3.8187809242662884E-4</v>
      </c>
      <c r="I271">
        <v>2618.6367320668764</v>
      </c>
      <c r="J271">
        <f t="shared" si="73"/>
        <v>1.4899255049661109E-2</v>
      </c>
      <c r="K271">
        <f t="shared" si="58"/>
        <v>-0.16993845318957848</v>
      </c>
      <c r="L271">
        <f t="shared" si="59"/>
        <v>0.52237047710051687</v>
      </c>
      <c r="M271">
        <f t="shared" si="60"/>
        <v>1.2118748709018872</v>
      </c>
      <c r="N271" s="2">
        <v>0.12184389793857887</v>
      </c>
      <c r="O271" s="9">
        <v>0.83865761866869803</v>
      </c>
      <c r="P271">
        <f t="shared" si="69"/>
        <v>0</v>
      </c>
      <c r="Q271">
        <f t="shared" si="61"/>
        <v>0.8186822267462236</v>
      </c>
      <c r="R271">
        <f t="shared" si="70"/>
        <v>0.70966121556916006</v>
      </c>
      <c r="S271" s="9">
        <f t="shared" si="62"/>
        <v>1.119550031481402</v>
      </c>
      <c r="T271">
        <v>0.72840000000000005</v>
      </c>
      <c r="U271">
        <v>0.74604999999999999</v>
      </c>
      <c r="V271">
        <v>0.62425995035428949</v>
      </c>
      <c r="W271" s="9">
        <v>1.1004498314650653</v>
      </c>
      <c r="X271">
        <f t="shared" si="71"/>
        <v>0.52391565785359384</v>
      </c>
      <c r="Y271">
        <f t="shared" si="63"/>
        <v>1.262635036503071</v>
      </c>
      <c r="Z271">
        <f t="shared" si="74"/>
        <v>1.4899255049661109E-2</v>
      </c>
      <c r="AA271">
        <f t="shared" si="64"/>
        <v>0.36878156122920019</v>
      </c>
      <c r="AB271">
        <f t="shared" si="68"/>
        <v>0.28466243378215272</v>
      </c>
      <c r="AC271">
        <f t="shared" si="65"/>
        <v>1.6107658684133337</v>
      </c>
      <c r="AD271">
        <f t="shared" si="72"/>
        <v>3.3376319332996678E-4</v>
      </c>
      <c r="AE271">
        <f t="shared" si="66"/>
        <v>0.70632301615524762</v>
      </c>
      <c r="AF271">
        <f t="shared" si="67"/>
        <v>1.3597589226746587E-2</v>
      </c>
    </row>
    <row r="272" spans="1:32" x14ac:dyDescent="0.25">
      <c r="A272" s="6">
        <v>44592.333611111113</v>
      </c>
      <c r="B272">
        <v>71354790.596450806</v>
      </c>
      <c r="C272">
        <v>71338775.076263428</v>
      </c>
      <c r="D272">
        <v>27828.793855132535</v>
      </c>
      <c r="E272">
        <v>214064.37178935111</v>
      </c>
      <c r="F272">
        <v>1.0130029796425947E+19</v>
      </c>
      <c r="G272">
        <v>3244</v>
      </c>
      <c r="H272">
        <v>3.9409809603050799E-4</v>
      </c>
      <c r="I272">
        <v>2537.4393078077387</v>
      </c>
      <c r="J272">
        <f t="shared" si="73"/>
        <v>-3.1498425104988528E-2</v>
      </c>
      <c r="K272">
        <f t="shared" si="58"/>
        <v>-0.17496231371333076</v>
      </c>
      <c r="L272">
        <f t="shared" si="59"/>
        <v>0.68712293295903615</v>
      </c>
      <c r="M272">
        <f t="shared" si="60"/>
        <v>1.205234365981658</v>
      </c>
      <c r="N272" s="2">
        <v>0.15200964597208777</v>
      </c>
      <c r="O272" s="9">
        <v>0.84374526371326719</v>
      </c>
      <c r="P272">
        <f t="shared" si="69"/>
        <v>0.25563426603172551</v>
      </c>
      <c r="Q272">
        <f t="shared" si="61"/>
        <v>0.82720336894728108</v>
      </c>
      <c r="R272">
        <f t="shared" si="70"/>
        <v>0.86310197841921854</v>
      </c>
      <c r="S272" s="9">
        <f t="shared" si="62"/>
        <v>1.1244255884777132</v>
      </c>
      <c r="T272">
        <v>0.70629999999999993</v>
      </c>
      <c r="U272">
        <v>0.74658666666666662</v>
      </c>
      <c r="V272">
        <v>0.62425995035428949</v>
      </c>
      <c r="W272" s="9">
        <v>1.1095519305762851</v>
      </c>
      <c r="X272">
        <f t="shared" si="71"/>
        <v>0.71753109383452451</v>
      </c>
      <c r="Y272">
        <f t="shared" si="63"/>
        <v>1.2632052113366108</v>
      </c>
      <c r="Z272">
        <f t="shared" si="74"/>
        <v>-3.1498425104988528E-2</v>
      </c>
      <c r="AA272">
        <f t="shared" si="64"/>
        <v>0.37918104126386309</v>
      </c>
      <c r="AB272">
        <f t="shared" si="68"/>
        <v>0.29057547146852836</v>
      </c>
      <c r="AC272">
        <f t="shared" si="65"/>
        <v>1.6297425484439634</v>
      </c>
      <c r="AD272">
        <f t="shared" si="72"/>
        <v>4.1637808609738873E-4</v>
      </c>
      <c r="AE272">
        <f t="shared" si="66"/>
        <v>0.67747641997571495</v>
      </c>
      <c r="AF272">
        <f t="shared" si="67"/>
        <v>9.8344077104772776E-3</v>
      </c>
    </row>
    <row r="273" spans="1:32" x14ac:dyDescent="0.25">
      <c r="A273" s="6">
        <v>44593.333356481482</v>
      </c>
      <c r="B273">
        <v>79710464.087608337</v>
      </c>
      <c r="C273">
        <v>79781318.300682068</v>
      </c>
      <c r="D273">
        <v>29483.034174038097</v>
      </c>
      <c r="E273">
        <v>239131.39226281643</v>
      </c>
      <c r="F273">
        <v>1.165508194001287E+19</v>
      </c>
      <c r="G273">
        <v>3238</v>
      </c>
      <c r="H273">
        <v>3.5996412823856885E-4</v>
      </c>
      <c r="I273">
        <v>2778.054593643405</v>
      </c>
      <c r="J273">
        <f t="shared" si="73"/>
        <v>9.0595470301967337E-2</v>
      </c>
      <c r="K273">
        <f t="shared" si="58"/>
        <v>-0.13433221909511411</v>
      </c>
      <c r="L273">
        <f t="shared" si="59"/>
        <v>0.85609896843320532</v>
      </c>
      <c r="M273">
        <f t="shared" si="60"/>
        <v>1.2198329309818783</v>
      </c>
      <c r="N273" s="2">
        <v>0.14645927762143113</v>
      </c>
      <c r="O273" s="9">
        <v>0.85611632091545975</v>
      </c>
      <c r="P273">
        <f t="shared" si="69"/>
        <v>0.14472709201917194</v>
      </c>
      <c r="Q273">
        <f t="shared" si="61"/>
        <v>0.83202760534792009</v>
      </c>
      <c r="R273">
        <f t="shared" si="70"/>
        <v>0.83698391761485835</v>
      </c>
      <c r="S273" s="9">
        <f t="shared" si="62"/>
        <v>1.1523250523982085</v>
      </c>
      <c r="T273">
        <v>0.70620000000000005</v>
      </c>
      <c r="U273">
        <v>0.74643666666666653</v>
      </c>
      <c r="V273">
        <v>0.62425995035428949</v>
      </c>
      <c r="W273" s="9">
        <v>1.1115591990142264</v>
      </c>
      <c r="X273">
        <f t="shared" si="71"/>
        <v>0.66844444675410353</v>
      </c>
      <c r="Y273">
        <f t="shared" si="63"/>
        <v>1.2854866928950808</v>
      </c>
      <c r="Z273">
        <f t="shared" si="74"/>
        <v>9.0595470301967337E-2</v>
      </c>
      <c r="AA273">
        <f t="shared" si="64"/>
        <v>0.29878506099589219</v>
      </c>
      <c r="AB273">
        <f t="shared" si="68"/>
        <v>0.29361865264533832</v>
      </c>
      <c r="AC273">
        <f t="shared" si="65"/>
        <v>1.6394134249223558</v>
      </c>
      <c r="AD273">
        <f t="shared" si="72"/>
        <v>4.0117781227237876E-4</v>
      </c>
      <c r="AE273">
        <f t="shared" si="66"/>
        <v>0.72536235711491237</v>
      </c>
      <c r="AF273">
        <f t="shared" si="67"/>
        <v>1.6184955761465503E-2</v>
      </c>
    </row>
    <row r="274" spans="1:32" x14ac:dyDescent="0.25">
      <c r="A274" s="6">
        <v>44594.333553240744</v>
      </c>
      <c r="B274">
        <v>71068236.189369202</v>
      </c>
      <c r="C274">
        <v>71072789.001724243</v>
      </c>
      <c r="D274">
        <v>25597.22229513526</v>
      </c>
      <c r="E274">
        <v>213204.70856812596</v>
      </c>
      <c r="F274">
        <v>1.0577568567528184E+19</v>
      </c>
      <c r="G274">
        <v>3240</v>
      </c>
      <c r="H274">
        <v>3.5659648652425566E-4</v>
      </c>
      <c r="I274">
        <v>2804.2901088201834</v>
      </c>
      <c r="J274">
        <f t="shared" si="73"/>
        <v>9.3995300313300199E-3</v>
      </c>
      <c r="K274">
        <f t="shared" si="58"/>
        <v>-0.14057699378264552</v>
      </c>
      <c r="L274">
        <f t="shared" si="59"/>
        <v>0.80354065079362791</v>
      </c>
      <c r="M274">
        <f t="shared" si="60"/>
        <v>1.2304020335809986</v>
      </c>
      <c r="N274" s="2">
        <v>0.14076935341916574</v>
      </c>
      <c r="O274" s="9">
        <v>0.86192058384604875</v>
      </c>
      <c r="P274">
        <f t="shared" si="69"/>
        <v>0</v>
      </c>
      <c r="Q274">
        <f t="shared" si="61"/>
        <v>0.83202760534792009</v>
      </c>
      <c r="R274">
        <f t="shared" si="70"/>
        <v>0.80933471736222518</v>
      </c>
      <c r="S274" s="9">
        <f t="shared" si="62"/>
        <v>1.1793028763102826</v>
      </c>
      <c r="T274">
        <v>0.73040000000000005</v>
      </c>
      <c r="U274">
        <v>0.74739333333333335</v>
      </c>
      <c r="V274">
        <v>0.61437727609024895</v>
      </c>
      <c r="W274" s="9">
        <v>1.1040896991698317</v>
      </c>
      <c r="X274">
        <f t="shared" si="71"/>
        <v>0.6240245509814214</v>
      </c>
      <c r="Y274">
        <f t="shared" si="63"/>
        <v>1.3062875112611283</v>
      </c>
      <c r="Z274">
        <f t="shared" si="74"/>
        <v>9.3995300313300199E-3</v>
      </c>
      <c r="AA274">
        <f t="shared" si="64"/>
        <v>0.31168441603888747</v>
      </c>
      <c r="AB274">
        <f t="shared" si="68"/>
        <v>0.30323817167740152</v>
      </c>
      <c r="AC274">
        <f t="shared" si="65"/>
        <v>1.6695698194919377</v>
      </c>
      <c r="AD274">
        <f t="shared" si="72"/>
        <v>3.8559511007172341E-4</v>
      </c>
      <c r="AE274">
        <f t="shared" si="66"/>
        <v>0.73309170481348296</v>
      </c>
      <c r="AF274">
        <f t="shared" si="67"/>
        <v>1.7338385368994791E-2</v>
      </c>
    </row>
    <row r="275" spans="1:32" x14ac:dyDescent="0.25">
      <c r="A275" s="6">
        <v>44595.333460648151</v>
      </c>
      <c r="B275">
        <v>107818849.33161926</v>
      </c>
      <c r="C275">
        <v>107775647.14266968</v>
      </c>
      <c r="D275">
        <v>40295.577238865197</v>
      </c>
      <c r="E275">
        <v>323456.54799483716</v>
      </c>
      <c r="F275">
        <v>1.0871227658893459E+19</v>
      </c>
      <c r="G275">
        <v>3243</v>
      </c>
      <c r="H275">
        <v>3.8310199833322165E-4</v>
      </c>
      <c r="I275">
        <v>2610.2709052699884</v>
      </c>
      <c r="J275">
        <f t="shared" si="73"/>
        <v>-7.169641523897391E-2</v>
      </c>
      <c r="K275">
        <f t="shared" si="58"/>
        <v>-0.17590337228934072</v>
      </c>
      <c r="L275">
        <f t="shared" si="59"/>
        <v>0.95510750305584069</v>
      </c>
      <c r="M275">
        <f t="shared" si="60"/>
        <v>1.2440916580785049</v>
      </c>
      <c r="N275" s="2">
        <v>0.20802294344889063</v>
      </c>
      <c r="O275" s="9">
        <v>0.85971171694317738</v>
      </c>
      <c r="P275">
        <f t="shared" si="69"/>
        <v>0.71655792353724057</v>
      </c>
      <c r="Q275">
        <f t="shared" si="61"/>
        <v>0.85591286946582812</v>
      </c>
      <c r="R275">
        <f t="shared" si="70"/>
        <v>1.0922689252036752</v>
      </c>
      <c r="S275" s="9">
        <f t="shared" si="62"/>
        <v>1.2157118404837386</v>
      </c>
      <c r="T275">
        <v>0.7</v>
      </c>
      <c r="U275">
        <v>0.74829666666666661</v>
      </c>
      <c r="V275">
        <v>0.56557577702258344</v>
      </c>
      <c r="W275" s="9">
        <v>1.0749895741573308</v>
      </c>
      <c r="X275">
        <f t="shared" si="71"/>
        <v>0.98044963227728132</v>
      </c>
      <c r="Y275">
        <f t="shared" si="63"/>
        <v>1.3389691656703708</v>
      </c>
      <c r="Z275">
        <f t="shared" si="74"/>
        <v>-7.169641523897391E-2</v>
      </c>
      <c r="AA275">
        <f t="shared" si="64"/>
        <v>0.38218089127386168</v>
      </c>
      <c r="AB275">
        <f t="shared" si="68"/>
        <v>0.31256770520849819</v>
      </c>
      <c r="AC275">
        <f t="shared" si="65"/>
        <v>1.6982398535804544</v>
      </c>
      <c r="AD275">
        <f t="shared" si="72"/>
        <v>5.6976352639324349E-4</v>
      </c>
      <c r="AE275">
        <f t="shared" si="66"/>
        <v>0.69074710848884469</v>
      </c>
      <c r="AF275">
        <f t="shared" si="67"/>
        <v>1.2711500225962569E-2</v>
      </c>
    </row>
    <row r="276" spans="1:32" x14ac:dyDescent="0.25">
      <c r="A276" s="6">
        <v>44596.333402777775</v>
      </c>
      <c r="B276">
        <v>69982119.648124695</v>
      </c>
      <c r="C276">
        <v>70036922.209503174</v>
      </c>
      <c r="D276">
        <v>26039.571351651102</v>
      </c>
      <c r="E276">
        <v>209946.35894438624</v>
      </c>
      <c r="F276">
        <v>9.6650633440766771E+18</v>
      </c>
      <c r="G276">
        <v>3246</v>
      </c>
      <c r="H276">
        <v>3.5202616232719202E-4</v>
      </c>
      <c r="I276">
        <v>2840.6979566210375</v>
      </c>
      <c r="J276">
        <f t="shared" si="73"/>
        <v>8.4595770281969601E-2</v>
      </c>
      <c r="K276">
        <f t="shared" si="58"/>
        <v>-0.12486705768447871</v>
      </c>
      <c r="L276">
        <f t="shared" si="59"/>
        <v>0.93954010485447859</v>
      </c>
      <c r="M276">
        <f t="shared" si="60"/>
        <v>1.2468687809353789</v>
      </c>
      <c r="N276" s="2">
        <v>0.15773617692445976</v>
      </c>
      <c r="O276" s="9">
        <v>0.93140895735186924</v>
      </c>
      <c r="P276">
        <f t="shared" si="69"/>
        <v>0.33340834660901181</v>
      </c>
      <c r="Q276">
        <f t="shared" si="61"/>
        <v>0.86702648101946189</v>
      </c>
      <c r="R276">
        <f t="shared" si="70"/>
        <v>0.88924533890830437</v>
      </c>
      <c r="S276" s="9">
        <f t="shared" si="62"/>
        <v>1.2277431009771917</v>
      </c>
      <c r="T276">
        <v>0.69750000000000001</v>
      </c>
      <c r="U276">
        <v>0.74487666666666652</v>
      </c>
      <c r="V276">
        <v>0.52639499167530734</v>
      </c>
      <c r="W276" s="9">
        <v>1.0404987327120532</v>
      </c>
      <c r="X276">
        <f t="shared" si="71"/>
        <v>0.63315829317009131</v>
      </c>
      <c r="Y276">
        <f t="shared" si="63"/>
        <v>1.3425885013862231</v>
      </c>
      <c r="Z276">
        <f t="shared" si="74"/>
        <v>8.4595770281969601E-2</v>
      </c>
      <c r="AA276">
        <f t="shared" si="64"/>
        <v>0.28538573095122988</v>
      </c>
      <c r="AB276">
        <f t="shared" si="68"/>
        <v>0.31965735073212898</v>
      </c>
      <c r="AC276">
        <f t="shared" si="65"/>
        <v>1.7196631577196171</v>
      </c>
      <c r="AD276">
        <f t="shared" si="72"/>
        <v>4.3206055777529162E-4</v>
      </c>
      <c r="AE276">
        <f t="shared" si="66"/>
        <v>0.84536093521334332</v>
      </c>
      <c r="AF276">
        <f t="shared" si="67"/>
        <v>2.6645939612209624E-2</v>
      </c>
    </row>
    <row r="277" spans="1:32" x14ac:dyDescent="0.25">
      <c r="A277" s="6">
        <v>44597.333344907405</v>
      </c>
      <c r="B277">
        <v>90197426.474876404</v>
      </c>
      <c r="C277">
        <v>90232880.321472168</v>
      </c>
      <c r="D277">
        <v>30872.773398401216</v>
      </c>
      <c r="E277">
        <v>270592.27942463756</v>
      </c>
      <c r="F277">
        <v>1.3096693483755246E+19</v>
      </c>
      <c r="G277">
        <v>3251</v>
      </c>
      <c r="H277">
        <v>3.3185842506189159E-4</v>
      </c>
      <c r="I277">
        <v>3013.3331700513554</v>
      </c>
      <c r="J277">
        <f t="shared" si="73"/>
        <v>5.8997050196645522E-2</v>
      </c>
      <c r="K277">
        <f t="shared" si="58"/>
        <v>-3.6890253373601717E-2</v>
      </c>
      <c r="L277">
        <f t="shared" si="59"/>
        <v>1.0507308947606528</v>
      </c>
      <c r="M277">
        <f t="shared" si="60"/>
        <v>1.1962541902296449</v>
      </c>
      <c r="N277" s="2">
        <v>0.1421435681185593</v>
      </c>
      <c r="O277" s="9">
        <v>0.92567546220306207</v>
      </c>
      <c r="P277">
        <f t="shared" si="69"/>
        <v>0</v>
      </c>
      <c r="Q277">
        <f t="shared" si="61"/>
        <v>0.7867635421580943</v>
      </c>
      <c r="R277">
        <f t="shared" si="70"/>
        <v>0.81609827981863881</v>
      </c>
      <c r="S277" s="9">
        <f t="shared" si="62"/>
        <v>1.1701097917919594</v>
      </c>
      <c r="T277">
        <v>0.64639999999999997</v>
      </c>
      <c r="U277">
        <v>0.74170000000000003</v>
      </c>
      <c r="V277">
        <v>0.47109110290557032</v>
      </c>
      <c r="W277" s="9">
        <v>0.99119773344576945</v>
      </c>
      <c r="X277">
        <f t="shared" si="71"/>
        <v>0.53250519720918721</v>
      </c>
      <c r="Y277">
        <f t="shared" si="63"/>
        <v>1.2639000549945956</v>
      </c>
      <c r="Z277">
        <f t="shared" si="74"/>
        <v>5.8997050196645522E-2</v>
      </c>
      <c r="AA277">
        <f t="shared" si="64"/>
        <v>0.10899455036329328</v>
      </c>
      <c r="AB277">
        <f t="shared" si="68"/>
        <v>0.31464426804875301</v>
      </c>
      <c r="AC277">
        <f t="shared" si="65"/>
        <v>1.7045466338215431</v>
      </c>
      <c r="AD277">
        <f t="shared" si="72"/>
        <v>3.8935862329407962E-4</v>
      </c>
      <c r="AE277">
        <f t="shared" si="66"/>
        <v>0.92858227147671502</v>
      </c>
      <c r="AF277">
        <f t="shared" si="67"/>
        <v>2.7518847516921463E-2</v>
      </c>
    </row>
    <row r="278" spans="1:32" x14ac:dyDescent="0.25">
      <c r="A278" s="6">
        <v>44598.333425925928</v>
      </c>
      <c r="B278">
        <v>43137746.612503052</v>
      </c>
      <c r="C278">
        <v>43140053.691726685</v>
      </c>
      <c r="D278">
        <v>14306.306627040729</v>
      </c>
      <c r="E278">
        <v>129413.23983749747</v>
      </c>
      <c r="F278">
        <v>1.3213111118233242E+19</v>
      </c>
      <c r="G278">
        <v>3254</v>
      </c>
      <c r="H278">
        <v>3.325227728215024E-4</v>
      </c>
      <c r="I278">
        <v>3007.312827073044</v>
      </c>
      <c r="J278">
        <f t="shared" si="73"/>
        <v>-1.9999000066660741E-3</v>
      </c>
      <c r="K278">
        <f t="shared" si="58"/>
        <v>-2.1470762675647979E-2</v>
      </c>
      <c r="L278">
        <f t="shared" si="59"/>
        <v>0.71454003344972594</v>
      </c>
      <c r="M278">
        <f t="shared" si="60"/>
        <v>1.1467546644773996</v>
      </c>
      <c r="N278" s="2">
        <v>6.5223094511145274E-2</v>
      </c>
      <c r="O278" s="9">
        <v>0.89820021948914119</v>
      </c>
      <c r="P278">
        <f t="shared" si="69"/>
        <v>0</v>
      </c>
      <c r="Q278">
        <f t="shared" si="61"/>
        <v>0.71940257793619966</v>
      </c>
      <c r="R278">
        <f t="shared" si="70"/>
        <v>0.22506135488712647</v>
      </c>
      <c r="S278" s="9">
        <f t="shared" si="62"/>
        <v>1.1048615357107789</v>
      </c>
      <c r="T278">
        <v>0.69379999999999997</v>
      </c>
      <c r="U278">
        <v>0.73973999999999995</v>
      </c>
      <c r="V278">
        <v>0.44484953977259073</v>
      </c>
      <c r="W278" s="9">
        <v>0.97495773935894359</v>
      </c>
      <c r="X278">
        <f t="shared" si="71"/>
        <v>0</v>
      </c>
      <c r="Y278">
        <f t="shared" si="63"/>
        <v>1.1842040550673814</v>
      </c>
      <c r="Z278">
        <f t="shared" si="74"/>
        <v>-1.9999000066660741E-3</v>
      </c>
      <c r="AA278">
        <f t="shared" si="64"/>
        <v>7.6096195253638768E-2</v>
      </c>
      <c r="AB278">
        <f t="shared" si="68"/>
        <v>0.3079612688598109</v>
      </c>
      <c r="AC278">
        <f t="shared" si="65"/>
        <v>1.6841533803717148</v>
      </c>
      <c r="AD278">
        <f t="shared" si="72"/>
        <v>1.7867744585390994E-4</v>
      </c>
      <c r="AE278">
        <f t="shared" si="66"/>
        <v>0.93894643116857612</v>
      </c>
      <c r="AF278">
        <f t="shared" si="67"/>
        <v>2.605853368192812E-2</v>
      </c>
    </row>
    <row r="279" spans="1:32" x14ac:dyDescent="0.25">
      <c r="A279" s="6">
        <v>44599.333402777775</v>
      </c>
      <c r="B279">
        <v>69517619.133422852</v>
      </c>
      <c r="C279">
        <v>69540141.278915405</v>
      </c>
      <c r="D279">
        <v>22925.336450787261</v>
      </c>
      <c r="E279">
        <v>208552.85740026832</v>
      </c>
      <c r="F279">
        <v>1.3969889813096434E+19</v>
      </c>
      <c r="G279">
        <v>3255</v>
      </c>
      <c r="H279">
        <v>3.2486493533348494E-4</v>
      </c>
      <c r="I279">
        <v>3078.2023272947754</v>
      </c>
      <c r="J279">
        <f t="shared" si="73"/>
        <v>2.3298835077658411E-2</v>
      </c>
      <c r="K279">
        <f t="shared" si="58"/>
        <v>-3.3316705011302399E-3</v>
      </c>
      <c r="L279">
        <f t="shared" si="59"/>
        <v>0.89433898754433583</v>
      </c>
      <c r="M279">
        <f t="shared" si="60"/>
        <v>1.1355582902282824</v>
      </c>
      <c r="N279" s="2">
        <v>0.10001404065077622</v>
      </c>
      <c r="O279" s="9">
        <v>0.89657333061202704</v>
      </c>
      <c r="P279">
        <f t="shared" si="69"/>
        <v>0</v>
      </c>
      <c r="Q279">
        <f t="shared" si="61"/>
        <v>0.68911159639609787</v>
      </c>
      <c r="R279">
        <f t="shared" si="70"/>
        <v>0.5735679406841675</v>
      </c>
      <c r="S279" s="9">
        <f t="shared" si="62"/>
        <v>1.0830824183009369</v>
      </c>
      <c r="T279">
        <v>0.69700000000000006</v>
      </c>
      <c r="U279">
        <v>0.73774666666666655</v>
      </c>
      <c r="V279">
        <v>0.44484953977259073</v>
      </c>
      <c r="W279" s="9">
        <v>0.97332224075612361</v>
      </c>
      <c r="X279">
        <f t="shared" si="71"/>
        <v>0</v>
      </c>
      <c r="Y279">
        <f t="shared" si="63"/>
        <v>1.1419829130007075</v>
      </c>
      <c r="Z279">
        <f t="shared" si="74"/>
        <v>2.3298835077658411E-2</v>
      </c>
      <c r="AA279">
        <f t="shared" si="64"/>
        <v>3.9698015132318423E-2</v>
      </c>
      <c r="AB279">
        <f t="shared" si="68"/>
        <v>0.29944169483141392</v>
      </c>
      <c r="AC279">
        <f t="shared" si="65"/>
        <v>1.6577420247834431</v>
      </c>
      <c r="AD279">
        <f t="shared" si="72"/>
        <v>2.7397353609918322E-4</v>
      </c>
      <c r="AE279">
        <f t="shared" si="66"/>
        <v>0.98807230566561743</v>
      </c>
      <c r="AF279">
        <f t="shared" si="67"/>
        <v>2.613580727470266E-2</v>
      </c>
    </row>
    <row r="280" spans="1:32" x14ac:dyDescent="0.25">
      <c r="A280" s="6">
        <v>44600.333564814813</v>
      </c>
      <c r="B280">
        <v>90803721.27166748</v>
      </c>
      <c r="C280">
        <v>90799034.83000946</v>
      </c>
      <c r="D280">
        <v>28940.022908255458</v>
      </c>
      <c r="E280">
        <v>272411.16381500661</v>
      </c>
      <c r="F280">
        <v>1.2603927411080315E+19</v>
      </c>
      <c r="G280">
        <v>3264</v>
      </c>
      <c r="H280">
        <v>3.2623216888206711E-4</v>
      </c>
      <c r="I280">
        <v>3065.3016329652637</v>
      </c>
      <c r="J280">
        <f t="shared" si="73"/>
        <v>-4.1997900139985724E-3</v>
      </c>
      <c r="K280">
        <f t="shared" si="58"/>
        <v>8.3147165104540347E-3</v>
      </c>
      <c r="L280">
        <f t="shared" si="59"/>
        <v>1.0561543032372795</v>
      </c>
      <c r="M280">
        <f t="shared" si="60"/>
        <v>1.1318244681217164</v>
      </c>
      <c r="N280" s="2">
        <v>0.13964302256164152</v>
      </c>
      <c r="O280" s="9">
        <v>0.89377280567040229</v>
      </c>
      <c r="P280">
        <f t="shared" si="69"/>
        <v>0</v>
      </c>
      <c r="Q280">
        <f t="shared" si="61"/>
        <v>0.66193893939791548</v>
      </c>
      <c r="R280">
        <f t="shared" si="70"/>
        <v>0.80374874050762846</v>
      </c>
      <c r="S280" s="9">
        <f t="shared" si="62"/>
        <v>1.0712287312566753</v>
      </c>
      <c r="T280">
        <v>0.65739999999999998</v>
      </c>
      <c r="U280">
        <v>0.73447999999999991</v>
      </c>
      <c r="V280">
        <v>0.4116277904302254</v>
      </c>
      <c r="W280" s="9">
        <v>0.94905837809586646</v>
      </c>
      <c r="X280">
        <f t="shared" si="71"/>
        <v>0.56794235620307243</v>
      </c>
      <c r="Y280">
        <f t="shared" si="63"/>
        <v>1.1209322797258081</v>
      </c>
      <c r="Z280">
        <f t="shared" si="74"/>
        <v>-4.1997900139985724E-3</v>
      </c>
      <c r="AA280">
        <f t="shared" si="64"/>
        <v>1.6199190053993697E-2</v>
      </c>
      <c r="AB280">
        <f t="shared" si="68"/>
        <v>0.29028215280088393</v>
      </c>
      <c r="AC280">
        <f t="shared" si="65"/>
        <v>1.6288070180929723</v>
      </c>
      <c r="AD280">
        <f t="shared" si="72"/>
        <v>3.8251045700301727E-4</v>
      </c>
      <c r="AE280">
        <f t="shared" si="66"/>
        <v>1.0070242048318097</v>
      </c>
      <c r="AF280">
        <f t="shared" si="67"/>
        <v>2.5902816399272277E-2</v>
      </c>
    </row>
    <row r="281" spans="1:32" x14ac:dyDescent="0.25">
      <c r="A281" s="6">
        <v>44601.333391203705</v>
      </c>
      <c r="B281">
        <v>88563995.41594696</v>
      </c>
      <c r="C281">
        <v>88592847.552322388</v>
      </c>
      <c r="D281">
        <v>28657.595389055088</v>
      </c>
      <c r="E281">
        <v>265691.98624785244</v>
      </c>
      <c r="F281">
        <v>1.3291342888441467E+19</v>
      </c>
      <c r="G281">
        <v>3272</v>
      </c>
      <c r="H281">
        <v>3.1406852740762682E-4</v>
      </c>
      <c r="I281">
        <v>3184.018495116859</v>
      </c>
      <c r="J281">
        <f t="shared" si="73"/>
        <v>3.7998100126652966E-2</v>
      </c>
      <c r="K281">
        <f t="shared" si="58"/>
        <v>3.9094164513874465E-2</v>
      </c>
      <c r="L281">
        <f t="shared" si="59"/>
        <v>1.0158551242168794</v>
      </c>
      <c r="M281">
        <f t="shared" si="60"/>
        <v>1.1481998931537012</v>
      </c>
      <c r="N281" s="2">
        <v>0.13364365066765971</v>
      </c>
      <c r="O281" s="9">
        <v>0.89868649670446354</v>
      </c>
      <c r="P281">
        <f t="shared" si="69"/>
        <v>0</v>
      </c>
      <c r="Q281">
        <f t="shared" si="61"/>
        <v>0.66193893939791548</v>
      </c>
      <c r="R281">
        <f t="shared" si="70"/>
        <v>0.773315629426785</v>
      </c>
      <c r="S281" s="9">
        <f t="shared" si="62"/>
        <v>1.08100224713447</v>
      </c>
      <c r="T281">
        <v>0.65920000000000001</v>
      </c>
      <c r="U281">
        <v>0.73029333333333335</v>
      </c>
      <c r="V281">
        <v>0.41512230042403936</v>
      </c>
      <c r="W281" s="9">
        <v>0.95032832110585896</v>
      </c>
      <c r="X281">
        <f t="shared" si="71"/>
        <v>0.51417282461288982</v>
      </c>
      <c r="Y281">
        <f t="shared" si="63"/>
        <v>1.1204064437519996</v>
      </c>
      <c r="Z281">
        <f t="shared" si="74"/>
        <v>3.7998100126652966E-2</v>
      </c>
      <c r="AA281">
        <f t="shared" si="64"/>
        <v>4.4997750149984195E-2</v>
      </c>
      <c r="AB281">
        <f t="shared" si="68"/>
        <v>0.28237254827452013</v>
      </c>
      <c r="AC281">
        <f t="shared" si="65"/>
        <v>1.6033497231666292</v>
      </c>
      <c r="AD281">
        <f t="shared" si="72"/>
        <v>3.6607997268002382E-4</v>
      </c>
      <c r="AE281">
        <f t="shared" si="66"/>
        <v>1.0184675392685216</v>
      </c>
      <c r="AF281">
        <f t="shared" si="67"/>
        <v>2.5995243920710509E-2</v>
      </c>
    </row>
    <row r="282" spans="1:32" x14ac:dyDescent="0.25">
      <c r="A282" s="6">
        <v>44602.333495370367</v>
      </c>
      <c r="B282">
        <v>62770966.103187561</v>
      </c>
      <c r="C282">
        <v>62781183.5625</v>
      </c>
      <c r="D282">
        <v>19537.278959332034</v>
      </c>
      <c r="E282">
        <v>188312.89830955863</v>
      </c>
      <c r="F282">
        <v>1.3458967645078376E+19</v>
      </c>
      <c r="G282">
        <v>3279</v>
      </c>
      <c r="H282">
        <v>3.0812703744891165E-4</v>
      </c>
      <c r="I282">
        <v>3245.4146454635707</v>
      </c>
      <c r="J282">
        <f t="shared" si="73"/>
        <v>1.9099045063659996E-2</v>
      </c>
      <c r="K282">
        <f t="shared" si="58"/>
        <v>3.5351232161292656E-2</v>
      </c>
      <c r="L282">
        <f t="shared" si="59"/>
        <v>0.83445305752468002</v>
      </c>
      <c r="M282">
        <f t="shared" si="60"/>
        <v>1.1419741130600669</v>
      </c>
      <c r="N282" s="2">
        <v>9.0839990314783611E-2</v>
      </c>
      <c r="O282" s="9">
        <v>0.90022523041903246</v>
      </c>
      <c r="P282">
        <f t="shared" si="69"/>
        <v>0</v>
      </c>
      <c r="Q282">
        <f t="shared" si="61"/>
        <v>0.64560193347992234</v>
      </c>
      <c r="R282">
        <f t="shared" si="70"/>
        <v>0.50555690074682569</v>
      </c>
      <c r="S282" s="9">
        <f t="shared" si="62"/>
        <v>1.0658853372707915</v>
      </c>
      <c r="T282">
        <v>0.7118000000000001</v>
      </c>
      <c r="U282">
        <v>0.72855333333333339</v>
      </c>
      <c r="V282">
        <v>0.43263912376827446</v>
      </c>
      <c r="W282" s="9">
        <v>0.9569921755610058</v>
      </c>
      <c r="X282">
        <f t="shared" si="71"/>
        <v>0</v>
      </c>
      <c r="Y282">
        <f t="shared" si="63"/>
        <v>1.0876281036088964</v>
      </c>
      <c r="Z282">
        <f t="shared" si="74"/>
        <v>1.9099045063659996E-2</v>
      </c>
      <c r="AA282">
        <f t="shared" si="64"/>
        <v>3.7398130124653803E-2</v>
      </c>
      <c r="AB282">
        <f t="shared" si="68"/>
        <v>0.27501291624998941</v>
      </c>
      <c r="AC282">
        <f t="shared" si="65"/>
        <v>1.5792529151861752</v>
      </c>
      <c r="AD282">
        <f t="shared" si="72"/>
        <v>2.4884572112910248E-4</v>
      </c>
      <c r="AE282">
        <f t="shared" si="66"/>
        <v>0.98088599907422513</v>
      </c>
      <c r="AF282">
        <f t="shared" si="67"/>
        <v>2.5757150066994638E-2</v>
      </c>
    </row>
    <row r="283" spans="1:32" x14ac:dyDescent="0.25">
      <c r="A283" s="6">
        <v>44603.333460648151</v>
      </c>
      <c r="B283">
        <v>154866236.29308319</v>
      </c>
      <c r="C283">
        <v>154827290.43452454</v>
      </c>
      <c r="D283">
        <v>49441.880039310083</v>
      </c>
      <c r="E283">
        <v>464598.70887923241</v>
      </c>
      <c r="F283">
        <v>1.380542603661603E+19</v>
      </c>
      <c r="G283">
        <v>3292</v>
      </c>
      <c r="H283">
        <v>3.2208321451664688E-4</v>
      </c>
      <c r="I283">
        <v>3104.7876912825427</v>
      </c>
      <c r="J283">
        <f t="shared" si="73"/>
        <v>-4.4297785147650821E-2</v>
      </c>
      <c r="K283">
        <f t="shared" si="58"/>
        <v>-1.5075984479446448E-2</v>
      </c>
      <c r="L283">
        <f t="shared" si="59"/>
        <v>1.3221613815614557</v>
      </c>
      <c r="M283">
        <f t="shared" si="60"/>
        <v>1.1585094430804039</v>
      </c>
      <c r="N283" s="2">
        <v>0.21920515945988844</v>
      </c>
      <c r="O283" s="9">
        <v>0.90212233861324631</v>
      </c>
      <c r="P283">
        <f t="shared" si="69"/>
        <v>0.77647471682726699</v>
      </c>
      <c r="Q283">
        <f t="shared" si="61"/>
        <v>0.6714844240408312</v>
      </c>
      <c r="R283">
        <f t="shared" si="70"/>
        <v>1.132479197625093</v>
      </c>
      <c r="S283" s="9">
        <f t="shared" si="62"/>
        <v>1.0827092301138315</v>
      </c>
      <c r="T283">
        <v>0.73170000000000002</v>
      </c>
      <c r="U283">
        <v>0.72946999999999984</v>
      </c>
      <c r="V283">
        <v>0.43263912376827446</v>
      </c>
      <c r="W283" s="9">
        <v>0.9561667129234096</v>
      </c>
      <c r="X283">
        <f t="shared" si="71"/>
        <v>0.98852934056869624</v>
      </c>
      <c r="Y283">
        <f t="shared" si="63"/>
        <v>1.0976775555891727</v>
      </c>
      <c r="Z283">
        <f t="shared" si="74"/>
        <v>-4.4297785147650821E-2</v>
      </c>
      <c r="AA283">
        <f t="shared" si="64"/>
        <v>6.3596820211976435E-2</v>
      </c>
      <c r="AB283">
        <f t="shared" si="68"/>
        <v>0.27080312673595763</v>
      </c>
      <c r="AC283">
        <f t="shared" si="65"/>
        <v>1.5652852620780904</v>
      </c>
      <c r="AD283">
        <f t="shared" si="72"/>
        <v>6.0038181547576838E-4</v>
      </c>
      <c r="AE283">
        <f t="shared" si="66"/>
        <v>0.92469059875010362</v>
      </c>
      <c r="AF283">
        <f t="shared" si="67"/>
        <v>2.5331123804748445E-2</v>
      </c>
    </row>
    <row r="284" spans="1:32" x14ac:dyDescent="0.25">
      <c r="A284" s="6">
        <v>44604.333483796298</v>
      </c>
      <c r="B284">
        <v>113392189.33626556</v>
      </c>
      <c r="C284">
        <v>113339413.81588745</v>
      </c>
      <c r="D284">
        <v>37998.834874233231</v>
      </c>
      <c r="E284">
        <v>340176.56800879538</v>
      </c>
      <c r="F284">
        <v>1.079686140555607E+19</v>
      </c>
      <c r="G284">
        <v>3294</v>
      </c>
      <c r="H284">
        <v>3.4312910561132634E-4</v>
      </c>
      <c r="I284">
        <v>2914.3549283537986</v>
      </c>
      <c r="J284">
        <f t="shared" si="73"/>
        <v>-6.3296835210977204E-2</v>
      </c>
      <c r="K284">
        <f t="shared" si="58"/>
        <v>-5.4360780332849468E-2</v>
      </c>
      <c r="L284">
        <f t="shared" si="59"/>
        <v>1.2640191998093799</v>
      </c>
      <c r="M284">
        <f t="shared" si="60"/>
        <v>1.1771372251181067</v>
      </c>
      <c r="N284" s="2">
        <v>0.20870537292032235</v>
      </c>
      <c r="O284" s="9">
        <v>0.89435437902735582</v>
      </c>
      <c r="P284">
        <f t="shared" si="69"/>
        <v>0.72035733740655106</v>
      </c>
      <c r="Q284">
        <f t="shared" si="61"/>
        <v>0.69549633528771626</v>
      </c>
      <c r="R284">
        <f t="shared" si="70"/>
        <v>1.0947651989066174</v>
      </c>
      <c r="S284" s="9">
        <f t="shared" si="62"/>
        <v>1.1081957214862039</v>
      </c>
      <c r="T284">
        <v>0.67890000000000006</v>
      </c>
      <c r="U284">
        <v>0.7294666666666666</v>
      </c>
      <c r="V284">
        <v>0.4190927422004968</v>
      </c>
      <c r="W284" s="9">
        <v>0.93716011083381912</v>
      </c>
      <c r="X284">
        <f t="shared" si="71"/>
        <v>0.9496038781179339</v>
      </c>
      <c r="Y284">
        <f t="shared" si="63"/>
        <v>1.1157621276486973</v>
      </c>
      <c r="Z284">
        <f t="shared" si="74"/>
        <v>-6.3296835210977204E-2</v>
      </c>
      <c r="AA284">
        <f t="shared" si="64"/>
        <v>0.14159292047194855</v>
      </c>
      <c r="AB284">
        <f t="shared" si="68"/>
        <v>0.27106311373682412</v>
      </c>
      <c r="AC284">
        <f t="shared" si="65"/>
        <v>1.5661518349010624</v>
      </c>
      <c r="AD284">
        <f t="shared" si="72"/>
        <v>5.7163212946594304E-4</v>
      </c>
      <c r="AE284">
        <f t="shared" si="66"/>
        <v>0.90475146678610008</v>
      </c>
      <c r="AF284">
        <f t="shared" si="67"/>
        <v>2.5215480774532839E-2</v>
      </c>
    </row>
    <row r="285" spans="1:32" x14ac:dyDescent="0.25">
      <c r="A285" s="6">
        <v>44605.333356481482</v>
      </c>
      <c r="B285">
        <v>62517725.141021729</v>
      </c>
      <c r="C285">
        <v>62525940.396347046</v>
      </c>
      <c r="D285">
        <v>21450.558121617883</v>
      </c>
      <c r="E285">
        <v>187553.17542307079</v>
      </c>
      <c r="F285">
        <v>1.0751998240670677E+19</v>
      </c>
      <c r="G285">
        <v>3300</v>
      </c>
      <c r="H285">
        <v>3.3995295572189775E-4</v>
      </c>
      <c r="I285">
        <v>2941.5834843279345</v>
      </c>
      <c r="J285">
        <f t="shared" si="73"/>
        <v>9.2995350309968989E-3</v>
      </c>
      <c r="K285">
        <f t="shared" si="58"/>
        <v>-2.9082867824197872E-2</v>
      </c>
      <c r="L285">
        <f t="shared" si="59"/>
        <v>0.96451333902838998</v>
      </c>
      <c r="M285">
        <f t="shared" si="60"/>
        <v>1.1825351453983934</v>
      </c>
      <c r="N285" s="2">
        <v>0.11885833880290571</v>
      </c>
      <c r="O285" s="9">
        <v>0.89106114637910749</v>
      </c>
      <c r="P285">
        <f t="shared" si="69"/>
        <v>0</v>
      </c>
      <c r="Q285">
        <f t="shared" si="61"/>
        <v>0.69549633528771626</v>
      </c>
      <c r="R285">
        <f t="shared" si="70"/>
        <v>0.69262873734614316</v>
      </c>
      <c r="S285" s="9">
        <f t="shared" si="62"/>
        <v>1.1123480347113845</v>
      </c>
      <c r="T285">
        <v>0.7278</v>
      </c>
      <c r="U285">
        <v>0.73346999999999984</v>
      </c>
      <c r="V285">
        <v>0.4190927422004968</v>
      </c>
      <c r="W285" s="9">
        <v>0.94002203053197209</v>
      </c>
      <c r="X285">
        <f t="shared" si="71"/>
        <v>0.39737243343172635</v>
      </c>
      <c r="Y285">
        <f t="shared" si="63"/>
        <v>1.1066077612195748</v>
      </c>
      <c r="Z285">
        <f t="shared" si="74"/>
        <v>9.2995350309968989E-3</v>
      </c>
      <c r="AA285">
        <f t="shared" si="64"/>
        <v>9.0795460302633385E-2</v>
      </c>
      <c r="AB285">
        <f t="shared" si="68"/>
        <v>0.26837991456121402</v>
      </c>
      <c r="AC285">
        <f t="shared" si="65"/>
        <v>1.5571829545707048</v>
      </c>
      <c r="AD285">
        <f t="shared" si="72"/>
        <v>3.2558627542734022E-4</v>
      </c>
      <c r="AE285">
        <f t="shared" si="66"/>
        <v>0.89745294374615159</v>
      </c>
      <c r="AF285">
        <f t="shared" si="67"/>
        <v>2.5054610292996493E-2</v>
      </c>
    </row>
    <row r="286" spans="1:32" x14ac:dyDescent="0.25">
      <c r="A286" s="6">
        <v>44606.333472222221</v>
      </c>
      <c r="B286">
        <v>59895664.506752014</v>
      </c>
      <c r="C286">
        <v>59891767.658416748</v>
      </c>
      <c r="D286">
        <v>20779.963052172214</v>
      </c>
      <c r="E286">
        <v>179686.99352025986</v>
      </c>
      <c r="F286">
        <v>1.0832437284677689E+19</v>
      </c>
      <c r="G286">
        <v>3301</v>
      </c>
      <c r="H286">
        <v>3.4230662425364228E-4</v>
      </c>
      <c r="I286">
        <v>2921.3574297032014</v>
      </c>
      <c r="J286">
        <f t="shared" si="73"/>
        <v>-6.8996550229978451E-3</v>
      </c>
      <c r="K286">
        <f t="shared" si="58"/>
        <v>-4.1140512658676714E-2</v>
      </c>
      <c r="L286">
        <f t="shared" si="59"/>
        <v>0.93272138709490926</v>
      </c>
      <c r="M286">
        <f t="shared" si="60"/>
        <v>1.1977091820423016</v>
      </c>
      <c r="N286" s="2">
        <v>0.11389393314304679</v>
      </c>
      <c r="O286" s="9">
        <v>0.89356310443785236</v>
      </c>
      <c r="P286">
        <f t="shared" si="69"/>
        <v>0</v>
      </c>
      <c r="Q286">
        <f t="shared" si="61"/>
        <v>0.69549633528771626</v>
      </c>
      <c r="R286">
        <f t="shared" si="70"/>
        <v>0.66333952280777086</v>
      </c>
      <c r="S286" s="9">
        <f t="shared" si="62"/>
        <v>1.1344593521383102</v>
      </c>
      <c r="T286">
        <v>0.68830000000000002</v>
      </c>
      <c r="U286">
        <v>0.73671999999999993</v>
      </c>
      <c r="V286">
        <v>0.4190927422004968</v>
      </c>
      <c r="W286" s="9">
        <v>0.94502750158196602</v>
      </c>
      <c r="X286">
        <f t="shared" si="71"/>
        <v>0.33649163956965372</v>
      </c>
      <c r="Y286">
        <f t="shared" si="63"/>
        <v>1.106823085004961</v>
      </c>
      <c r="Z286">
        <f t="shared" si="74"/>
        <v>-6.8996550229978451E-3</v>
      </c>
      <c r="AA286">
        <f t="shared" si="64"/>
        <v>0.11509424538362516</v>
      </c>
      <c r="AB286">
        <f t="shared" si="68"/>
        <v>0.26522340571735964</v>
      </c>
      <c r="AC286">
        <f t="shared" si="65"/>
        <v>1.5465591957620124</v>
      </c>
      <c r="AD286">
        <f t="shared" si="72"/>
        <v>3.1198949920905304E-4</v>
      </c>
      <c r="AE286">
        <f t="shared" si="66"/>
        <v>0.87590873659554547</v>
      </c>
      <c r="AF286">
        <f t="shared" si="67"/>
        <v>2.4464646774881471E-2</v>
      </c>
    </row>
    <row r="287" spans="1:32" x14ac:dyDescent="0.25">
      <c r="A287" s="6">
        <v>44607.333472222221</v>
      </c>
      <c r="B287">
        <v>63245924.300682068</v>
      </c>
      <c r="C287">
        <v>63290889.285934448</v>
      </c>
      <c r="D287">
        <v>21297.937216520309</v>
      </c>
      <c r="E287">
        <v>189737.77290205657</v>
      </c>
      <c r="F287">
        <v>1.3870379139238937E+19</v>
      </c>
      <c r="G287">
        <v>3309</v>
      </c>
      <c r="H287">
        <v>3.2208321451664688E-4</v>
      </c>
      <c r="I287">
        <v>3104.7876912825427</v>
      </c>
      <c r="J287">
        <f t="shared" si="73"/>
        <v>6.089695520297804E-2</v>
      </c>
      <c r="K287">
        <f t="shared" si="58"/>
        <v>-1.7603658245016526E-2</v>
      </c>
      <c r="L287">
        <f t="shared" si="59"/>
        <v>0.86274736644270467</v>
      </c>
      <c r="M287">
        <f t="shared" si="60"/>
        <v>1.2100074390698112</v>
      </c>
      <c r="N287" s="2">
        <v>9.3984193501100835E-2</v>
      </c>
      <c r="O287" s="9">
        <v>0.9409931940328381</v>
      </c>
      <c r="P287">
        <f t="shared" si="69"/>
        <v>0</v>
      </c>
      <c r="Q287">
        <f t="shared" si="61"/>
        <v>0.69549633528771626</v>
      </c>
      <c r="R287">
        <f t="shared" si="70"/>
        <v>0.52985036131277063</v>
      </c>
      <c r="S287" s="9">
        <f t="shared" si="62"/>
        <v>1.1521210308487357</v>
      </c>
      <c r="T287">
        <v>0.66020000000000001</v>
      </c>
      <c r="U287">
        <v>0.73801666666666654</v>
      </c>
      <c r="V287">
        <v>0.4190927422004968</v>
      </c>
      <c r="W287" s="9">
        <v>0.94561496127647759</v>
      </c>
      <c r="X287">
        <f t="shared" si="71"/>
        <v>0</v>
      </c>
      <c r="Y287">
        <f t="shared" si="63"/>
        <v>1.106823085004961</v>
      </c>
      <c r="Z287">
        <f t="shared" si="74"/>
        <v>6.089695520297804E-2</v>
      </c>
      <c r="AA287">
        <f t="shared" si="64"/>
        <v>7.1596420238640837E-2</v>
      </c>
      <c r="AB287">
        <f t="shared" si="68"/>
        <v>0.26297351820986042</v>
      </c>
      <c r="AC287">
        <f t="shared" si="65"/>
        <v>1.5389380415902301</v>
      </c>
      <c r="AD287">
        <f t="shared" si="72"/>
        <v>2.5745779599604994E-4</v>
      </c>
      <c r="AE287">
        <f t="shared" si="66"/>
        <v>0.94980609554671458</v>
      </c>
      <c r="AF287">
        <f t="shared" si="67"/>
        <v>2.6518512975944208E-2</v>
      </c>
    </row>
    <row r="288" spans="1:32" x14ac:dyDescent="0.25">
      <c r="A288" s="6">
        <v>44608.333599537036</v>
      </c>
      <c r="B288">
        <v>62733094.86631012</v>
      </c>
      <c r="C288">
        <v>62739823.116691589</v>
      </c>
      <c r="D288">
        <v>20003.464609779418</v>
      </c>
      <c r="E288">
        <v>188199.28459890187</v>
      </c>
      <c r="F288">
        <v>1.3911968664198566E+19</v>
      </c>
      <c r="G288">
        <v>3310</v>
      </c>
      <c r="H288">
        <v>3.2025265377452164E-4</v>
      </c>
      <c r="I288">
        <v>3122.5346245032647</v>
      </c>
      <c r="J288">
        <f t="shared" si="73"/>
        <v>5.6997150189980941E-3</v>
      </c>
      <c r="K288">
        <f t="shared" ref="K288:K351" si="75">(AVERAGE(J259:J288))*(15)+POWER(O288/SQRT(365/15),2)/2</f>
        <v>-5.0779091963253191E-3</v>
      </c>
      <c r="L288">
        <f t="shared" ref="L288:L351" si="76">SQRT(MAX(0,8*(N288/(365/15)-LN(COSH(K288/2))),0))*SQRT(365/15)</f>
        <v>0.83990835802045616</v>
      </c>
      <c r="M288">
        <f t="shared" ref="M288:M351" si="77">AVERAGE(L259:L288)</f>
        <v>1.2152177040398142</v>
      </c>
      <c r="N288" s="2">
        <v>8.8259186016977131E-2</v>
      </c>
      <c r="O288" s="9">
        <v>0.93128192982933355</v>
      </c>
      <c r="P288">
        <f t="shared" si="69"/>
        <v>0</v>
      </c>
      <c r="Q288">
        <f t="shared" ref="Q288:Q351" si="78">AVERAGE(P259:P288)</f>
        <v>0.69549633528771626</v>
      </c>
      <c r="R288">
        <f t="shared" si="70"/>
        <v>0.48470748447933415</v>
      </c>
      <c r="S288" s="9">
        <f t="shared" ref="S288:S351" si="79">AVERAGE(R259:R288)</f>
        <v>1.1537514331278373</v>
      </c>
      <c r="T288">
        <v>0.63249999999999995</v>
      </c>
      <c r="U288">
        <v>0.73836333333333326</v>
      </c>
      <c r="V288">
        <v>0.42370744117821069</v>
      </c>
      <c r="W288" s="9">
        <v>0.94715946733343515</v>
      </c>
      <c r="X288">
        <f t="shared" si="71"/>
        <v>0</v>
      </c>
      <c r="Y288">
        <f t="shared" ref="Y288:Y351" si="80">AVERAGE(X259:X288)</f>
        <v>1.0883488683809459</v>
      </c>
      <c r="Z288">
        <f t="shared" si="74"/>
        <v>5.6997150189980941E-3</v>
      </c>
      <c r="AA288">
        <f t="shared" ref="AA288:AA351" si="81">ABS(SUM(Z259:Z288))</f>
        <v>4.5797710152649863E-2</v>
      </c>
      <c r="AB288">
        <f t="shared" si="68"/>
        <v>0.25806043052681776</v>
      </c>
      <c r="AC288">
        <f t="shared" ref="AC288:AC351" si="82">LN((EXP(AB288)-1)*365/30+1)</f>
        <v>1.5221517273317009</v>
      </c>
      <c r="AD288">
        <f t="shared" si="72"/>
        <v>2.4177675873140482E-4</v>
      </c>
      <c r="AE288">
        <f t="shared" ref="AE288:AE351" si="83">I288/I259</f>
        <v>0.98876416380935361</v>
      </c>
      <c r="AF288">
        <f t="shared" ref="AF288:AF351" si="84">2*SQRT(AE288)*EXP(SUM(AD259:AD288))/(1+AE288)-1</f>
        <v>2.6858261997798172E-2</v>
      </c>
    </row>
    <row r="289" spans="1:32" x14ac:dyDescent="0.25">
      <c r="A289" s="6">
        <v>44609.333368055559</v>
      </c>
      <c r="B289">
        <v>90457001.441650391</v>
      </c>
      <c r="C289">
        <v>90438271.516517639</v>
      </c>
      <c r="D289">
        <v>29186.191247602925</v>
      </c>
      <c r="E289">
        <v>271371.00432497263</v>
      </c>
      <c r="F289">
        <v>1.356777918794179E+19</v>
      </c>
      <c r="G289">
        <v>3312</v>
      </c>
      <c r="H289">
        <v>3.2580836378541777E-4</v>
      </c>
      <c r="I289">
        <v>3069.2889169002883</v>
      </c>
      <c r="J289">
        <f t="shared" si="73"/>
        <v>-1.7199140057326964E-2</v>
      </c>
      <c r="K289">
        <f t="shared" si="75"/>
        <v>5.18348209754977E-3</v>
      </c>
      <c r="L289">
        <f t="shared" si="76"/>
        <v>1.0230526625232823</v>
      </c>
      <c r="M289">
        <f t="shared" si="77"/>
        <v>1.2273352524088008</v>
      </c>
      <c r="N289" s="2">
        <v>0.13091131867574873</v>
      </c>
      <c r="O289" s="9">
        <v>0.97248553856882125</v>
      </c>
      <c r="P289">
        <f t="shared" si="69"/>
        <v>0</v>
      </c>
      <c r="Q289">
        <f t="shared" si="78"/>
        <v>0.69549633528771626</v>
      </c>
      <c r="R289">
        <f t="shared" si="70"/>
        <v>0.75905099089616956</v>
      </c>
      <c r="S289" s="9">
        <f t="shared" si="79"/>
        <v>1.1634441278233356</v>
      </c>
      <c r="T289">
        <v>0.74140000000000006</v>
      </c>
      <c r="U289">
        <v>0.74166999999999983</v>
      </c>
      <c r="V289">
        <v>0.42624892358375266</v>
      </c>
      <c r="W289" s="9">
        <v>0.94812014051382898</v>
      </c>
      <c r="X289">
        <f t="shared" si="71"/>
        <v>0.31936333873566874</v>
      </c>
      <c r="Y289">
        <f t="shared" si="80"/>
        <v>1.0796564510212716</v>
      </c>
      <c r="Z289">
        <f t="shared" si="74"/>
        <v>-1.7199140057326964E-2</v>
      </c>
      <c r="AA289">
        <f t="shared" si="81"/>
        <v>2.8498575094989105E-2</v>
      </c>
      <c r="AB289">
        <f t="shared" si="68"/>
        <v>0.25168741583890891</v>
      </c>
      <c r="AC289">
        <f t="shared" si="82"/>
        <v>1.5000752110436835</v>
      </c>
      <c r="AD289">
        <f t="shared" si="72"/>
        <v>3.5859684352252741E-4</v>
      </c>
      <c r="AE289">
        <f t="shared" si="83"/>
        <v>0.98255483994484616</v>
      </c>
      <c r="AF289">
        <f t="shared" si="84"/>
        <v>2.6960364784616164E-2</v>
      </c>
    </row>
    <row r="290" spans="1:32" x14ac:dyDescent="0.25">
      <c r="A290" s="6">
        <v>44610.333553240744</v>
      </c>
      <c r="B290">
        <v>77810378.631813049</v>
      </c>
      <c r="C290">
        <v>77766924.024353027</v>
      </c>
      <c r="D290">
        <v>26527.486168766394</v>
      </c>
      <c r="E290">
        <v>233431.13589541614</v>
      </c>
      <c r="F290">
        <v>1.1658102028959719E+19</v>
      </c>
      <c r="G290">
        <v>3324</v>
      </c>
      <c r="H290">
        <v>3.4512493695015292E-4</v>
      </c>
      <c r="I290">
        <v>2897.5014348048458</v>
      </c>
      <c r="J290">
        <f t="shared" si="73"/>
        <v>-5.7597120191979462E-2</v>
      </c>
      <c r="K290">
        <f t="shared" si="75"/>
        <v>-1.8013369452315357E-2</v>
      </c>
      <c r="L290">
        <f t="shared" si="76"/>
        <v>1.0336681095999536</v>
      </c>
      <c r="M290">
        <f t="shared" si="77"/>
        <v>1.2317202714912554</v>
      </c>
      <c r="N290" s="2">
        <v>0.13454567125566178</v>
      </c>
      <c r="O290" s="9">
        <v>0.97628097018884508</v>
      </c>
      <c r="P290">
        <f t="shared" si="69"/>
        <v>0</v>
      </c>
      <c r="Q290">
        <f t="shared" si="78"/>
        <v>0.69549633528771626</v>
      </c>
      <c r="R290">
        <f t="shared" si="70"/>
        <v>0.77796736912274234</v>
      </c>
      <c r="S290" s="9">
        <f t="shared" si="79"/>
        <v>1.1650747572225173</v>
      </c>
      <c r="T290">
        <v>0.70090000000000008</v>
      </c>
      <c r="U290">
        <v>0.74381999999999981</v>
      </c>
      <c r="V290">
        <v>0.41042207803171887</v>
      </c>
      <c r="W290" s="9">
        <v>0.93030674181435313</v>
      </c>
      <c r="X290">
        <f t="shared" si="71"/>
        <v>0.35195877844831236</v>
      </c>
      <c r="Y290">
        <f t="shared" si="80"/>
        <v>1.0642997738276558</v>
      </c>
      <c r="Z290">
        <f t="shared" si="74"/>
        <v>-5.7597120191979462E-2</v>
      </c>
      <c r="AA290">
        <f t="shared" si="81"/>
        <v>7.5196240250639174E-2</v>
      </c>
      <c r="AB290">
        <f t="shared" ref="AB290:AB353" si="85">AVERAGE(AA261:AA290)</f>
        <v>0.24782760882604365</v>
      </c>
      <c r="AC290">
        <f t="shared" si="82"/>
        <v>1.4865336545348484</v>
      </c>
      <c r="AD290">
        <f t="shared" si="72"/>
        <v>3.6855035438679187E-4</v>
      </c>
      <c r="AE290">
        <f t="shared" si="83"/>
        <v>0.9232123506171287</v>
      </c>
      <c r="AF290">
        <f t="shared" si="84"/>
        <v>2.6207103277728239E-2</v>
      </c>
    </row>
    <row r="291" spans="1:32" x14ac:dyDescent="0.25">
      <c r="A291" s="6">
        <v>44611.333460648151</v>
      </c>
      <c r="B291">
        <v>84694808.304130554</v>
      </c>
      <c r="C291">
        <v>84651631.241256714</v>
      </c>
      <c r="D291">
        <v>30266.845517164096</v>
      </c>
      <c r="E291">
        <v>254084.42491240799</v>
      </c>
      <c r="F291">
        <v>9.7263049763676877E+18</v>
      </c>
      <c r="G291">
        <v>3324</v>
      </c>
      <c r="H291">
        <v>3.680442858005025E-4</v>
      </c>
      <c r="I291">
        <v>2717.0643278022458</v>
      </c>
      <c r="J291">
        <f t="shared" si="73"/>
        <v>-6.4296785214310287E-2</v>
      </c>
      <c r="K291">
        <f t="shared" si="75"/>
        <v>-5.2707511483718307E-2</v>
      </c>
      <c r="L291">
        <f t="shared" si="76"/>
        <v>1.1652671922661992</v>
      </c>
      <c r="M291">
        <f t="shared" si="77"/>
        <v>1.2569317443259529</v>
      </c>
      <c r="N291" s="2">
        <v>0.17817997444383959</v>
      </c>
      <c r="O291" s="9">
        <v>0.97138681420980222</v>
      </c>
      <c r="P291">
        <f t="shared" si="69"/>
        <v>0.5241292834249901</v>
      </c>
      <c r="Q291">
        <f t="shared" si="78"/>
        <v>0.71296731140188263</v>
      </c>
      <c r="R291">
        <f t="shared" si="70"/>
        <v>0.9768867144787996</v>
      </c>
      <c r="S291" s="9">
        <f t="shared" si="79"/>
        <v>1.1918412014619373</v>
      </c>
      <c r="T291">
        <v>0.67370000000000008</v>
      </c>
      <c r="U291">
        <v>0.74240666666666644</v>
      </c>
      <c r="V291">
        <v>0.32595117526623368</v>
      </c>
      <c r="W291" s="9">
        <v>0.86572963876499243</v>
      </c>
      <c r="X291">
        <f t="shared" si="71"/>
        <v>0.70114109922945578</v>
      </c>
      <c r="Y291">
        <f t="shared" si="80"/>
        <v>1.0748382989400027</v>
      </c>
      <c r="Z291">
        <f t="shared" si="74"/>
        <v>-6.4296785214310287E-2</v>
      </c>
      <c r="AA291">
        <f t="shared" si="81"/>
        <v>0.14419279048061479</v>
      </c>
      <c r="AB291">
        <f t="shared" si="85"/>
        <v>0.24433445014773383</v>
      </c>
      <c r="AC291">
        <f t="shared" si="82"/>
        <v>1.4741641687584037</v>
      </c>
      <c r="AD291">
        <f t="shared" si="72"/>
        <v>4.8804520010934743E-4</v>
      </c>
      <c r="AE291">
        <f t="shared" si="83"/>
        <v>0.98019965344057902</v>
      </c>
      <c r="AF291">
        <f t="shared" si="84"/>
        <v>2.7299643386124339E-2</v>
      </c>
    </row>
    <row r="292" spans="1:32" x14ac:dyDescent="0.25">
      <c r="A292" s="6">
        <v>44612.333495370367</v>
      </c>
      <c r="B292">
        <v>54346438.735595703</v>
      </c>
      <c r="C292">
        <v>54330622.154960632</v>
      </c>
      <c r="D292">
        <v>20170.584244936705</v>
      </c>
      <c r="E292">
        <v>163039.31620678306</v>
      </c>
      <c r="F292">
        <v>9.5850633100909445E+18</v>
      </c>
      <c r="G292">
        <v>3324</v>
      </c>
      <c r="H292">
        <v>3.7985959320770878E-4</v>
      </c>
      <c r="I292">
        <v>2632.5516529819374</v>
      </c>
      <c r="J292">
        <f t="shared" si="73"/>
        <v>-3.1598420105321684E-2</v>
      </c>
      <c r="K292">
        <f t="shared" si="75"/>
        <v>-1.2311560071906183E-2</v>
      </c>
      <c r="L292">
        <f t="shared" si="76"/>
        <v>0.97218755956109992</v>
      </c>
      <c r="M292">
        <f t="shared" si="77"/>
        <v>1.1938890562178957</v>
      </c>
      <c r="N292" s="2">
        <v>0.11860461759781449</v>
      </c>
      <c r="O292" s="9">
        <v>0.81016950943538413</v>
      </c>
      <c r="P292">
        <f t="shared" si="69"/>
        <v>0</v>
      </c>
      <c r="Q292">
        <f t="shared" si="78"/>
        <v>0.62039205917884377</v>
      </c>
      <c r="R292">
        <f t="shared" si="70"/>
        <v>0.69116191891407242</v>
      </c>
      <c r="S292" s="9">
        <f t="shared" si="79"/>
        <v>1.1183124212289641</v>
      </c>
      <c r="T292">
        <v>0.80680000000000007</v>
      </c>
      <c r="U292">
        <v>0.73798999999999992</v>
      </c>
      <c r="V292">
        <v>0.26768750420870197</v>
      </c>
      <c r="W292" s="9">
        <v>0.81601929297277542</v>
      </c>
      <c r="X292">
        <f t="shared" si="71"/>
        <v>0.54409884917502771</v>
      </c>
      <c r="Y292">
        <f t="shared" si="80"/>
        <v>0.9803681900690453</v>
      </c>
      <c r="Z292">
        <f t="shared" si="74"/>
        <v>-3.1598420105321684E-2</v>
      </c>
      <c r="AA292">
        <f t="shared" si="81"/>
        <v>5.1597420171981045E-2</v>
      </c>
      <c r="AB292">
        <f t="shared" si="85"/>
        <v>0.23417162494719301</v>
      </c>
      <c r="AC292">
        <f t="shared" si="82"/>
        <v>1.4375371109911002</v>
      </c>
      <c r="AD292">
        <f t="shared" si="72"/>
        <v>3.2489137488333353E-4</v>
      </c>
      <c r="AE292">
        <f t="shared" si="83"/>
        <v>1.0583352611024155</v>
      </c>
      <c r="AF292">
        <f t="shared" si="84"/>
        <v>2.4163101158258371E-2</v>
      </c>
    </row>
    <row r="293" spans="1:32" x14ac:dyDescent="0.25">
      <c r="A293" s="6">
        <v>44613.333379629628</v>
      </c>
      <c r="B293">
        <v>74071459.199897766</v>
      </c>
      <c r="C293">
        <v>74065733.293571472</v>
      </c>
      <c r="D293">
        <v>27866.831454772502</v>
      </c>
      <c r="E293">
        <v>222214.37759970129</v>
      </c>
      <c r="F293">
        <v>9.6362183218799288E+18</v>
      </c>
      <c r="G293">
        <v>3321</v>
      </c>
      <c r="H293">
        <v>3.8379216838900732E-4</v>
      </c>
      <c r="I293">
        <v>2605.5768782296036</v>
      </c>
      <c r="J293">
        <f t="shared" si="73"/>
        <v>-1.0299485034329701E-2</v>
      </c>
      <c r="K293">
        <f t="shared" si="75"/>
        <v>3.5787222916766885E-2</v>
      </c>
      <c r="L293">
        <f t="shared" si="76"/>
        <v>1.1251906934033893</v>
      </c>
      <c r="M293">
        <f t="shared" si="77"/>
        <v>1.0917874112600221</v>
      </c>
      <c r="N293" s="2">
        <v>0.16215209373056566</v>
      </c>
      <c r="O293" s="9">
        <v>0.78270980032161264</v>
      </c>
      <c r="P293">
        <f t="shared" si="69"/>
        <v>0.38273810894318078</v>
      </c>
      <c r="Q293">
        <f t="shared" si="78"/>
        <v>0.4935394798720924</v>
      </c>
      <c r="R293">
        <f t="shared" si="70"/>
        <v>0.90889196674796957</v>
      </c>
      <c r="S293" s="9">
        <f t="shared" si="79"/>
        <v>1.0063196670420402</v>
      </c>
      <c r="T293">
        <v>0.88349999999999995</v>
      </c>
      <c r="U293">
        <v>0.73573666666666659</v>
      </c>
      <c r="V293">
        <v>0.2623968528625763</v>
      </c>
      <c r="W293" s="9">
        <v>0.81308796910593839</v>
      </c>
      <c r="X293">
        <f t="shared" si="71"/>
        <v>0.83924412708383644</v>
      </c>
      <c r="Y293">
        <f t="shared" si="80"/>
        <v>0.8117552320522522</v>
      </c>
      <c r="Z293">
        <f t="shared" si="74"/>
        <v>-1.0299485034329701E-2</v>
      </c>
      <c r="AA293">
        <f t="shared" si="81"/>
        <v>4.6397680154650262E-2</v>
      </c>
      <c r="AB293">
        <f t="shared" si="85"/>
        <v>0.22034564956777583</v>
      </c>
      <c r="AC293">
        <f t="shared" si="82"/>
        <v>1.3860880188688138</v>
      </c>
      <c r="AD293">
        <f t="shared" si="72"/>
        <v>4.4415366074860538E-4</v>
      </c>
      <c r="AE293">
        <f t="shared" si="83"/>
        <v>1.0474908944787436</v>
      </c>
      <c r="AF293">
        <f t="shared" si="84"/>
        <v>1.8235709402271816E-2</v>
      </c>
    </row>
    <row r="294" spans="1:32" x14ac:dyDescent="0.25">
      <c r="A294" s="6">
        <v>44614.333391203705</v>
      </c>
      <c r="B294">
        <v>156955923.43130493</v>
      </c>
      <c r="C294">
        <v>156966055.60031891</v>
      </c>
      <c r="D294">
        <v>59963.738637467846</v>
      </c>
      <c r="E294">
        <v>470867.77029390633</v>
      </c>
      <c r="F294">
        <v>1.003044421005789E+19</v>
      </c>
      <c r="G294">
        <v>3327</v>
      </c>
      <c r="H294">
        <v>3.8421455092326617E-4</v>
      </c>
      <c r="I294">
        <v>2602.7124625993565</v>
      </c>
      <c r="J294">
        <f t="shared" si="73"/>
        <v>-1.0999450036663252E-3</v>
      </c>
      <c r="K294">
        <f t="shared" si="75"/>
        <v>3.4710974225994395E-2</v>
      </c>
      <c r="L294">
        <f t="shared" si="76"/>
        <v>1.628142138025686</v>
      </c>
      <c r="M294">
        <f t="shared" si="77"/>
        <v>1.0722525896874187</v>
      </c>
      <c r="N294" s="2">
        <v>0.33502042608855709</v>
      </c>
      <c r="O294" s="9">
        <v>0.76617395130465293</v>
      </c>
      <c r="P294">
        <f t="shared" si="69"/>
        <v>1.2367033269549061</v>
      </c>
      <c r="Q294">
        <f t="shared" si="78"/>
        <v>0.459657978570162</v>
      </c>
      <c r="R294">
        <f t="shared" si="70"/>
        <v>1.486281018543574</v>
      </c>
      <c r="S294" s="9">
        <f t="shared" si="79"/>
        <v>0.97588824888520243</v>
      </c>
      <c r="T294">
        <v>0.78579999999999994</v>
      </c>
      <c r="U294">
        <v>0.73332999999999993</v>
      </c>
      <c r="V294">
        <v>0.19467700343050073</v>
      </c>
      <c r="W294" s="9">
        <v>0.75898142960338</v>
      </c>
      <c r="X294">
        <f t="shared" si="71"/>
        <v>1.5106058389656893</v>
      </c>
      <c r="Y294">
        <f t="shared" si="80"/>
        <v>0.77434621184104058</v>
      </c>
      <c r="Z294">
        <f t="shared" si="74"/>
        <v>-1.0999450036663252E-3</v>
      </c>
      <c r="AA294">
        <f t="shared" si="81"/>
        <v>4.5297735150983939E-2</v>
      </c>
      <c r="AB294">
        <f t="shared" si="85"/>
        <v>0.20534306635110347</v>
      </c>
      <c r="AC294">
        <f t="shared" si="82"/>
        <v>1.3279621834809265</v>
      </c>
      <c r="AD294">
        <f t="shared" si="72"/>
        <v>9.1744320131889438E-4</v>
      </c>
      <c r="AE294">
        <f t="shared" si="83"/>
        <v>1.1869552686810765</v>
      </c>
      <c r="AF294">
        <f t="shared" si="84"/>
        <v>1.3551146097429578E-2</v>
      </c>
    </row>
    <row r="295" spans="1:32" x14ac:dyDescent="0.25">
      <c r="A295" s="6">
        <v>44615.333518518521</v>
      </c>
      <c r="B295">
        <v>86307765.129165649</v>
      </c>
      <c r="C295">
        <v>86341251.738265991</v>
      </c>
      <c r="D295">
        <v>32756.79897502251</v>
      </c>
      <c r="E295">
        <v>258923.29538750648</v>
      </c>
      <c r="F295">
        <v>1.0767501153197525E+19</v>
      </c>
      <c r="G295">
        <v>3333</v>
      </c>
      <c r="H295">
        <v>3.6478338722131093E-4</v>
      </c>
      <c r="I295">
        <v>2741.3529097839883</v>
      </c>
      <c r="J295">
        <f t="shared" si="73"/>
        <v>5.1897405172981366E-2</v>
      </c>
      <c r="K295">
        <f t="shared" si="75"/>
        <v>0.12340569055937019</v>
      </c>
      <c r="L295">
        <f t="shared" si="76"/>
        <v>1.0145972267258692</v>
      </c>
      <c r="M295">
        <f t="shared" si="77"/>
        <v>1.0217602545583395</v>
      </c>
      <c r="N295" s="2">
        <v>0.1749680121291699</v>
      </c>
      <c r="O295" s="9">
        <v>0.75655927556660052</v>
      </c>
      <c r="P295">
        <f t="shared" si="69"/>
        <v>0.49901483667946794</v>
      </c>
      <c r="Q295">
        <f t="shared" si="78"/>
        <v>0.38562314039207451</v>
      </c>
      <c r="R295">
        <f t="shared" si="70"/>
        <v>0.96364513925398187</v>
      </c>
      <c r="S295" s="9">
        <f t="shared" si="79"/>
        <v>0.91326845399694467</v>
      </c>
      <c r="T295">
        <v>0.80230000000000001</v>
      </c>
      <c r="U295">
        <v>0.73078999999999994</v>
      </c>
      <c r="V295">
        <v>0.22561189293592468</v>
      </c>
      <c r="W295" s="9">
        <v>0.78280188186207533</v>
      </c>
      <c r="X295">
        <f t="shared" si="71"/>
        <v>0.92535098336356425</v>
      </c>
      <c r="Y295">
        <f t="shared" si="80"/>
        <v>0.695885251985634</v>
      </c>
      <c r="Z295">
        <f t="shared" si="74"/>
        <v>5.1897405172981366E-2</v>
      </c>
      <c r="AA295">
        <f t="shared" si="81"/>
        <v>0.22328883574425301</v>
      </c>
      <c r="AB295">
        <f t="shared" si="85"/>
        <v>0.19199040063993053</v>
      </c>
      <c r="AC295">
        <f t="shared" si="82"/>
        <v>1.2740163944341925</v>
      </c>
      <c r="AD295">
        <f t="shared" si="72"/>
        <v>4.7924955837471035E-4</v>
      </c>
      <c r="AE295">
        <f t="shared" si="83"/>
        <v>1.1205216215115665</v>
      </c>
      <c r="AF295">
        <f t="shared" si="84"/>
        <v>1.3151129689020102E-2</v>
      </c>
    </row>
    <row r="296" spans="1:32" x14ac:dyDescent="0.25">
      <c r="A296" s="6">
        <v>44616.333333333336</v>
      </c>
      <c r="B296">
        <v>152896165.94574738</v>
      </c>
      <c r="C296">
        <v>152816474.01452637</v>
      </c>
      <c r="D296">
        <v>62207.758112870157</v>
      </c>
      <c r="E296">
        <v>458688.49783724546</v>
      </c>
      <c r="F296">
        <v>7.1572833521075814E+18</v>
      </c>
      <c r="G296">
        <v>3330</v>
      </c>
      <c r="H296">
        <v>4.2161664551963122E-4</v>
      </c>
      <c r="I296">
        <v>2371.8228647436981</v>
      </c>
      <c r="J296">
        <f t="shared" si="73"/>
        <v>-0.14479276048261452</v>
      </c>
      <c r="K296">
        <f t="shared" si="75"/>
        <v>-3.7427559541540027E-3</v>
      </c>
      <c r="L296">
        <f t="shared" si="76"/>
        <v>1.9285844198902924</v>
      </c>
      <c r="M296">
        <f t="shared" si="77"/>
        <v>1.0383458033581754</v>
      </c>
      <c r="N296" s="2">
        <v>0.46497234139789501</v>
      </c>
      <c r="O296" s="9">
        <v>0.75640476118632305</v>
      </c>
      <c r="P296">
        <f t="shared" si="69"/>
        <v>1.6028257676291697</v>
      </c>
      <c r="Q296">
        <f t="shared" si="78"/>
        <v>0.38902018041620962</v>
      </c>
      <c r="R296">
        <f t="shared" si="70"/>
        <v>1.8024002298484172</v>
      </c>
      <c r="S296" s="9">
        <f t="shared" si="79"/>
        <v>0.91626819960658701</v>
      </c>
      <c r="T296">
        <v>0.87580000000000002</v>
      </c>
      <c r="U296">
        <v>0.73065999999999998</v>
      </c>
      <c r="V296">
        <v>0.21110416828438944</v>
      </c>
      <c r="W296" s="9">
        <v>0.77241164717234911</v>
      </c>
      <c r="X296">
        <f t="shared" si="71"/>
        <v>1.8924600059854206</v>
      </c>
      <c r="Y296">
        <f t="shared" si="80"/>
        <v>0.7008801657060324</v>
      </c>
      <c r="Z296">
        <f t="shared" si="74"/>
        <v>-0.14479276048261452</v>
      </c>
      <c r="AA296">
        <f t="shared" si="81"/>
        <v>3.0998450103321917E-2</v>
      </c>
      <c r="AB296">
        <f t="shared" si="85"/>
        <v>0.17632785042105842</v>
      </c>
      <c r="AC296">
        <f t="shared" si="82"/>
        <v>1.2077915873115608</v>
      </c>
      <c r="AD296">
        <f t="shared" si="72"/>
        <v>1.2730861076275376E-3</v>
      </c>
      <c r="AE296">
        <f t="shared" si="83"/>
        <v>0.93370328780962575</v>
      </c>
      <c r="AF296">
        <f t="shared" si="84"/>
        <v>1.4304642041644389E-2</v>
      </c>
    </row>
    <row r="297" spans="1:32" x14ac:dyDescent="0.25">
      <c r="A297" s="6">
        <v>44617.333368055559</v>
      </c>
      <c r="B297">
        <v>170762516.96333313</v>
      </c>
      <c r="C297">
        <v>170827062.77908325</v>
      </c>
      <c r="D297">
        <v>66825.839307202026</v>
      </c>
      <c r="E297">
        <v>512287.55088999867</v>
      </c>
      <c r="F297">
        <v>7.2773548496623995E+18</v>
      </c>
      <c r="G297">
        <v>3316</v>
      </c>
      <c r="H297">
        <v>3.6907620221461113E-4</v>
      </c>
      <c r="I297">
        <v>2709.4675679428337</v>
      </c>
      <c r="J297">
        <f t="shared" si="73"/>
        <v>0.13309334544361848</v>
      </c>
      <c r="K297">
        <f t="shared" si="75"/>
        <v>4.4912445899265553E-2</v>
      </c>
      <c r="L297">
        <f t="shared" si="76"/>
        <v>2.037483370312696</v>
      </c>
      <c r="M297">
        <f t="shared" si="77"/>
        <v>1.074579825534306</v>
      </c>
      <c r="N297" s="2">
        <v>0.52505222532395668</v>
      </c>
      <c r="O297" s="9">
        <v>0.78505891723688814</v>
      </c>
      <c r="P297">
        <f t="shared" si="69"/>
        <v>1.7463360251636941</v>
      </c>
      <c r="Q297">
        <f t="shared" si="78"/>
        <v>0.41461161547625136</v>
      </c>
      <c r="R297">
        <f t="shared" si="70"/>
        <v>1.9311358471029738</v>
      </c>
      <c r="S297" s="9">
        <f t="shared" si="79"/>
        <v>0.93798783006436115</v>
      </c>
      <c r="T297">
        <v>0.75890000000000002</v>
      </c>
      <c r="U297">
        <v>0.72714000000000001</v>
      </c>
      <c r="V297">
        <v>0.18226634476649245</v>
      </c>
      <c r="W297" s="9">
        <v>0.75136306492567029</v>
      </c>
      <c r="X297">
        <f t="shared" si="71"/>
        <v>2.037184638873268</v>
      </c>
      <c r="Y297">
        <f t="shared" si="80"/>
        <v>0.72794136242896179</v>
      </c>
      <c r="Z297">
        <f t="shared" si="74"/>
        <v>0.13309334544361848</v>
      </c>
      <c r="AA297">
        <f t="shared" si="81"/>
        <v>6.4496775214976779E-2</v>
      </c>
      <c r="AB297">
        <f t="shared" si="85"/>
        <v>0.16267853287556336</v>
      </c>
      <c r="AC297">
        <f t="shared" si="82"/>
        <v>1.1471940262879368</v>
      </c>
      <c r="AD297">
        <f t="shared" si="72"/>
        <v>1.4374655985705327E-3</v>
      </c>
      <c r="AE297">
        <f t="shared" si="83"/>
        <v>1.1019652154703823</v>
      </c>
      <c r="AF297">
        <f t="shared" si="84"/>
        <v>1.4432230189471262E-2</v>
      </c>
    </row>
    <row r="298" spans="1:32" x14ac:dyDescent="0.25">
      <c r="A298" s="6">
        <v>44618.333449074074</v>
      </c>
      <c r="B298">
        <v>103767133.24059296</v>
      </c>
      <c r="C298">
        <v>103781626.14048767</v>
      </c>
      <c r="D298">
        <v>37662.56890197657</v>
      </c>
      <c r="E298">
        <v>311301.39972177148</v>
      </c>
      <c r="F298">
        <v>7.5664519404890266E+18</v>
      </c>
      <c r="G298">
        <v>3324</v>
      </c>
      <c r="H298">
        <v>3.6274641095655801E-4</v>
      </c>
      <c r="I298">
        <v>2756.7467790046821</v>
      </c>
      <c r="J298">
        <f t="shared" si="73"/>
        <v>1.7299135057660484E-2</v>
      </c>
      <c r="K298">
        <f t="shared" si="75"/>
        <v>6.9729914049504765E-2</v>
      </c>
      <c r="L298">
        <f t="shared" si="76"/>
        <v>1.475928128811357</v>
      </c>
      <c r="M298">
        <f t="shared" si="77"/>
        <v>1.0733383741385862</v>
      </c>
      <c r="N298" s="2">
        <v>0.28708186185066764</v>
      </c>
      <c r="O298" s="9">
        <v>0.78097908281706652</v>
      </c>
      <c r="P298">
        <f t="shared" si="69"/>
        <v>1.0704796144711108</v>
      </c>
      <c r="Q298">
        <f t="shared" si="78"/>
        <v>0.39965741522902382</v>
      </c>
      <c r="R298">
        <f t="shared" si="70"/>
        <v>1.3511190740196839</v>
      </c>
      <c r="S298" s="9">
        <f t="shared" si="79"/>
        <v>0.92541265281077301</v>
      </c>
      <c r="T298">
        <v>0.75290000000000001</v>
      </c>
      <c r="U298">
        <v>0.72363000000000011</v>
      </c>
      <c r="V298">
        <v>0.18176746085471079</v>
      </c>
      <c r="W298" s="9">
        <v>0.7510966454865009</v>
      </c>
      <c r="X298">
        <f t="shared" si="71"/>
        <v>1.344822816178429</v>
      </c>
      <c r="Y298">
        <f t="shared" si="80"/>
        <v>0.71379289497728027</v>
      </c>
      <c r="Z298">
        <f t="shared" si="74"/>
        <v>1.7299135057660484E-2</v>
      </c>
      <c r="AA298">
        <f t="shared" si="81"/>
        <v>0.11439428038129229</v>
      </c>
      <c r="AB298">
        <f t="shared" si="85"/>
        <v>0.1509524525031454</v>
      </c>
      <c r="AC298">
        <f t="shared" si="82"/>
        <v>1.0927461952136754</v>
      </c>
      <c r="AD298">
        <f t="shared" si="72"/>
        <v>7.8621649969961769E-4</v>
      </c>
      <c r="AE298">
        <f t="shared" si="83"/>
        <v>1.1635694883249619</v>
      </c>
      <c r="AF298">
        <f t="shared" si="84"/>
        <v>1.2318831976252609E-2</v>
      </c>
    </row>
    <row r="299" spans="1:32" x14ac:dyDescent="0.25">
      <c r="A299" s="6">
        <v>44619.333449074074</v>
      </c>
      <c r="B299">
        <v>53187343.471336365</v>
      </c>
      <c r="C299">
        <v>53198916.196632385</v>
      </c>
      <c r="D299">
        <v>19185.823074737564</v>
      </c>
      <c r="E299">
        <v>159562.03041401505</v>
      </c>
      <c r="F299">
        <v>7.6424835138746173E+18</v>
      </c>
      <c r="G299">
        <v>3323</v>
      </c>
      <c r="H299">
        <v>3.5361377011717182E-4</v>
      </c>
      <c r="I299">
        <v>2827.9441710333981</v>
      </c>
      <c r="J299">
        <f t="shared" si="73"/>
        <v>2.5498725084990959E-2</v>
      </c>
      <c r="K299">
        <f t="shared" si="75"/>
        <v>0.10143972849531026</v>
      </c>
      <c r="L299">
        <f t="shared" si="76"/>
        <v>0.96067003784464544</v>
      </c>
      <c r="M299">
        <f t="shared" si="77"/>
        <v>1.059988310838393</v>
      </c>
      <c r="N299" s="2">
        <v>0.14664626133588388</v>
      </c>
      <c r="O299" s="9">
        <v>0.79369313281854026</v>
      </c>
      <c r="P299">
        <f t="shared" si="69"/>
        <v>0.14980587732111131</v>
      </c>
      <c r="Q299">
        <f t="shared" si="78"/>
        <v>0.35984578831545483</v>
      </c>
      <c r="R299">
        <f t="shared" si="70"/>
        <v>0.83787704829619125</v>
      </c>
      <c r="S299" s="9">
        <f t="shared" si="79"/>
        <v>0.90078136218098659</v>
      </c>
      <c r="T299">
        <v>0.9194</v>
      </c>
      <c r="U299">
        <v>0.72906666666666675</v>
      </c>
      <c r="V299">
        <v>0.18792459550873997</v>
      </c>
      <c r="W299" s="9">
        <v>0.75652394113506838</v>
      </c>
      <c r="X299">
        <f t="shared" si="71"/>
        <v>0.74540422372894422</v>
      </c>
      <c r="Y299">
        <f t="shared" si="80"/>
        <v>0.6862237508425858</v>
      </c>
      <c r="Z299">
        <f t="shared" si="74"/>
        <v>2.5498725084990959E-2</v>
      </c>
      <c r="AA299">
        <f t="shared" si="81"/>
        <v>0.17699115058993659</v>
      </c>
      <c r="AB299">
        <f t="shared" si="85"/>
        <v>0.14166958330553758</v>
      </c>
      <c r="AC299">
        <f t="shared" si="82"/>
        <v>1.0479211114657847</v>
      </c>
      <c r="AD299">
        <f t="shared" si="72"/>
        <v>4.0168989081477443E-4</v>
      </c>
      <c r="AE299">
        <f t="shared" si="83"/>
        <v>1.096140540080994</v>
      </c>
      <c r="AF299">
        <f t="shared" si="84"/>
        <v>1.3536818868915113E-2</v>
      </c>
    </row>
    <row r="300" spans="1:32" x14ac:dyDescent="0.25">
      <c r="A300" s="6">
        <v>44620.333402777775</v>
      </c>
      <c r="B300">
        <v>131446859.20440674</v>
      </c>
      <c r="C300">
        <v>131408333.10742187</v>
      </c>
      <c r="D300">
        <v>49488.400560723618</v>
      </c>
      <c r="E300">
        <v>394340.57761320472</v>
      </c>
      <c r="F300">
        <v>9.3777098648245309E+18</v>
      </c>
      <c r="G300">
        <v>3332</v>
      </c>
      <c r="H300">
        <v>3.7849462533567826E-4</v>
      </c>
      <c r="I300">
        <v>2642.045442820021</v>
      </c>
      <c r="J300">
        <f t="shared" si="73"/>
        <v>-6.7996600226642112E-2</v>
      </c>
      <c r="K300">
        <f t="shared" si="75"/>
        <v>2.7621014061981447E-2</v>
      </c>
      <c r="L300">
        <f t="shared" si="76"/>
        <v>1.5379085179882406</v>
      </c>
      <c r="M300">
        <f t="shared" si="77"/>
        <v>1.0806201375613425</v>
      </c>
      <c r="N300" s="2">
        <v>0.29796580205408424</v>
      </c>
      <c r="O300" s="9">
        <v>0.87471041250967663</v>
      </c>
      <c r="P300">
        <f t="shared" si="69"/>
        <v>1.1104044878446551</v>
      </c>
      <c r="Q300">
        <f t="shared" si="78"/>
        <v>0.37565323369544174</v>
      </c>
      <c r="R300">
        <f t="shared" si="70"/>
        <v>1.3829657529408097</v>
      </c>
      <c r="S300" s="9">
        <f t="shared" si="79"/>
        <v>0.91216995039305748</v>
      </c>
      <c r="T300">
        <v>0.82450000000000001</v>
      </c>
      <c r="U300">
        <v>0.73265666666666684</v>
      </c>
      <c r="V300">
        <v>0.18792459550873997</v>
      </c>
      <c r="W300" s="9">
        <v>0.76096983008050278</v>
      </c>
      <c r="X300">
        <f t="shared" si="71"/>
        <v>1.3155490271445067</v>
      </c>
      <c r="Y300">
        <f t="shared" si="80"/>
        <v>0.69871083571654313</v>
      </c>
      <c r="Z300">
        <f t="shared" si="74"/>
        <v>-6.7996600226642112E-2</v>
      </c>
      <c r="AA300">
        <f t="shared" si="81"/>
        <v>2.3798810079325272E-2</v>
      </c>
      <c r="AB300">
        <f t="shared" si="85"/>
        <v>0.13010016176697514</v>
      </c>
      <c r="AC300">
        <f t="shared" si="82"/>
        <v>0.98971461694803398</v>
      </c>
      <c r="AD300">
        <f t="shared" si="72"/>
        <v>8.160116350888712E-4</v>
      </c>
      <c r="AE300">
        <f t="shared" si="83"/>
        <v>1.0089392738085776</v>
      </c>
      <c r="AF300">
        <f t="shared" si="84"/>
        <v>1.4882160794173815E-2</v>
      </c>
    </row>
    <row r="301" spans="1:32" x14ac:dyDescent="0.25">
      <c r="A301" s="6">
        <v>44621.333854166667</v>
      </c>
      <c r="B301">
        <v>88922869.613647461</v>
      </c>
      <c r="C301">
        <v>88980539.54158783</v>
      </c>
      <c r="D301">
        <v>31288.968667326495</v>
      </c>
      <c r="E301">
        <v>266768.60884097219</v>
      </c>
      <c r="F301">
        <v>7.9475060064762132E+18</v>
      </c>
      <c r="G301">
        <v>3331</v>
      </c>
      <c r="H301">
        <v>3.3981700852810673E-4</v>
      </c>
      <c r="I301">
        <v>2942.7602942284411</v>
      </c>
      <c r="J301">
        <f t="shared" si="73"/>
        <v>0.10779461035929452</v>
      </c>
      <c r="K301">
        <f t="shared" si="75"/>
        <v>7.4118128136942754E-2</v>
      </c>
      <c r="L301">
        <f t="shared" si="76"/>
        <v>1.3202852813127479</v>
      </c>
      <c r="M301">
        <f t="shared" si="77"/>
        <v>1.10721729770175</v>
      </c>
      <c r="N301" s="2">
        <v>0.23459971616025332</v>
      </c>
      <c r="O301" s="9">
        <v>0.87608459153966356</v>
      </c>
      <c r="P301">
        <f t="shared" si="69"/>
        <v>0.85209708336251422</v>
      </c>
      <c r="Q301">
        <f t="shared" si="78"/>
        <v>0.40405646980752558</v>
      </c>
      <c r="R301">
        <f t="shared" si="70"/>
        <v>1.1856076866554524</v>
      </c>
      <c r="S301" s="9">
        <f t="shared" si="79"/>
        <v>0.92803483276260068</v>
      </c>
      <c r="T301">
        <v>0.81559999999999999</v>
      </c>
      <c r="U301">
        <v>0.73556333333333346</v>
      </c>
      <c r="V301">
        <v>0.20207097169496416</v>
      </c>
      <c r="W301" s="9">
        <v>0.76610943563073375</v>
      </c>
      <c r="X301">
        <f t="shared" si="71"/>
        <v>1.0777206609604288</v>
      </c>
      <c r="Y301">
        <f t="shared" si="80"/>
        <v>0.71717100248677113</v>
      </c>
      <c r="Z301">
        <f t="shared" si="74"/>
        <v>0.10779461035929452</v>
      </c>
      <c r="AA301">
        <f t="shared" si="81"/>
        <v>0.11669416538895869</v>
      </c>
      <c r="AB301">
        <f t="shared" si="85"/>
        <v>0.12169724857230045</v>
      </c>
      <c r="AC301">
        <f t="shared" si="82"/>
        <v>0.94566082236258842</v>
      </c>
      <c r="AD301">
        <f t="shared" si="72"/>
        <v>6.4253248017177736E-4</v>
      </c>
      <c r="AE301">
        <f t="shared" si="83"/>
        <v>1.1597362290296063</v>
      </c>
      <c r="AF301">
        <f t="shared" si="84"/>
        <v>1.2425113497971818E-2</v>
      </c>
    </row>
    <row r="302" spans="1:32" x14ac:dyDescent="0.25">
      <c r="A302" s="6">
        <v>44622.333483796298</v>
      </c>
      <c r="B302">
        <v>113666361.6975708</v>
      </c>
      <c r="C302">
        <v>113713570.3602829</v>
      </c>
      <c r="D302">
        <v>38102.246144244447</v>
      </c>
      <c r="E302">
        <v>340999.08509269357</v>
      </c>
      <c r="F302">
        <v>8.2449231969546506E+18</v>
      </c>
      <c r="G302">
        <v>3327</v>
      </c>
      <c r="H302">
        <v>3.3462417368467325E-4</v>
      </c>
      <c r="I302">
        <v>2988.4272525461088</v>
      </c>
      <c r="J302">
        <f t="shared" si="73"/>
        <v>1.5399230051327793E-2</v>
      </c>
      <c r="K302">
        <f t="shared" si="75"/>
        <v>9.7392933477307125E-2</v>
      </c>
      <c r="L302">
        <f t="shared" si="76"/>
        <v>1.4104401378438918</v>
      </c>
      <c r="M302">
        <f t="shared" si="77"/>
        <v>1.1313278711979118</v>
      </c>
      <c r="N302" s="2">
        <v>0.27750765203191696</v>
      </c>
      <c r="O302" s="9">
        <v>0.87123769965143338</v>
      </c>
      <c r="P302">
        <f t="shared" si="69"/>
        <v>1.0340855508362026</v>
      </c>
      <c r="Q302">
        <f t="shared" si="78"/>
        <v>0.4300048459676748</v>
      </c>
      <c r="R302">
        <f t="shared" si="70"/>
        <v>1.3224708214663199</v>
      </c>
      <c r="S302" s="9">
        <f t="shared" si="79"/>
        <v>0.94334712753083749</v>
      </c>
      <c r="T302">
        <v>0.75349999999999995</v>
      </c>
      <c r="U302">
        <v>0.73713666666666677</v>
      </c>
      <c r="V302">
        <v>0.20207097169496416</v>
      </c>
      <c r="W302" s="9">
        <v>0.7596390910644969</v>
      </c>
      <c r="X302">
        <f t="shared" si="71"/>
        <v>1.2458252790495883</v>
      </c>
      <c r="Y302">
        <f t="shared" si="80"/>
        <v>0.73478080866060635</v>
      </c>
      <c r="Z302">
        <f t="shared" si="74"/>
        <v>1.5399230051327793E-2</v>
      </c>
      <c r="AA302">
        <f t="shared" si="81"/>
        <v>0.16359182054527502</v>
      </c>
      <c r="AB302">
        <f t="shared" si="85"/>
        <v>0.11451094121501418</v>
      </c>
      <c r="AC302">
        <f t="shared" si="82"/>
        <v>0.90669271153724362</v>
      </c>
      <c r="AD302">
        <f t="shared" si="72"/>
        <v>7.6000605929034751E-4</v>
      </c>
      <c r="AE302">
        <f t="shared" si="83"/>
        <v>1.0757266107671415</v>
      </c>
      <c r="AF302">
        <f t="shared" si="84"/>
        <v>1.4878493949489702E-2</v>
      </c>
    </row>
    <row r="303" spans="1:32" x14ac:dyDescent="0.25">
      <c r="A303" s="6">
        <v>44623.333495370367</v>
      </c>
      <c r="B303">
        <v>69799968.271644592</v>
      </c>
      <c r="C303">
        <v>69786764.26386261</v>
      </c>
      <c r="D303">
        <v>23625.795561619103</v>
      </c>
      <c r="E303">
        <v>209399.90481492877</v>
      </c>
      <c r="F303">
        <v>8.1715774834862879E+18</v>
      </c>
      <c r="G303">
        <v>3330</v>
      </c>
      <c r="H303">
        <v>3.4275188996226304E-4</v>
      </c>
      <c r="I303">
        <v>2917.5623221511628</v>
      </c>
      <c r="J303">
        <f t="shared" si="73"/>
        <v>-2.3998800079991535E-2</v>
      </c>
      <c r="K303">
        <f t="shared" si="75"/>
        <v>4.0210449858620753E-2</v>
      </c>
      <c r="L303">
        <f t="shared" si="76"/>
        <v>1.1545672418876054</v>
      </c>
      <c r="M303">
        <f t="shared" si="77"/>
        <v>1.141276813646392</v>
      </c>
      <c r="N303" s="2">
        <v>0.17154586905933078</v>
      </c>
      <c r="O303" s="9">
        <v>0.87443401074381666</v>
      </c>
      <c r="P303">
        <f t="shared" si="69"/>
        <v>0.47078515553012401</v>
      </c>
      <c r="Q303">
        <f t="shared" si="78"/>
        <v>0.44087344808470647</v>
      </c>
      <c r="R303">
        <f t="shared" si="70"/>
        <v>0.94933387691007487</v>
      </c>
      <c r="S303" s="9">
        <f t="shared" si="79"/>
        <v>0.94709212617401117</v>
      </c>
      <c r="T303">
        <v>0.76129999999999998</v>
      </c>
      <c r="U303">
        <v>0.73897333333333348</v>
      </c>
      <c r="V303">
        <v>0.20207097169496416</v>
      </c>
      <c r="W303" s="9">
        <v>0.75876694652658405</v>
      </c>
      <c r="X303">
        <f t="shared" si="71"/>
        <v>0.78947844365813702</v>
      </c>
      <c r="Y303">
        <f t="shared" si="80"/>
        <v>0.7388152752240742</v>
      </c>
      <c r="Z303">
        <f t="shared" si="74"/>
        <v>-2.3998800079991535E-2</v>
      </c>
      <c r="AA303">
        <f t="shared" si="81"/>
        <v>4.8997550163316132E-2</v>
      </c>
      <c r="AB303">
        <f t="shared" si="85"/>
        <v>0.10618469085392833</v>
      </c>
      <c r="AC303">
        <f t="shared" si="82"/>
        <v>0.85993118233099286</v>
      </c>
      <c r="AD303">
        <f t="shared" si="72"/>
        <v>4.6987827226646362E-4</v>
      </c>
      <c r="AE303">
        <f t="shared" si="83"/>
        <v>1.0403924732946532</v>
      </c>
      <c r="AF303">
        <f t="shared" si="84"/>
        <v>1.5425278529676456E-2</v>
      </c>
    </row>
    <row r="304" spans="1:32" x14ac:dyDescent="0.25">
      <c r="A304" s="6">
        <v>44624.333356481482</v>
      </c>
      <c r="B304">
        <v>55186445.267738342</v>
      </c>
      <c r="C304">
        <v>55150212.909851074</v>
      </c>
      <c r="D304">
        <v>19790.062458734959</v>
      </c>
      <c r="E304">
        <v>165559.33580321074</v>
      </c>
      <c r="F304">
        <v>7.9820367496259072E+18</v>
      </c>
      <c r="G304">
        <v>3337</v>
      </c>
      <c r="H304">
        <v>3.6642852900105598E-4</v>
      </c>
      <c r="I304">
        <v>2729.045150294829</v>
      </c>
      <c r="J304">
        <f t="shared" si="73"/>
        <v>-6.6796660222642829E-2</v>
      </c>
      <c r="K304">
        <f t="shared" si="75"/>
        <v>3.3424100355371814E-3</v>
      </c>
      <c r="L304">
        <f t="shared" si="76"/>
        <v>1.0667369855475113</v>
      </c>
      <c r="M304">
        <f t="shared" si="77"/>
        <v>1.1500500248048549</v>
      </c>
      <c r="N304" s="2">
        <v>0.14227495512829388</v>
      </c>
      <c r="O304" s="9">
        <v>0.90801846380022611</v>
      </c>
      <c r="P304">
        <f t="shared" si="69"/>
        <v>0</v>
      </c>
      <c r="Q304">
        <f t="shared" si="78"/>
        <v>0.44087344808470647</v>
      </c>
      <c r="R304">
        <f t="shared" si="70"/>
        <v>0.81674200234885563</v>
      </c>
      <c r="S304" s="9">
        <f t="shared" si="79"/>
        <v>0.9473390356735657</v>
      </c>
      <c r="T304">
        <v>0.86540000000000006</v>
      </c>
      <c r="U304">
        <v>0.74347333333333343</v>
      </c>
      <c r="V304">
        <v>0.20207097169496416</v>
      </c>
      <c r="W304" s="9">
        <v>0.75487644368896312</v>
      </c>
      <c r="X304">
        <f t="shared" si="71"/>
        <v>0.56375869244100651</v>
      </c>
      <c r="Y304">
        <f t="shared" si="80"/>
        <v>0.73680641327272722</v>
      </c>
      <c r="Z304">
        <f t="shared" si="74"/>
        <v>-6.6796660222642829E-2</v>
      </c>
      <c r="AA304">
        <f t="shared" si="81"/>
        <v>2.7198640090656707E-2</v>
      </c>
      <c r="AB304">
        <f t="shared" si="85"/>
        <v>9.6701831655653978E-2</v>
      </c>
      <c r="AC304">
        <f t="shared" si="82"/>
        <v>0.80437749305727446</v>
      </c>
      <c r="AD304">
        <f t="shared" si="72"/>
        <v>3.897184475114347E-4</v>
      </c>
      <c r="AE304">
        <f t="shared" si="83"/>
        <v>1.0455026506195362</v>
      </c>
      <c r="AF304">
        <f t="shared" si="84"/>
        <v>1.5377173745477757E-2</v>
      </c>
    </row>
    <row r="305" spans="1:32" x14ac:dyDescent="0.25">
      <c r="A305" s="6">
        <v>44625.333437499998</v>
      </c>
      <c r="B305">
        <v>54321649.018104553</v>
      </c>
      <c r="C305">
        <v>54308376.02116394</v>
      </c>
      <c r="D305">
        <v>20443.404260316864</v>
      </c>
      <c r="E305">
        <v>162964.94705432653</v>
      </c>
      <c r="F305">
        <v>1.0168480294410013E+19</v>
      </c>
      <c r="G305">
        <v>3355</v>
      </c>
      <c r="H305">
        <v>3.7559155304298141E-4</v>
      </c>
      <c r="I305">
        <v>2662.4666926030773</v>
      </c>
      <c r="J305">
        <f t="shared" si="73"/>
        <v>-2.4698765082324315E-2</v>
      </c>
      <c r="K305">
        <f t="shared" si="75"/>
        <v>2.6930077795696609E-2</v>
      </c>
      <c r="L305">
        <f t="shared" si="76"/>
        <v>0.94550721938878923</v>
      </c>
      <c r="M305">
        <f t="shared" si="77"/>
        <v>1.1497300153492864</v>
      </c>
      <c r="N305" s="2">
        <v>0.11395382623398566</v>
      </c>
      <c r="O305" s="9">
        <v>0.91039618177183779</v>
      </c>
      <c r="P305">
        <f t="shared" si="69"/>
        <v>0</v>
      </c>
      <c r="Q305">
        <f t="shared" si="78"/>
        <v>0.41698818396679849</v>
      </c>
      <c r="R305">
        <f t="shared" si="70"/>
        <v>0.66370058554016065</v>
      </c>
      <c r="S305" s="9">
        <f t="shared" si="79"/>
        <v>0.93305342435144856</v>
      </c>
      <c r="T305">
        <v>0.80110000000000003</v>
      </c>
      <c r="U305">
        <v>0.74684333333333341</v>
      </c>
      <c r="V305">
        <v>0.20207097169496416</v>
      </c>
      <c r="W305" s="9">
        <v>0.74593039293038166</v>
      </c>
      <c r="X305">
        <f t="shared" si="71"/>
        <v>0.28826293729434277</v>
      </c>
      <c r="Y305">
        <f t="shared" si="80"/>
        <v>0.71373352343996244</v>
      </c>
      <c r="Z305">
        <f t="shared" si="74"/>
        <v>-2.4698765082324315E-2</v>
      </c>
      <c r="AA305">
        <f t="shared" si="81"/>
        <v>1.9799010065992894E-2</v>
      </c>
      <c r="AB305">
        <f t="shared" si="85"/>
        <v>8.4622435615391678E-2</v>
      </c>
      <c r="AC305">
        <f t="shared" si="82"/>
        <v>0.72966746361386181</v>
      </c>
      <c r="AD305">
        <f t="shared" si="72"/>
        <v>3.1215353866919168E-4</v>
      </c>
      <c r="AE305">
        <f t="shared" si="83"/>
        <v>0.93725793212103292</v>
      </c>
      <c r="AF305">
        <f t="shared" si="84"/>
        <v>1.4834234693428483E-2</v>
      </c>
    </row>
    <row r="306" spans="1:32" x14ac:dyDescent="0.25">
      <c r="A306" s="6">
        <v>44626.333425925928</v>
      </c>
      <c r="B306">
        <v>31102287.811103821</v>
      </c>
      <c r="C306">
        <v>31093071.919754028</v>
      </c>
      <c r="D306">
        <v>11770.602577717975</v>
      </c>
      <c r="E306">
        <v>93306.863433301449</v>
      </c>
      <c r="F306">
        <v>1.2206202758180708E+19</v>
      </c>
      <c r="G306">
        <v>3366</v>
      </c>
      <c r="H306">
        <v>3.8260431418396534E-4</v>
      </c>
      <c r="I306">
        <v>2613.6662942048688</v>
      </c>
      <c r="J306">
        <f t="shared" si="73"/>
        <v>-1.8499075061659966E-2</v>
      </c>
      <c r="K306">
        <f t="shared" si="75"/>
        <v>-2.7362026173794015E-2</v>
      </c>
      <c r="L306">
        <f t="shared" si="76"/>
        <v>0.6442181080247269</v>
      </c>
      <c r="M306">
        <f t="shared" si="77"/>
        <v>1.1398859487882944</v>
      </c>
      <c r="N306" s="2">
        <v>5.4154286752330694E-2</v>
      </c>
      <c r="O306" s="9">
        <v>0.83381455849878094</v>
      </c>
      <c r="P306">
        <f t="shared" si="69"/>
        <v>0</v>
      </c>
      <c r="Q306">
        <f t="shared" si="78"/>
        <v>0.40587457241316477</v>
      </c>
      <c r="R306">
        <f t="shared" si="70"/>
        <v>0</v>
      </c>
      <c r="S306" s="9">
        <f t="shared" si="79"/>
        <v>0.90341191305450508</v>
      </c>
      <c r="T306">
        <v>0.85499999999999998</v>
      </c>
      <c r="U306">
        <v>0.7520933333333335</v>
      </c>
      <c r="V306">
        <v>0.20678487318799837</v>
      </c>
      <c r="W306" s="9">
        <v>0.76044537145442059</v>
      </c>
      <c r="X306">
        <f t="shared" si="71"/>
        <v>0</v>
      </c>
      <c r="Y306">
        <f t="shared" si="80"/>
        <v>0.69262824700095937</v>
      </c>
      <c r="Z306">
        <f t="shared" si="74"/>
        <v>-1.8499075061659966E-2</v>
      </c>
      <c r="AA306">
        <f t="shared" si="81"/>
        <v>8.3295835277636676E-2</v>
      </c>
      <c r="AB306">
        <f t="shared" si="85"/>
        <v>7.7886105759605209E-2</v>
      </c>
      <c r="AC306">
        <f t="shared" si="82"/>
        <v>0.68586790402606046</v>
      </c>
      <c r="AD306">
        <f t="shared" si="72"/>
        <v>1.483569034808427E-4</v>
      </c>
      <c r="AE306">
        <f t="shared" si="83"/>
        <v>0.86736718003217839</v>
      </c>
      <c r="AF306">
        <f t="shared" si="84"/>
        <v>1.251520765054237E-2</v>
      </c>
    </row>
    <row r="307" spans="1:32" x14ac:dyDescent="0.25">
      <c r="A307" s="6">
        <v>44627.333333333336</v>
      </c>
      <c r="B307">
        <v>69960164.775337219</v>
      </c>
      <c r="C307">
        <v>69943253.329017639</v>
      </c>
      <c r="D307">
        <v>27228.125861573964</v>
      </c>
      <c r="E307">
        <v>209880.49432602525</v>
      </c>
      <c r="F307">
        <v>1.2282178824478964E+19</v>
      </c>
      <c r="G307">
        <v>3376</v>
      </c>
      <c r="H307">
        <v>3.8998191956941293E-4</v>
      </c>
      <c r="I307">
        <v>2564.2214416097049</v>
      </c>
      <c r="J307">
        <f t="shared" si="73"/>
        <v>-1.9099045063659597E-2</v>
      </c>
      <c r="K307">
        <f t="shared" si="75"/>
        <v>-6.6402617651680526E-2</v>
      </c>
      <c r="L307">
        <f t="shared" si="76"/>
        <v>0.93767402206030914</v>
      </c>
      <c r="M307">
        <f t="shared" si="77"/>
        <v>1.1361173863649496</v>
      </c>
      <c r="N307" s="2">
        <v>0.12331325222149803</v>
      </c>
      <c r="O307" s="9">
        <v>0.83403212410641892</v>
      </c>
      <c r="P307">
        <f t="shared" si="69"/>
        <v>0</v>
      </c>
      <c r="Q307">
        <f t="shared" si="78"/>
        <v>0.40587457241316477</v>
      </c>
      <c r="R307">
        <f t="shared" si="70"/>
        <v>0.71789544861800814</v>
      </c>
      <c r="S307" s="9">
        <f t="shared" si="79"/>
        <v>0.90013848534781737</v>
      </c>
      <c r="T307">
        <v>0.89890000000000003</v>
      </c>
      <c r="U307">
        <v>0.76051000000000024</v>
      </c>
      <c r="V307">
        <v>0.20678487318799837</v>
      </c>
      <c r="W307" s="9">
        <v>0.77508355575763943</v>
      </c>
      <c r="X307">
        <f t="shared" si="71"/>
        <v>0.54262265618794436</v>
      </c>
      <c r="Y307">
        <f t="shared" si="80"/>
        <v>0.69296549563358456</v>
      </c>
      <c r="Z307">
        <f t="shared" si="74"/>
        <v>-1.9099045063659597E-2</v>
      </c>
      <c r="AA307">
        <f t="shared" si="81"/>
        <v>0.16139193053794182</v>
      </c>
      <c r="AB307">
        <f t="shared" si="85"/>
        <v>7.9632685098760161E-2</v>
      </c>
      <c r="AC307">
        <f t="shared" si="82"/>
        <v>0.69738104079090546</v>
      </c>
      <c r="AD307">
        <f t="shared" si="72"/>
        <v>3.377874700226048E-4</v>
      </c>
      <c r="AE307">
        <f t="shared" si="83"/>
        <v>0.8526620238924093</v>
      </c>
      <c r="AF307">
        <f t="shared" si="84"/>
        <v>1.1811585448134432E-2</v>
      </c>
    </row>
    <row r="308" spans="1:32" x14ac:dyDescent="0.25">
      <c r="A308" s="6">
        <v>44628.333368055559</v>
      </c>
      <c r="B308">
        <v>131723133.56208038</v>
      </c>
      <c r="C308">
        <v>131730255.93927765</v>
      </c>
      <c r="D308">
        <v>51841.40848974511</v>
      </c>
      <c r="E308">
        <v>395169.40068623424</v>
      </c>
      <c r="F308">
        <v>1.2944387205021319E+19</v>
      </c>
      <c r="G308">
        <v>3390</v>
      </c>
      <c r="H308">
        <v>3.8838634663602843E-4</v>
      </c>
      <c r="I308">
        <v>2574.7558034967124</v>
      </c>
      <c r="J308">
        <f t="shared" si="73"/>
        <v>4.0997950136651504E-3</v>
      </c>
      <c r="K308">
        <f t="shared" si="75"/>
        <v>-6.3100922225731298E-2</v>
      </c>
      <c r="L308">
        <f t="shared" si="76"/>
        <v>1.2996034408212691</v>
      </c>
      <c r="M308">
        <f t="shared" si="77"/>
        <v>1.1556194999440013</v>
      </c>
      <c r="N308" s="2">
        <v>0.2232302135881129</v>
      </c>
      <c r="O308" s="9">
        <v>0.84134783687224213</v>
      </c>
      <c r="P308">
        <f t="shared" si="69"/>
        <v>0.79694003469381558</v>
      </c>
      <c r="Q308">
        <f t="shared" si="78"/>
        <v>0.43243924023629193</v>
      </c>
      <c r="R308">
        <f t="shared" si="70"/>
        <v>1.146607851917721</v>
      </c>
      <c r="S308" s="9">
        <f t="shared" si="79"/>
        <v>0.93085670191550396</v>
      </c>
      <c r="T308">
        <v>0.85299999999999998</v>
      </c>
      <c r="U308">
        <v>0.76581666666666692</v>
      </c>
      <c r="V308">
        <v>0.20678487318799837</v>
      </c>
      <c r="W308" s="9">
        <v>0.77236461763352426</v>
      </c>
      <c r="X308">
        <f t="shared" si="71"/>
        <v>1.0617224542391936</v>
      </c>
      <c r="Y308">
        <f t="shared" si="80"/>
        <v>0.72835624410822442</v>
      </c>
      <c r="Z308">
        <f t="shared" si="74"/>
        <v>4.0997950136651504E-3</v>
      </c>
      <c r="AA308">
        <f t="shared" si="81"/>
        <v>0.15529223551761059</v>
      </c>
      <c r="AB308">
        <f t="shared" si="85"/>
        <v>8.2272553107559224E-2</v>
      </c>
      <c r="AC308">
        <f t="shared" si="82"/>
        <v>0.71457215933365348</v>
      </c>
      <c r="AD308">
        <f t="shared" si="72"/>
        <v>6.1140268155177447E-4</v>
      </c>
      <c r="AE308">
        <f t="shared" si="83"/>
        <v>0.83644787760247452</v>
      </c>
      <c r="AF308">
        <f t="shared" si="84"/>
        <v>1.1430747876285841E-2</v>
      </c>
    </row>
    <row r="309" spans="1:32" x14ac:dyDescent="0.25">
      <c r="A309" s="6">
        <v>44629.333333333336</v>
      </c>
      <c r="B309">
        <v>118022909.83753204</v>
      </c>
      <c r="C309">
        <v>118071381.0737381</v>
      </c>
      <c r="D309">
        <v>45168.634209061041</v>
      </c>
      <c r="E309">
        <v>354068.72951260209</v>
      </c>
      <c r="F309">
        <v>1.264742813663164E+19</v>
      </c>
      <c r="G309">
        <v>3396</v>
      </c>
      <c r="H309">
        <v>3.6511182362247588E-4</v>
      </c>
      <c r="I309">
        <v>2738.8869253218045</v>
      </c>
      <c r="J309">
        <f t="shared" si="73"/>
        <v>6.1796910205977468E-2</v>
      </c>
      <c r="K309">
        <f t="shared" si="75"/>
        <v>-4.3104081482475201E-2</v>
      </c>
      <c r="L309">
        <f t="shared" si="76"/>
        <v>1.2638347079805969</v>
      </c>
      <c r="M309">
        <f t="shared" si="77"/>
        <v>1.1679360239585435</v>
      </c>
      <c r="N309" s="2">
        <v>0.20531063429339194</v>
      </c>
      <c r="O309" s="9">
        <v>0.8627046253840116</v>
      </c>
      <c r="P309">
        <f t="shared" si="69"/>
        <v>0.70125372336980318</v>
      </c>
      <c r="Q309">
        <f t="shared" si="78"/>
        <v>0.45581436434861872</v>
      </c>
      <c r="R309">
        <f t="shared" si="70"/>
        <v>1.0822905948596258</v>
      </c>
      <c r="S309" s="9">
        <f t="shared" si="79"/>
        <v>0.94781412372135243</v>
      </c>
      <c r="T309">
        <v>0.8508</v>
      </c>
      <c r="U309">
        <v>0.77094333333333354</v>
      </c>
      <c r="V309">
        <v>0.20678487318799837</v>
      </c>
      <c r="W309" s="9">
        <v>0.76447676866255954</v>
      </c>
      <c r="X309">
        <f t="shared" si="71"/>
        <v>0.96557854051586067</v>
      </c>
      <c r="Y309">
        <f t="shared" si="80"/>
        <v>0.76054219545875301</v>
      </c>
      <c r="Z309">
        <f t="shared" si="74"/>
        <v>6.1796910205977468E-2</v>
      </c>
      <c r="AA309">
        <f t="shared" si="81"/>
        <v>0.11679416038929155</v>
      </c>
      <c r="AB309">
        <f t="shared" si="85"/>
        <v>8.4842424616124998E-2</v>
      </c>
      <c r="AC309">
        <f t="shared" si="82"/>
        <v>0.73107084617351858</v>
      </c>
      <c r="AD309">
        <f t="shared" si="72"/>
        <v>5.6233674752479844E-4</v>
      </c>
      <c r="AE309">
        <f t="shared" si="83"/>
        <v>0.89351302197046845</v>
      </c>
      <c r="AF309">
        <f t="shared" si="84"/>
        <v>1.4151175976985009E-2</v>
      </c>
    </row>
    <row r="310" spans="1:32" x14ac:dyDescent="0.25">
      <c r="A310" s="6">
        <v>44630.33357638889</v>
      </c>
      <c r="B310">
        <v>73833453.797286987</v>
      </c>
      <c r="C310">
        <v>73785863.017677307</v>
      </c>
      <c r="D310">
        <v>27606.358564922586</v>
      </c>
      <c r="E310">
        <v>221500.36139184237</v>
      </c>
      <c r="F310">
        <v>1.4809137671428542E+19</v>
      </c>
      <c r="G310">
        <v>3415</v>
      </c>
      <c r="H310">
        <v>3.8413771953798139E-4</v>
      </c>
      <c r="I310">
        <v>2603.2330311190012</v>
      </c>
      <c r="J310">
        <f t="shared" si="73"/>
        <v>-5.079746016931478E-2</v>
      </c>
      <c r="K310">
        <f t="shared" si="75"/>
        <v>-6.5983722369152648E-2</v>
      </c>
      <c r="L310">
        <f t="shared" si="76"/>
        <v>0.85434232186286363</v>
      </c>
      <c r="M310">
        <f t="shared" si="77"/>
        <v>1.1612089579127298</v>
      </c>
      <c r="N310" s="2">
        <v>0.10447816398722935</v>
      </c>
      <c r="O310" s="9">
        <v>0.87444842879384654</v>
      </c>
      <c r="P310">
        <f t="shared" si="69"/>
        <v>0</v>
      </c>
      <c r="Q310">
        <f t="shared" si="78"/>
        <v>0.45581436434861872</v>
      </c>
      <c r="R310">
        <f t="shared" si="70"/>
        <v>0.60389831037377617</v>
      </c>
      <c r="S310" s="9">
        <f t="shared" si="79"/>
        <v>0.94115244271689069</v>
      </c>
      <c r="T310">
        <v>0.79870000000000008</v>
      </c>
      <c r="U310">
        <v>0.77565333333333342</v>
      </c>
      <c r="V310">
        <v>0.20678487318799837</v>
      </c>
      <c r="W310" s="9">
        <v>0.77224258061633677</v>
      </c>
      <c r="X310">
        <f t="shared" si="71"/>
        <v>0.26716385980126645</v>
      </c>
      <c r="Y310">
        <f t="shared" si="80"/>
        <v>0.7505162455786929</v>
      </c>
      <c r="Z310">
        <f t="shared" si="74"/>
        <v>-5.079746016931478E-2</v>
      </c>
      <c r="AA310">
        <f t="shared" si="81"/>
        <v>0.16339183054460776</v>
      </c>
      <c r="AB310">
        <f t="shared" si="85"/>
        <v>8.9748845965812146E-2</v>
      </c>
      <c r="AC310">
        <f t="shared" si="82"/>
        <v>0.76194726228967136</v>
      </c>
      <c r="AD310">
        <f t="shared" si="72"/>
        <v>2.8620058587543098E-4</v>
      </c>
      <c r="AE310">
        <f t="shared" si="83"/>
        <v>0.81759356458243759</v>
      </c>
      <c r="AF310">
        <f t="shared" si="84"/>
        <v>1.0533419320164716E-2</v>
      </c>
    </row>
    <row r="311" spans="1:32" x14ac:dyDescent="0.25">
      <c r="A311" s="6">
        <v>44631.333414351851</v>
      </c>
      <c r="B311">
        <v>89397729.211929321</v>
      </c>
      <c r="C311">
        <v>89402499.521362305</v>
      </c>
      <c r="D311">
        <v>34407.373087810352</v>
      </c>
      <c r="E311">
        <v>268193.18763580918</v>
      </c>
      <c r="F311">
        <v>1.3459899388060844E+19</v>
      </c>
      <c r="G311">
        <v>3423</v>
      </c>
      <c r="H311">
        <v>3.7690836070858682E-4</v>
      </c>
      <c r="I311">
        <v>2653.1648120514024</v>
      </c>
      <c r="J311">
        <f t="shared" si="73"/>
        <v>1.8999050063326299E-2</v>
      </c>
      <c r="K311">
        <f t="shared" si="75"/>
        <v>-7.5940079173652281E-2</v>
      </c>
      <c r="L311">
        <f t="shared" si="76"/>
        <v>1.0083686925332311</v>
      </c>
      <c r="M311">
        <f t="shared" si="77"/>
        <v>1.1609594101899414</v>
      </c>
      <c r="N311" s="2">
        <v>0.14463768844865582</v>
      </c>
      <c r="O311" s="9">
        <v>0.86164237071342964</v>
      </c>
      <c r="P311">
        <f t="shared" si="69"/>
        <v>7.9832435651954206E-2</v>
      </c>
      <c r="Q311">
        <f t="shared" si="78"/>
        <v>0.45847544553701719</v>
      </c>
      <c r="R311">
        <f t="shared" si="70"/>
        <v>0.82823267561942615</v>
      </c>
      <c r="S311" s="9">
        <f t="shared" si="79"/>
        <v>0.94298301092331205</v>
      </c>
      <c r="T311">
        <v>0.8345999999999999</v>
      </c>
      <c r="U311">
        <v>0.78150000000000008</v>
      </c>
      <c r="V311">
        <v>0.19429970690342865</v>
      </c>
      <c r="W311" s="9">
        <v>0.74206003255698405</v>
      </c>
      <c r="X311">
        <f t="shared" si="71"/>
        <v>0.64952908515258767</v>
      </c>
      <c r="Y311">
        <f t="shared" si="80"/>
        <v>0.75502812093001603</v>
      </c>
      <c r="Z311">
        <f t="shared" si="74"/>
        <v>1.8999050063326299E-2</v>
      </c>
      <c r="AA311">
        <f t="shared" si="81"/>
        <v>0.1823908806079344</v>
      </c>
      <c r="AB311">
        <f t="shared" si="85"/>
        <v>9.4328616981077154E-2</v>
      </c>
      <c r="AC311">
        <f t="shared" si="82"/>
        <v>0.79006358301458846</v>
      </c>
      <c r="AD311">
        <f t="shared" si="72"/>
        <v>3.9618914629990261E-4</v>
      </c>
      <c r="AE311">
        <f t="shared" si="83"/>
        <v>0.81751181340109713</v>
      </c>
      <c r="AF311">
        <f t="shared" si="84"/>
        <v>1.0558774312591224E-2</v>
      </c>
    </row>
    <row r="312" spans="1:32" x14ac:dyDescent="0.25">
      <c r="A312" s="6">
        <v>44632.334016203706</v>
      </c>
      <c r="B312">
        <v>42294265.076042175</v>
      </c>
      <c r="C312">
        <v>42275477.050804138</v>
      </c>
      <c r="D312">
        <v>16370.632920343429</v>
      </c>
      <c r="E312">
        <v>126882.79522812366</v>
      </c>
      <c r="F312">
        <v>1.3722156279373658E+19</v>
      </c>
      <c r="G312">
        <v>3432</v>
      </c>
      <c r="H312">
        <v>3.8714555868463174E-4</v>
      </c>
      <c r="I312">
        <v>2583.0078056367388</v>
      </c>
      <c r="J312">
        <f t="shared" si="73"/>
        <v>-2.6798660089323599E-2</v>
      </c>
      <c r="K312">
        <f t="shared" si="75"/>
        <v>-9.9356174745552278E-2</v>
      </c>
      <c r="L312">
        <f t="shared" si="76"/>
        <v>0.54103128257094535</v>
      </c>
      <c r="M312">
        <f t="shared" si="77"/>
        <v>1.1511786843581502</v>
      </c>
      <c r="N312" s="2">
        <v>6.660328095359061E-2</v>
      </c>
      <c r="O312" s="9">
        <v>0.84834451486338602</v>
      </c>
      <c r="P312">
        <f t="shared" si="69"/>
        <v>0</v>
      </c>
      <c r="Q312">
        <f t="shared" si="78"/>
        <v>0.45847544553701719</v>
      </c>
      <c r="R312">
        <f t="shared" si="70"/>
        <v>0.24838298050227148</v>
      </c>
      <c r="S312" s="9">
        <f t="shared" si="79"/>
        <v>0.93441054691516023</v>
      </c>
      <c r="T312">
        <v>0.81120000000000003</v>
      </c>
      <c r="U312">
        <v>0.78481333333333347</v>
      </c>
      <c r="V312">
        <v>0.17678288355919355</v>
      </c>
      <c r="W312" s="9">
        <v>0.70947252068088484</v>
      </c>
      <c r="X312">
        <f t="shared" si="71"/>
        <v>0</v>
      </c>
      <c r="Y312">
        <f t="shared" si="80"/>
        <v>0.75502812093001603</v>
      </c>
      <c r="Z312">
        <f t="shared" si="74"/>
        <v>-2.6798660089323599E-2</v>
      </c>
      <c r="AA312">
        <f t="shared" si="81"/>
        <v>0.22828858576091801</v>
      </c>
      <c r="AB312">
        <f t="shared" si="85"/>
        <v>0.10069163216895262</v>
      </c>
      <c r="AC312">
        <f t="shared" si="82"/>
        <v>0.82806374058861076</v>
      </c>
      <c r="AD312">
        <f t="shared" si="72"/>
        <v>1.8245809584789473E-4</v>
      </c>
      <c r="AE312">
        <f t="shared" si="83"/>
        <v>0.8319434571610711</v>
      </c>
      <c r="AF312">
        <f t="shared" si="84"/>
        <v>1.1341455224618047E-2</v>
      </c>
    </row>
    <row r="313" spans="1:32" x14ac:dyDescent="0.25">
      <c r="A313" s="6">
        <v>44633.333425925928</v>
      </c>
      <c r="B313">
        <v>23839795.303916931</v>
      </c>
      <c r="C313">
        <v>23836848.369499207</v>
      </c>
      <c r="D313">
        <v>9225.7393310256302</v>
      </c>
      <c r="E313">
        <v>71519.385911732912</v>
      </c>
      <c r="F313">
        <v>1.3704574631932559E+19</v>
      </c>
      <c r="G313">
        <v>3434</v>
      </c>
      <c r="H313">
        <v>3.8850287419199802E-4</v>
      </c>
      <c r="I313">
        <v>2573.9835312152677</v>
      </c>
      <c r="J313">
        <f t="shared" si="73"/>
        <v>-3.4998250116653465E-3</v>
      </c>
      <c r="K313">
        <f t="shared" si="75"/>
        <v>-7.940004624324945E-2</v>
      </c>
      <c r="L313">
        <f t="shared" si="76"/>
        <v>0.38310578793548328</v>
      </c>
      <c r="M313">
        <f t="shared" si="77"/>
        <v>1.1198768312372842</v>
      </c>
      <c r="N313" s="2">
        <v>3.7517004579920715E-2</v>
      </c>
      <c r="O313" s="9">
        <v>0.8355455142411764</v>
      </c>
      <c r="P313">
        <f t="shared" si="69"/>
        <v>0</v>
      </c>
      <c r="Q313">
        <f t="shared" si="78"/>
        <v>0.43259295497610833</v>
      </c>
      <c r="R313">
        <f t="shared" si="70"/>
        <v>0</v>
      </c>
      <c r="S313" s="9">
        <f t="shared" si="79"/>
        <v>0.89666124032765704</v>
      </c>
      <c r="T313">
        <v>0.89419999999999999</v>
      </c>
      <c r="U313">
        <v>0.7902300000000001</v>
      </c>
      <c r="V313">
        <v>0.17678288355919355</v>
      </c>
      <c r="W313" s="9">
        <v>0.69719790724818176</v>
      </c>
      <c r="X313">
        <f t="shared" si="71"/>
        <v>0</v>
      </c>
      <c r="Y313">
        <f t="shared" si="80"/>
        <v>0.72207714291105962</v>
      </c>
      <c r="Z313">
        <f t="shared" si="74"/>
        <v>-3.4998250116653465E-3</v>
      </c>
      <c r="AA313">
        <f t="shared" si="81"/>
        <v>0.18749062562493254</v>
      </c>
      <c r="AB313">
        <f t="shared" si="85"/>
        <v>0.10482142568271784</v>
      </c>
      <c r="AC313">
        <f t="shared" si="82"/>
        <v>0.8521003604932843</v>
      </c>
      <c r="AD313">
        <f t="shared" si="72"/>
        <v>1.0278103176636773E-4</v>
      </c>
      <c r="AE313">
        <f t="shared" si="83"/>
        <v>0.88320866692417832</v>
      </c>
      <c r="AF313">
        <f t="shared" si="84"/>
        <v>1.3164771958566579E-2</v>
      </c>
    </row>
    <row r="314" spans="1:32" x14ac:dyDescent="0.25">
      <c r="A314" s="6">
        <v>44634.333749999998</v>
      </c>
      <c r="B314">
        <v>54471747.2918396</v>
      </c>
      <c r="C314">
        <v>54465322.157623291</v>
      </c>
      <c r="D314">
        <v>21333.778584958985</v>
      </c>
      <c r="E314">
        <v>163415.24187552929</v>
      </c>
      <c r="F314">
        <v>1.3651031794369348E+19</v>
      </c>
      <c r="G314">
        <v>3429</v>
      </c>
      <c r="H314">
        <v>3.8718427324050021E-4</v>
      </c>
      <c r="I314">
        <v>2582.7495306836704</v>
      </c>
      <c r="J314">
        <f t="shared" si="73"/>
        <v>3.3998300113320772E-3</v>
      </c>
      <c r="K314">
        <f t="shared" si="75"/>
        <v>-4.5777650269385496E-2</v>
      </c>
      <c r="L314">
        <f t="shared" si="76"/>
        <v>0.80433806564370025</v>
      </c>
      <c r="M314">
        <f t="shared" si="77"/>
        <v>1.1045541267650947</v>
      </c>
      <c r="N314" s="2">
        <v>8.7243505173696653E-2</v>
      </c>
      <c r="O314" s="9">
        <v>0.84348921551319878</v>
      </c>
      <c r="P314">
        <f t="shared" si="69"/>
        <v>0</v>
      </c>
      <c r="Q314">
        <f t="shared" si="78"/>
        <v>0.40858104372922333</v>
      </c>
      <c r="R314">
        <f t="shared" si="70"/>
        <v>0.4762519278323607</v>
      </c>
      <c r="S314" s="9">
        <f t="shared" si="79"/>
        <v>0.87604413129184844</v>
      </c>
      <c r="T314">
        <v>0.83979999999999999</v>
      </c>
      <c r="U314">
        <v>0.79559333333333349</v>
      </c>
      <c r="V314">
        <v>0.17678288355919355</v>
      </c>
      <c r="W314" s="9">
        <v>0.70029559207710601</v>
      </c>
      <c r="X314">
        <f t="shared" si="71"/>
        <v>0</v>
      </c>
      <c r="Y314">
        <f t="shared" si="80"/>
        <v>0.69042368030712853</v>
      </c>
      <c r="Z314">
        <f t="shared" si="74"/>
        <v>3.3998300113320772E-3</v>
      </c>
      <c r="AA314">
        <f t="shared" si="81"/>
        <v>0.12079396040262323</v>
      </c>
      <c r="AB314">
        <f t="shared" si="85"/>
        <v>0.10412812701374033</v>
      </c>
      <c r="AC314">
        <f t="shared" si="82"/>
        <v>0.84809841618629755</v>
      </c>
      <c r="AD314">
        <f t="shared" si="72"/>
        <v>2.389947403274068E-4</v>
      </c>
      <c r="AE314">
        <f t="shared" si="83"/>
        <v>0.87801333684525795</v>
      </c>
      <c r="AF314">
        <f t="shared" si="84"/>
        <v>1.2638151803050723E-2</v>
      </c>
    </row>
    <row r="315" spans="1:32" x14ac:dyDescent="0.25">
      <c r="A315" s="6">
        <v>44635.333379629628</v>
      </c>
      <c r="B315">
        <v>54207570.196868896</v>
      </c>
      <c r="C315">
        <v>54195581.493263245</v>
      </c>
      <c r="D315">
        <v>21208.209629282355</v>
      </c>
      <c r="E315">
        <v>162622.71059060097</v>
      </c>
      <c r="F315">
        <v>1.35183639703879E+19</v>
      </c>
      <c r="G315">
        <v>3449</v>
      </c>
      <c r="H315">
        <v>3.9425575891638236E-4</v>
      </c>
      <c r="I315">
        <v>2536.4245857778069</v>
      </c>
      <c r="J315">
        <f t="shared" si="73"/>
        <v>-1.809909506032667E-2</v>
      </c>
      <c r="K315">
        <f t="shared" si="75"/>
        <v>-5.9436723562837378E-2</v>
      </c>
      <c r="L315">
        <f t="shared" si="76"/>
        <v>0.77999165964824901</v>
      </c>
      <c r="M315">
        <f t="shared" si="77"/>
        <v>1.09840340411909</v>
      </c>
      <c r="N315" s="2">
        <v>8.679216148963223E-2</v>
      </c>
      <c r="O315" s="9">
        <v>0.844649328791513</v>
      </c>
      <c r="P315">
        <f t="shared" si="69"/>
        <v>0</v>
      </c>
      <c r="Q315">
        <f t="shared" si="78"/>
        <v>0.40858104372922333</v>
      </c>
      <c r="R315">
        <f t="shared" si="70"/>
        <v>0.47244592208159097</v>
      </c>
      <c r="S315" s="9">
        <f t="shared" si="79"/>
        <v>0.86870470411636336</v>
      </c>
      <c r="T315">
        <v>0.86780000000000002</v>
      </c>
      <c r="U315">
        <v>0.80026000000000008</v>
      </c>
      <c r="V315">
        <v>0.17678288355919355</v>
      </c>
      <c r="W315" s="9">
        <v>0.70314963743623859</v>
      </c>
      <c r="X315">
        <f t="shared" si="71"/>
        <v>0</v>
      </c>
      <c r="Y315">
        <f t="shared" si="80"/>
        <v>0.67717793252607095</v>
      </c>
      <c r="Z315">
        <f t="shared" si="74"/>
        <v>-1.809909506032667E-2</v>
      </c>
      <c r="AA315">
        <f t="shared" si="81"/>
        <v>0.14819259049394681</v>
      </c>
      <c r="AB315">
        <f t="shared" si="85"/>
        <v>0.1060413646867841</v>
      </c>
      <c r="AC315">
        <f t="shared" si="82"/>
        <v>0.85911027094620041</v>
      </c>
      <c r="AD315">
        <f t="shared" si="72"/>
        <v>2.3775847702037974E-4</v>
      </c>
      <c r="AE315">
        <f t="shared" si="83"/>
        <v>0.86823493763154402</v>
      </c>
      <c r="AF315">
        <f t="shared" si="84"/>
        <v>1.2165191217660354E-2</v>
      </c>
    </row>
    <row r="316" spans="1:32" x14ac:dyDescent="0.25">
      <c r="A316" s="6">
        <v>44636.333379629628</v>
      </c>
      <c r="B316">
        <v>88842905.992103577</v>
      </c>
      <c r="C316">
        <v>88876616.031898499</v>
      </c>
      <c r="D316">
        <v>33699.919463425875</v>
      </c>
      <c r="E316">
        <v>266528.71797630191</v>
      </c>
      <c r="F316">
        <v>1.2566293917082184E+19</v>
      </c>
      <c r="G316">
        <v>3462</v>
      </c>
      <c r="H316">
        <v>3.7096320426272742E-4</v>
      </c>
      <c r="I316">
        <v>2695.6851474998839</v>
      </c>
      <c r="J316">
        <f t="shared" si="73"/>
        <v>6.089695520297804E-2</v>
      </c>
      <c r="K316">
        <f t="shared" si="75"/>
        <v>-2.4742036633146738E-2</v>
      </c>
      <c r="L316">
        <f t="shared" si="76"/>
        <v>1.099406274977955</v>
      </c>
      <c r="M316">
        <f t="shared" si="77"/>
        <v>1.1039595670485249</v>
      </c>
      <c r="N316" s="2">
        <v>0.15294873433614356</v>
      </c>
      <c r="O316" s="9">
        <v>0.86728872761083298</v>
      </c>
      <c r="P316">
        <f t="shared" si="69"/>
        <v>0.26992885151836832</v>
      </c>
      <c r="Q316">
        <f t="shared" si="78"/>
        <v>0.41757867211316896</v>
      </c>
      <c r="R316">
        <f t="shared" si="70"/>
        <v>0.86744321546924064</v>
      </c>
      <c r="S316" s="9">
        <f t="shared" si="79"/>
        <v>0.87550816053841229</v>
      </c>
      <c r="T316">
        <v>0.80659999999999998</v>
      </c>
      <c r="U316">
        <v>0.80420333333333338</v>
      </c>
      <c r="V316">
        <v>0.17678288355919355</v>
      </c>
      <c r="W316" s="9">
        <v>0.68171481476379303</v>
      </c>
      <c r="X316">
        <f t="shared" si="71"/>
        <v>0.69334814990186011</v>
      </c>
      <c r="Y316">
        <f t="shared" si="80"/>
        <v>0.68907314953714449</v>
      </c>
      <c r="Z316">
        <f t="shared" si="74"/>
        <v>6.089695520297804E-2</v>
      </c>
      <c r="AA316">
        <f t="shared" si="81"/>
        <v>8.0395980267970915E-2</v>
      </c>
      <c r="AB316">
        <f t="shared" si="85"/>
        <v>0.10488475584959563</v>
      </c>
      <c r="AC316">
        <f t="shared" si="82"/>
        <v>0.85246526366331632</v>
      </c>
      <c r="AD316">
        <f t="shared" si="72"/>
        <v>4.1894985657013373E-4</v>
      </c>
      <c r="AE316">
        <f t="shared" si="83"/>
        <v>0.86823493763154402</v>
      </c>
      <c r="AF316">
        <f t="shared" si="84"/>
        <v>1.2273458558274886E-2</v>
      </c>
    </row>
    <row r="317" spans="1:32" x14ac:dyDescent="0.25">
      <c r="A317" s="6">
        <v>44637.333587962959</v>
      </c>
      <c r="B317">
        <v>78736043.955749512</v>
      </c>
      <c r="C317">
        <v>78760809.5</v>
      </c>
      <c r="D317">
        <v>29045.274526428431</v>
      </c>
      <c r="E317">
        <v>236208.13186725974</v>
      </c>
      <c r="F317">
        <v>1.3096801515230058E+19</v>
      </c>
      <c r="G317">
        <v>3468</v>
      </c>
      <c r="H317">
        <v>3.6097338964202129E-4</v>
      </c>
      <c r="I317">
        <v>2770.2873084126891</v>
      </c>
      <c r="J317">
        <f t="shared" si="73"/>
        <v>2.7298635090990172E-2</v>
      </c>
      <c r="K317">
        <f t="shared" si="75"/>
        <v>-4.3263360860330863E-2</v>
      </c>
      <c r="L317">
        <f t="shared" si="76"/>
        <v>0.99006758547349694</v>
      </c>
      <c r="M317">
        <f t="shared" si="77"/>
        <v>1.1082035743495515</v>
      </c>
      <c r="N317" s="2">
        <v>0.12822192747783781</v>
      </c>
      <c r="O317" s="9">
        <v>0.81754372811258813</v>
      </c>
      <c r="P317">
        <f t="shared" si="69"/>
        <v>0</v>
      </c>
      <c r="Q317">
        <f t="shared" si="78"/>
        <v>0.41757867211316896</v>
      </c>
      <c r="R317">
        <f t="shared" si="70"/>
        <v>0.74474376613515159</v>
      </c>
      <c r="S317" s="9">
        <f t="shared" si="79"/>
        <v>0.88267127403249168</v>
      </c>
      <c r="T317">
        <v>0.68590000000000007</v>
      </c>
      <c r="U317">
        <v>0.80505999999999989</v>
      </c>
      <c r="V317">
        <v>0.17678288355919355</v>
      </c>
      <c r="W317" s="9">
        <v>0.67422790052731507</v>
      </c>
      <c r="X317">
        <f t="shared" si="71"/>
        <v>0.60228853904919977</v>
      </c>
      <c r="Y317">
        <f t="shared" si="80"/>
        <v>0.70914943417211795</v>
      </c>
      <c r="Z317">
        <f t="shared" si="74"/>
        <v>2.7298635090990172E-2</v>
      </c>
      <c r="AA317">
        <f t="shared" si="81"/>
        <v>0.11399430037995884</v>
      </c>
      <c r="AB317">
        <f t="shared" si="85"/>
        <v>0.1062980185209729</v>
      </c>
      <c r="AC317">
        <f t="shared" si="82"/>
        <v>0.86057988151914055</v>
      </c>
      <c r="AD317">
        <f t="shared" si="72"/>
        <v>3.5123126307175923E-4</v>
      </c>
      <c r="AE317">
        <f t="shared" si="83"/>
        <v>0.88719186223704039</v>
      </c>
      <c r="AF317">
        <f t="shared" si="84"/>
        <v>1.3080965291174973E-2</v>
      </c>
    </row>
    <row r="318" spans="1:32" x14ac:dyDescent="0.25">
      <c r="A318" s="6">
        <v>44638.33384259259</v>
      </c>
      <c r="B318">
        <v>42513052.300926208</v>
      </c>
      <c r="C318">
        <v>42517348.472732544</v>
      </c>
      <c r="D318">
        <v>15176.694178989157</v>
      </c>
      <c r="E318">
        <v>127539.15690279007</v>
      </c>
      <c r="F318">
        <v>1.3112784814521858E+19</v>
      </c>
      <c r="G318">
        <v>3469</v>
      </c>
      <c r="H318">
        <v>3.5824052655486119E-4</v>
      </c>
      <c r="I318">
        <v>2791.420640252044</v>
      </c>
      <c r="J318">
        <f t="shared" si="73"/>
        <v>7.599620025330503E-3</v>
      </c>
      <c r="K318">
        <f t="shared" si="75"/>
        <v>-4.1755771735943373E-2</v>
      </c>
      <c r="L318">
        <f t="shared" si="76"/>
        <v>0.70352556018487344</v>
      </c>
      <c r="M318">
        <f t="shared" si="77"/>
        <v>1.1036574810883653</v>
      </c>
      <c r="N318" s="2">
        <v>6.717142260903565E-2</v>
      </c>
      <c r="O318" s="9">
        <v>0.83397605657616547</v>
      </c>
      <c r="P318">
        <f t="shared" si="69"/>
        <v>0</v>
      </c>
      <c r="Q318">
        <f t="shared" si="78"/>
        <v>0.41757867211316896</v>
      </c>
      <c r="R318">
        <f t="shared" si="70"/>
        <v>0.25736984719805872</v>
      </c>
      <c r="S318" s="9">
        <f t="shared" si="79"/>
        <v>0.87509335278978251</v>
      </c>
      <c r="T318">
        <v>0.66099999999999992</v>
      </c>
      <c r="U318">
        <v>0.80601</v>
      </c>
      <c r="V318">
        <v>0.16468505588579482</v>
      </c>
      <c r="W318" s="9">
        <v>0.64420350603521881</v>
      </c>
      <c r="X318">
        <f t="shared" si="71"/>
        <v>0</v>
      </c>
      <c r="Y318">
        <f t="shared" si="80"/>
        <v>0.70914943417211795</v>
      </c>
      <c r="Z318">
        <f t="shared" si="74"/>
        <v>7.599620025330503E-3</v>
      </c>
      <c r="AA318">
        <f t="shared" si="81"/>
        <v>0.11209439537362641</v>
      </c>
      <c r="AB318">
        <f t="shared" si="85"/>
        <v>0.10850790802833878</v>
      </c>
      <c r="AC318">
        <f t="shared" si="82"/>
        <v>0.87316064323397902</v>
      </c>
      <c r="AD318">
        <f t="shared" si="72"/>
        <v>1.840143631379024E-4</v>
      </c>
      <c r="AE318">
        <f t="shared" si="83"/>
        <v>0.90946819143736168</v>
      </c>
      <c r="AF318">
        <f t="shared" si="84"/>
        <v>1.3695874345604375E-2</v>
      </c>
    </row>
    <row r="319" spans="1:32" x14ac:dyDescent="0.25">
      <c r="A319" s="6">
        <v>44639.333356481482</v>
      </c>
      <c r="B319">
        <v>52073128.004089355</v>
      </c>
      <c r="C319">
        <v>52112454.421203613</v>
      </c>
      <c r="D319">
        <v>17922.348128965124</v>
      </c>
      <c r="E319">
        <v>156219.38401228189</v>
      </c>
      <c r="F319">
        <v>1.262359864638542E+19</v>
      </c>
      <c r="G319">
        <v>3467</v>
      </c>
      <c r="H319">
        <v>3.3944343400079785E-4</v>
      </c>
      <c r="I319">
        <v>2945.9989495559062</v>
      </c>
      <c r="J319">
        <f t="shared" si="73"/>
        <v>5.389730517964731E-2</v>
      </c>
      <c r="K319">
        <f t="shared" si="75"/>
        <v>-7.9210727254538146E-3</v>
      </c>
      <c r="L319">
        <f t="shared" si="76"/>
        <v>0.82198465518746899</v>
      </c>
      <c r="M319">
        <f t="shared" si="77"/>
        <v>1.0969552141771717</v>
      </c>
      <c r="N319" s="2">
        <v>8.464819065894609E-2</v>
      </c>
      <c r="O319" s="9">
        <v>0.78238390875991981</v>
      </c>
      <c r="P319">
        <f t="shared" si="69"/>
        <v>0</v>
      </c>
      <c r="Q319">
        <f t="shared" si="78"/>
        <v>0.41757867211316896</v>
      </c>
      <c r="R319">
        <f t="shared" si="70"/>
        <v>0.4539310329180366</v>
      </c>
      <c r="S319" s="9">
        <f t="shared" si="79"/>
        <v>0.86492268752384471</v>
      </c>
      <c r="T319">
        <v>0.69</v>
      </c>
      <c r="U319">
        <v>0.80429666666666677</v>
      </c>
      <c r="V319">
        <v>0.15218456517750828</v>
      </c>
      <c r="W319" s="9">
        <v>0.61942635186141859</v>
      </c>
      <c r="X319">
        <f t="shared" si="71"/>
        <v>0.255416341803609</v>
      </c>
      <c r="Y319">
        <f t="shared" si="80"/>
        <v>0.7070178676077159</v>
      </c>
      <c r="Z319">
        <f t="shared" si="74"/>
        <v>5.389730517964731E-2</v>
      </c>
      <c r="AA319">
        <f t="shared" si="81"/>
        <v>4.0997950136652174E-2</v>
      </c>
      <c r="AB319">
        <f t="shared" si="85"/>
        <v>0.10892455386306089</v>
      </c>
      <c r="AC319">
        <f t="shared" si="82"/>
        <v>0.87551803989801846</v>
      </c>
      <c r="AD319">
        <f t="shared" si="72"/>
        <v>2.3188596349206164E-4</v>
      </c>
      <c r="AE319">
        <f t="shared" si="83"/>
        <v>1.0167377017206989</v>
      </c>
      <c r="AF319">
        <f t="shared" si="84"/>
        <v>1.4673613822693721E-2</v>
      </c>
    </row>
    <row r="320" spans="1:32" x14ac:dyDescent="0.25">
      <c r="A320" s="6">
        <v>44640.333379629628</v>
      </c>
      <c r="B320">
        <v>42618172.937759399</v>
      </c>
      <c r="C320">
        <v>42603042.862014771</v>
      </c>
      <c r="D320">
        <v>14488.521563332528</v>
      </c>
      <c r="E320">
        <v>127854.51881325245</v>
      </c>
      <c r="F320">
        <v>1.2850399601682231E+19</v>
      </c>
      <c r="G320">
        <v>3465</v>
      </c>
      <c r="H320">
        <v>3.4533206368796653E-4</v>
      </c>
      <c r="I320">
        <v>2895.7635422570411</v>
      </c>
      <c r="J320">
        <f t="shared" si="73"/>
        <v>-1.7199140057327075E-2</v>
      </c>
      <c r="K320">
        <f t="shared" si="75"/>
        <v>1.2206633793913846E-2</v>
      </c>
      <c r="L320">
        <f t="shared" si="76"/>
        <v>0.72770041826825937</v>
      </c>
      <c r="M320">
        <f t="shared" si="77"/>
        <v>1.0867562911327817</v>
      </c>
      <c r="N320" s="2">
        <v>6.6646698668355209E-2</v>
      </c>
      <c r="O320" s="9">
        <v>0.78016373154558627</v>
      </c>
      <c r="P320">
        <f t="shared" si="69"/>
        <v>0</v>
      </c>
      <c r="Q320">
        <f t="shared" si="78"/>
        <v>0.41757867211316896</v>
      </c>
      <c r="R320">
        <f t="shared" si="70"/>
        <v>0.24908120507438647</v>
      </c>
      <c r="S320" s="9">
        <f t="shared" si="79"/>
        <v>0.84729314872223283</v>
      </c>
      <c r="T320">
        <v>0.74239999999999995</v>
      </c>
      <c r="U320">
        <v>0.80568000000000006</v>
      </c>
      <c r="V320">
        <v>0.15218456517750828</v>
      </c>
      <c r="W320" s="9">
        <v>0.61226501917898701</v>
      </c>
      <c r="X320">
        <f t="shared" si="71"/>
        <v>0</v>
      </c>
      <c r="Y320">
        <f t="shared" si="80"/>
        <v>0.69528590832610548</v>
      </c>
      <c r="Z320">
        <f t="shared" si="74"/>
        <v>-1.7199140057327075E-2</v>
      </c>
      <c r="AA320">
        <f t="shared" si="81"/>
        <v>5.9997000199971812E-4</v>
      </c>
      <c r="AB320">
        <f t="shared" si="85"/>
        <v>0.10643801152143956</v>
      </c>
      <c r="AC320">
        <f t="shared" si="82"/>
        <v>0.86138073665502823</v>
      </c>
      <c r="AD320">
        <f t="shared" si="72"/>
        <v>1.8257702678199853E-4</v>
      </c>
      <c r="AE320">
        <f t="shared" si="83"/>
        <v>1.065769224757126</v>
      </c>
      <c r="AF320">
        <f t="shared" si="84"/>
        <v>1.400556270719755E-2</v>
      </c>
    </row>
    <row r="321" spans="1:32" x14ac:dyDescent="0.25">
      <c r="A321" s="6">
        <v>44641.333333333336</v>
      </c>
      <c r="B321">
        <v>53510900.5076828</v>
      </c>
      <c r="C321">
        <v>53513373.571144104</v>
      </c>
      <c r="D321">
        <v>18644.051470451057</v>
      </c>
      <c r="E321">
        <v>160532.70152303576</v>
      </c>
      <c r="F321">
        <v>1.3150508812704326E+19</v>
      </c>
      <c r="G321">
        <v>3473</v>
      </c>
      <c r="H321">
        <v>3.4316341852188746E-4</v>
      </c>
      <c r="I321">
        <v>2914.0635220015988</v>
      </c>
      <c r="J321">
        <f t="shared" si="73"/>
        <v>6.2996850209977636E-3</v>
      </c>
      <c r="K321">
        <f t="shared" si="75"/>
        <v>4.7519122952396797E-2</v>
      </c>
      <c r="L321">
        <f t="shared" si="76"/>
        <v>0.78588322677138645</v>
      </c>
      <c r="M321">
        <f t="shared" si="77"/>
        <v>1.0741101589496214</v>
      </c>
      <c r="N321" s="2">
        <v>8.4069196917208655E-2</v>
      </c>
      <c r="O321" s="9">
        <v>0.78060818896089501</v>
      </c>
      <c r="P321">
        <f t="shared" si="69"/>
        <v>0</v>
      </c>
      <c r="Q321">
        <f t="shared" si="78"/>
        <v>0.40010769599900259</v>
      </c>
      <c r="R321">
        <f t="shared" si="70"/>
        <v>0.448799991880722</v>
      </c>
      <c r="S321" s="9">
        <f t="shared" si="79"/>
        <v>0.82969025796896356</v>
      </c>
      <c r="T321">
        <v>0.70450000000000002</v>
      </c>
      <c r="U321">
        <v>0.80670666666666668</v>
      </c>
      <c r="V321">
        <v>0.15218456517750828</v>
      </c>
      <c r="W321" s="9">
        <v>0.60484399417753765</v>
      </c>
      <c r="X321">
        <f t="shared" si="71"/>
        <v>0.25173608384088808</v>
      </c>
      <c r="Y321">
        <f t="shared" si="80"/>
        <v>0.68030574114648668</v>
      </c>
      <c r="Z321">
        <f t="shared" si="74"/>
        <v>6.2996850209977636E-3</v>
      </c>
      <c r="AA321">
        <f t="shared" si="81"/>
        <v>6.999650023330832E-2</v>
      </c>
      <c r="AB321">
        <f t="shared" si="85"/>
        <v>0.10396480184652934</v>
      </c>
      <c r="AC321">
        <f t="shared" si="82"/>
        <v>0.84715371994623934</v>
      </c>
      <c r="AD321">
        <f t="shared" si="72"/>
        <v>2.3030004580492012E-4</v>
      </c>
      <c r="AE321">
        <f t="shared" si="83"/>
        <v>1.1069349840489504</v>
      </c>
      <c r="AF321">
        <f t="shared" si="84"/>
        <v>1.2951234300294878E-2</v>
      </c>
    </row>
    <row r="322" spans="1:32" x14ac:dyDescent="0.25">
      <c r="A322" s="6">
        <v>44642.333344907405</v>
      </c>
      <c r="B322">
        <v>81339313.047431946</v>
      </c>
      <c r="C322">
        <v>81368672.026504517</v>
      </c>
      <c r="D322">
        <v>27511.53282399103</v>
      </c>
      <c r="E322">
        <v>244017.93914231658</v>
      </c>
      <c r="F322">
        <v>1.5818836573343431E+19</v>
      </c>
      <c r="G322">
        <v>3475</v>
      </c>
      <c r="H322">
        <v>3.3132790263858282E-4</v>
      </c>
      <c r="I322">
        <v>3018.1581208112561</v>
      </c>
      <c r="J322">
        <f t="shared" si="73"/>
        <v>3.5098245116987253E-2</v>
      </c>
      <c r="K322">
        <f t="shared" si="75"/>
        <v>8.0276488753556779E-2</v>
      </c>
      <c r="L322">
        <f t="shared" si="76"/>
        <v>0.82635713265113186</v>
      </c>
      <c r="M322">
        <f t="shared" si="77"/>
        <v>1.0692491447192889</v>
      </c>
      <c r="N322" s="2">
        <v>0.10495445989739879</v>
      </c>
      <c r="O322" s="9">
        <v>0.76196375236604452</v>
      </c>
      <c r="P322">
        <f t="shared" si="69"/>
        <v>0</v>
      </c>
      <c r="Q322">
        <f t="shared" si="78"/>
        <v>0.40010769599900259</v>
      </c>
      <c r="R322">
        <f t="shared" si="70"/>
        <v>0.6070449213638619</v>
      </c>
      <c r="S322" s="9">
        <f t="shared" si="79"/>
        <v>0.82688635805062327</v>
      </c>
      <c r="T322">
        <v>0.66890000000000005</v>
      </c>
      <c r="U322">
        <v>0.8021100000000001</v>
      </c>
      <c r="V322">
        <v>0.12995271877216133</v>
      </c>
      <c r="W322" s="9">
        <v>0.58874734065568068</v>
      </c>
      <c r="X322">
        <f t="shared" si="71"/>
        <v>0.51171771244731123</v>
      </c>
      <c r="Y322">
        <f t="shared" si="80"/>
        <v>0.6792263699222294</v>
      </c>
      <c r="Z322">
        <f t="shared" si="74"/>
        <v>3.5098245116987253E-2</v>
      </c>
      <c r="AA322">
        <f t="shared" si="81"/>
        <v>0.13669316545561727</v>
      </c>
      <c r="AB322">
        <f t="shared" si="85"/>
        <v>0.10680132668931723</v>
      </c>
      <c r="AC322">
        <f t="shared" si="82"/>
        <v>0.86345668102411033</v>
      </c>
      <c r="AD322">
        <f t="shared" si="72"/>
        <v>2.8750513191080841E-4</v>
      </c>
      <c r="AE322">
        <f t="shared" si="83"/>
        <v>1.1583454497270436</v>
      </c>
      <c r="AF322">
        <f t="shared" si="84"/>
        <v>1.1487386658485477E-2</v>
      </c>
    </row>
    <row r="323" spans="1:32" x14ac:dyDescent="0.25">
      <c r="A323" s="6">
        <v>44643.333379629628</v>
      </c>
      <c r="B323">
        <v>68566157.094787598</v>
      </c>
      <c r="C323">
        <v>68560768.324264526</v>
      </c>
      <c r="D323">
        <v>22985.485156901181</v>
      </c>
      <c r="E323">
        <v>205698.47128435969</v>
      </c>
      <c r="F323">
        <v>1.3179001969380065E+19</v>
      </c>
      <c r="G323">
        <v>3487</v>
      </c>
      <c r="H323">
        <v>3.3852821858577968E-4</v>
      </c>
      <c r="I323">
        <v>2953.9634957982385</v>
      </c>
      <c r="J323">
        <f t="shared" si="73"/>
        <v>-2.1498925071659045E-2</v>
      </c>
      <c r="K323">
        <f t="shared" si="75"/>
        <v>7.4558380485053144E-2</v>
      </c>
      <c r="L323">
        <f t="shared" si="76"/>
        <v>0.83533197583444718</v>
      </c>
      <c r="M323">
        <f t="shared" si="77"/>
        <v>1.0595871874669909</v>
      </c>
      <c r="N323" s="2">
        <v>0.10412700309530501</v>
      </c>
      <c r="O323" s="9">
        <v>0.75817359386065397</v>
      </c>
      <c r="P323">
        <f t="shared" ref="P323:P367" si="86">SQRT(MAX(0,8*(N323-LN(COSH(LN(3)/2))),0))</f>
        <v>0</v>
      </c>
      <c r="Q323">
        <f t="shared" si="78"/>
        <v>0.38734975903422991</v>
      </c>
      <c r="R323">
        <f t="shared" ref="R323:R367" si="87">SQRT(MAX(0,8*(N323-LN(COSH(LN(2)/2))),0))</f>
        <v>0.60156785331075247</v>
      </c>
      <c r="S323" s="9">
        <f t="shared" si="79"/>
        <v>0.81664222093604932</v>
      </c>
      <c r="T323">
        <v>0.6543000000000001</v>
      </c>
      <c r="U323">
        <v>0.79447000000000001</v>
      </c>
      <c r="V323">
        <v>0.11425058435748144</v>
      </c>
      <c r="W323" s="9">
        <v>0.57233213105915759</v>
      </c>
      <c r="X323">
        <f t="shared" ref="X323:X367" si="88">IF(EXP(2*N323-O323*O323/4)-1&lt;0,0,2*LN(EXP(N323-O323*O323/8)+SQRT(EXP(2*N323-O323*O323/4)-1)))</f>
        <v>0.51086036441908844</v>
      </c>
      <c r="Y323">
        <f t="shared" si="80"/>
        <v>0.66828024450007106</v>
      </c>
      <c r="Z323">
        <f t="shared" si="74"/>
        <v>-2.1498925071659045E-2</v>
      </c>
      <c r="AA323">
        <f t="shared" si="81"/>
        <v>0.12549372541828793</v>
      </c>
      <c r="AB323">
        <f t="shared" si="85"/>
        <v>0.10943786153143846</v>
      </c>
      <c r="AC323">
        <f t="shared" si="82"/>
        <v>0.87841607776864095</v>
      </c>
      <c r="AD323">
        <f t="shared" ref="AD323:AD367" si="89">LN(N323/365+1)</f>
        <v>2.8523877608716556E-4</v>
      </c>
      <c r="AE323">
        <f t="shared" si="83"/>
        <v>1.1349557579818417</v>
      </c>
      <c r="AF323">
        <f t="shared" si="84"/>
        <v>1.2031312060406529E-2</v>
      </c>
    </row>
    <row r="324" spans="1:32" x14ac:dyDescent="0.25">
      <c r="A324" s="6">
        <v>44644.333402777775</v>
      </c>
      <c r="B324">
        <v>72590490.341110229</v>
      </c>
      <c r="C324">
        <v>72621579.959579468</v>
      </c>
      <c r="D324">
        <v>24042.440741432831</v>
      </c>
      <c r="E324">
        <v>217771.47102332115</v>
      </c>
      <c r="F324">
        <v>1.6131336645876691E+19</v>
      </c>
      <c r="G324">
        <v>3506</v>
      </c>
      <c r="H324">
        <v>3.2740866228392693E-4</v>
      </c>
      <c r="I324">
        <v>3054.2869361617736</v>
      </c>
      <c r="J324">
        <f t="shared" ref="J324:J367" si="90">LN(I324/I323)</f>
        <v>3.3398330111321435E-2</v>
      </c>
      <c r="K324">
        <f t="shared" si="75"/>
        <v>9.1807120050980573E-2</v>
      </c>
      <c r="L324">
        <f t="shared" si="76"/>
        <v>0.72028996656611866</v>
      </c>
      <c r="M324">
        <f t="shared" si="77"/>
        <v>1.0293254484183385</v>
      </c>
      <c r="N324" s="2">
        <v>9.0480037509219596E-2</v>
      </c>
      <c r="O324" s="9">
        <v>0.75816082034399546</v>
      </c>
      <c r="P324">
        <f t="shared" si="86"/>
        <v>0</v>
      </c>
      <c r="Q324">
        <f t="shared" si="78"/>
        <v>0.34612631480239969</v>
      </c>
      <c r="R324">
        <f t="shared" si="87"/>
        <v>0.50270086278842174</v>
      </c>
      <c r="S324" s="9">
        <f t="shared" si="79"/>
        <v>0.78385621574421094</v>
      </c>
      <c r="T324">
        <v>0.6331</v>
      </c>
      <c r="U324">
        <v>0.78937999999999986</v>
      </c>
      <c r="V324">
        <v>0.11425058435748144</v>
      </c>
      <c r="W324" s="9">
        <v>0.56737067443056732</v>
      </c>
      <c r="X324">
        <f t="shared" si="88"/>
        <v>0.38724696391760116</v>
      </c>
      <c r="Y324">
        <f t="shared" si="80"/>
        <v>0.63083494866513512</v>
      </c>
      <c r="Z324">
        <f t="shared" ref="Z324:Z367" si="91">LN(I324/I323)</f>
        <v>3.3398330111321435E-2</v>
      </c>
      <c r="AA324">
        <f t="shared" si="81"/>
        <v>0.15999200053327564</v>
      </c>
      <c r="AB324">
        <f t="shared" si="85"/>
        <v>0.11326100371084817</v>
      </c>
      <c r="AC324">
        <f t="shared" si="82"/>
        <v>0.89978638398646549</v>
      </c>
      <c r="AD324">
        <f t="shared" si="89"/>
        <v>2.4785979394723945E-4</v>
      </c>
      <c r="AE324">
        <f t="shared" si="83"/>
        <v>1.1141531341188915</v>
      </c>
      <c r="AF324">
        <f t="shared" si="84"/>
        <v>1.1902266417889384E-2</v>
      </c>
    </row>
    <row r="325" spans="1:32" x14ac:dyDescent="0.25">
      <c r="A325" s="6">
        <v>44645.333344907405</v>
      </c>
      <c r="B325">
        <v>67393716.987213135</v>
      </c>
      <c r="C325">
        <v>67444502.6015625</v>
      </c>
      <c r="D325">
        <v>21742.370018957183</v>
      </c>
      <c r="E325">
        <v>202181.1509616673</v>
      </c>
      <c r="F325">
        <v>1.687307523344965E+19</v>
      </c>
      <c r="G325">
        <v>3553</v>
      </c>
      <c r="H325">
        <v>3.1542186199408053E-4</v>
      </c>
      <c r="I325">
        <v>3170.3572912735099</v>
      </c>
      <c r="J325">
        <f t="shared" si="90"/>
        <v>3.7298135124320023E-2</v>
      </c>
      <c r="K325">
        <f t="shared" si="75"/>
        <v>8.4362564430444237E-2</v>
      </c>
      <c r="L325">
        <f t="shared" si="76"/>
        <v>0.6815182660075555</v>
      </c>
      <c r="M325">
        <f t="shared" si="77"/>
        <v>1.0182228163943947</v>
      </c>
      <c r="N325" s="2">
        <v>7.9699647192653267E-2</v>
      </c>
      <c r="O325" s="9">
        <v>0.75349520712211859</v>
      </c>
      <c r="P325">
        <f t="shared" si="86"/>
        <v>0</v>
      </c>
      <c r="Q325">
        <f t="shared" si="78"/>
        <v>0.32949248691308414</v>
      </c>
      <c r="R325">
        <f t="shared" si="87"/>
        <v>0.40800126827706434</v>
      </c>
      <c r="S325" s="9">
        <f t="shared" si="79"/>
        <v>0.7653347533783138</v>
      </c>
      <c r="T325">
        <v>0.64989999999999992</v>
      </c>
      <c r="U325">
        <v>0.7843</v>
      </c>
      <c r="V325">
        <v>6.3545042487195086E-2</v>
      </c>
      <c r="W325" s="9">
        <v>0.50969781420531823</v>
      </c>
      <c r="X325">
        <f t="shared" si="88"/>
        <v>0.26466135671703622</v>
      </c>
      <c r="Y325">
        <f t="shared" si="80"/>
        <v>0.6088119611102506</v>
      </c>
      <c r="Z325">
        <f t="shared" si="91"/>
        <v>3.7298135124320023E-2</v>
      </c>
      <c r="AA325">
        <f t="shared" si="81"/>
        <v>0.14539273048461432</v>
      </c>
      <c r="AB325">
        <f t="shared" si="85"/>
        <v>0.11066446686886024</v>
      </c>
      <c r="AC325">
        <f t="shared" si="82"/>
        <v>0.88531341161255661</v>
      </c>
      <c r="AD325">
        <f t="shared" si="89"/>
        <v>2.1833136176167245E-4</v>
      </c>
      <c r="AE325">
        <f t="shared" si="83"/>
        <v>1.3366754062454416</v>
      </c>
      <c r="AF325">
        <f t="shared" si="84"/>
        <v>2.5449243096784535E-3</v>
      </c>
    </row>
    <row r="326" spans="1:32" x14ac:dyDescent="0.25">
      <c r="A326" s="6">
        <v>44646.333460648151</v>
      </c>
      <c r="B326">
        <v>60034209.592468262</v>
      </c>
      <c r="C326">
        <v>60014488.38558197</v>
      </c>
      <c r="D326">
        <v>19214.124772701412</v>
      </c>
      <c r="E326">
        <v>180102.62877738476</v>
      </c>
      <c r="F326">
        <v>1.7263561261993015E+19</v>
      </c>
      <c r="G326">
        <v>3617</v>
      </c>
      <c r="H326">
        <v>3.1948500733132906E-4</v>
      </c>
      <c r="I326">
        <v>3130.0373321209645</v>
      </c>
      <c r="J326">
        <f t="shared" si="90"/>
        <v>-1.2799360042662239E-2</v>
      </c>
      <c r="K326">
        <f t="shared" si="75"/>
        <v>0.15036432607330225</v>
      </c>
      <c r="L326">
        <f t="shared" si="76"/>
        <v>0</v>
      </c>
      <c r="M326">
        <f t="shared" si="77"/>
        <v>0.9539366690647183</v>
      </c>
      <c r="N326" s="2">
        <v>6.8399768211528045E-2</v>
      </c>
      <c r="O326" s="9">
        <v>0.75365864271316829</v>
      </c>
      <c r="P326">
        <f t="shared" si="86"/>
        <v>0</v>
      </c>
      <c r="Q326">
        <f t="shared" si="78"/>
        <v>0.27606496132544511</v>
      </c>
      <c r="R326">
        <f t="shared" si="87"/>
        <v>0.27580065820568894</v>
      </c>
      <c r="S326" s="9">
        <f t="shared" si="79"/>
        <v>0.71444810099022293</v>
      </c>
      <c r="T326">
        <v>0.64569999999999994</v>
      </c>
      <c r="U326">
        <v>0.77663000000000004</v>
      </c>
      <c r="V326">
        <v>4.212549526782982E-2</v>
      </c>
      <c r="W326" s="9">
        <v>0.48286886917938132</v>
      </c>
      <c r="X326">
        <f t="shared" si="88"/>
        <v>0</v>
      </c>
      <c r="Y326">
        <f t="shared" si="80"/>
        <v>0.54572996091073656</v>
      </c>
      <c r="Z326">
        <f t="shared" si="91"/>
        <v>-1.2799360042662239E-2</v>
      </c>
      <c r="AA326">
        <f t="shared" si="81"/>
        <v>0.2773861309245666</v>
      </c>
      <c r="AB326">
        <f t="shared" si="85"/>
        <v>0.11887738956290171</v>
      </c>
      <c r="AC326">
        <f t="shared" si="82"/>
        <v>0.93051725393040552</v>
      </c>
      <c r="AD326">
        <f t="shared" si="89"/>
        <v>1.8737906868278512E-4</v>
      </c>
      <c r="AE326">
        <f t="shared" si="83"/>
        <v>1.1552222913291592</v>
      </c>
      <c r="AF326">
        <f t="shared" si="84"/>
        <v>9.3887146325655202E-3</v>
      </c>
    </row>
    <row r="327" spans="1:32" x14ac:dyDescent="0.25">
      <c r="A327" s="6">
        <v>44647.333368055559</v>
      </c>
      <c r="B327">
        <v>19888098.949775696</v>
      </c>
      <c r="C327">
        <v>19897455.750541687</v>
      </c>
      <c r="D327">
        <v>6328.2904954385012</v>
      </c>
      <c r="E327">
        <v>59664.296849310398</v>
      </c>
      <c r="F327">
        <v>2.598521669735678E+19</v>
      </c>
      <c r="G327">
        <v>3898</v>
      </c>
      <c r="H327">
        <v>3.1716137453555957E-4</v>
      </c>
      <c r="I327">
        <v>3152.9690570434886</v>
      </c>
      <c r="J327">
        <f t="shared" si="90"/>
        <v>7.2996350243308781E-3</v>
      </c>
      <c r="K327">
        <f t="shared" si="75"/>
        <v>8.7070612082931056E-2</v>
      </c>
      <c r="L327">
        <f t="shared" si="76"/>
        <v>0</v>
      </c>
      <c r="M327">
        <f t="shared" si="77"/>
        <v>0.8860205567209618</v>
      </c>
      <c r="N327" s="2">
        <v>1.5021371028389217E-2</v>
      </c>
      <c r="O327" s="9">
        <v>0.74073447046890917</v>
      </c>
      <c r="P327">
        <f t="shared" si="86"/>
        <v>0</v>
      </c>
      <c r="Q327">
        <f t="shared" si="78"/>
        <v>0.21785376048665533</v>
      </c>
      <c r="R327">
        <f t="shared" si="87"/>
        <v>0</v>
      </c>
      <c r="S327" s="9">
        <f t="shared" si="79"/>
        <v>0.65007690608679047</v>
      </c>
      <c r="T327">
        <v>0.66120000000000001</v>
      </c>
      <c r="U327">
        <v>0.77337333333333336</v>
      </c>
      <c r="V327">
        <v>4.212549526782982E-2</v>
      </c>
      <c r="W327" s="9">
        <v>0.48442969564867061</v>
      </c>
      <c r="X327">
        <f t="shared" si="88"/>
        <v>0</v>
      </c>
      <c r="Y327">
        <f t="shared" si="80"/>
        <v>0.47782380628162774</v>
      </c>
      <c r="Z327">
        <f t="shared" si="91"/>
        <v>7.2996350243308781E-3</v>
      </c>
      <c r="AA327">
        <f t="shared" si="81"/>
        <v>0.15159242050527902</v>
      </c>
      <c r="AB327">
        <f t="shared" si="85"/>
        <v>0.12178057773924512</v>
      </c>
      <c r="AC327">
        <f t="shared" si="82"/>
        <v>0.94610550210636624</v>
      </c>
      <c r="AD327">
        <f t="shared" si="89"/>
        <v>4.1153594352804742E-5</v>
      </c>
      <c r="AE327">
        <f t="shared" si="83"/>
        <v>1.1437282092996084</v>
      </c>
      <c r="AF327">
        <f t="shared" si="84"/>
        <v>8.3307644013752569E-3</v>
      </c>
    </row>
    <row r="328" spans="1:32" x14ac:dyDescent="0.25">
      <c r="A328" s="6">
        <v>44648.333854166667</v>
      </c>
      <c r="B328">
        <v>73028990.608634949</v>
      </c>
      <c r="C328">
        <v>73095071.911972046</v>
      </c>
      <c r="D328">
        <v>22476.691836601123</v>
      </c>
      <c r="E328">
        <v>219086.9718259275</v>
      </c>
      <c r="F328">
        <v>1.6558746370988585E+19</v>
      </c>
      <c r="G328">
        <v>3946</v>
      </c>
      <c r="H328">
        <v>2.9869222997603445E-4</v>
      </c>
      <c r="I328">
        <v>3347.9277317666915</v>
      </c>
      <c r="J328">
        <f t="shared" si="90"/>
        <v>5.9997000199978522E-2</v>
      </c>
      <c r="K328">
        <f t="shared" si="75"/>
        <v>0.10843468841414079</v>
      </c>
      <c r="L328">
        <f t="shared" si="76"/>
        <v>0.63578536183133483</v>
      </c>
      <c r="M328">
        <f t="shared" si="77"/>
        <v>0.85801579782162762</v>
      </c>
      <c r="N328" s="2">
        <v>8.6274535453347873E-2</v>
      </c>
      <c r="O328" s="9">
        <v>0.74123178025724457</v>
      </c>
      <c r="P328">
        <f t="shared" si="86"/>
        <v>0</v>
      </c>
      <c r="Q328">
        <f t="shared" si="78"/>
        <v>0.18217110667095163</v>
      </c>
      <c r="R328">
        <f t="shared" si="87"/>
        <v>0.46804288372033803</v>
      </c>
      <c r="S328" s="9">
        <f t="shared" si="79"/>
        <v>0.62064103307681218</v>
      </c>
      <c r="T328">
        <v>0.65969999999999995</v>
      </c>
      <c r="U328">
        <v>0.77026666666666677</v>
      </c>
      <c r="V328">
        <v>2.5017412333287581E-2</v>
      </c>
      <c r="W328" s="9">
        <v>0.47578666010233756</v>
      </c>
      <c r="X328">
        <f t="shared" si="88"/>
        <v>0.37629690587406445</v>
      </c>
      <c r="Y328">
        <f t="shared" si="80"/>
        <v>0.44553960927148217</v>
      </c>
      <c r="Z328">
        <f t="shared" si="91"/>
        <v>5.9997000199978522E-2</v>
      </c>
      <c r="AA328">
        <f t="shared" si="81"/>
        <v>0.19429028564759704</v>
      </c>
      <c r="AB328">
        <f t="shared" si="85"/>
        <v>0.12444377791478863</v>
      </c>
      <c r="AC328">
        <f t="shared" si="82"/>
        <v>0.96023356461586651</v>
      </c>
      <c r="AD328">
        <f t="shared" si="89"/>
        <v>2.3634065962905031E-4</v>
      </c>
      <c r="AE328">
        <f t="shared" si="83"/>
        <v>1.1838733473098513</v>
      </c>
      <c r="AF328">
        <f t="shared" si="84"/>
        <v>6.4627126936485091E-3</v>
      </c>
    </row>
    <row r="329" spans="1:32" x14ac:dyDescent="0.25">
      <c r="A329" s="6">
        <v>44649.333425925928</v>
      </c>
      <c r="B329">
        <v>81710435.770202637</v>
      </c>
      <c r="C329">
        <v>81744957.130134583</v>
      </c>
      <c r="D329">
        <v>24120.069047227502</v>
      </c>
      <c r="E329">
        <v>245131.30731058121</v>
      </c>
      <c r="F329">
        <v>1.6366016071134286E+19</v>
      </c>
      <c r="G329">
        <v>3975</v>
      </c>
      <c r="H329">
        <v>2.88823389400942E-4</v>
      </c>
      <c r="I329">
        <v>3462.323470665352</v>
      </c>
      <c r="J329">
        <f t="shared" si="90"/>
        <v>3.359832011198783E-2</v>
      </c>
      <c r="K329">
        <f t="shared" si="75"/>
        <v>0.11138277868991461</v>
      </c>
      <c r="L329">
        <f t="shared" si="76"/>
        <v>0.67849163735552009</v>
      </c>
      <c r="M329">
        <f t="shared" si="77"/>
        <v>0.84860985113865661</v>
      </c>
      <c r="N329" s="2">
        <v>9.5259664641654293E-2</v>
      </c>
      <c r="O329" s="9">
        <v>0.70413644498827477</v>
      </c>
      <c r="P329">
        <f t="shared" si="86"/>
        <v>0</v>
      </c>
      <c r="Q329">
        <f t="shared" si="78"/>
        <v>0.17717757742691456</v>
      </c>
      <c r="R329">
        <f t="shared" si="87"/>
        <v>0.53939333932456124</v>
      </c>
      <c r="S329" s="9">
        <f t="shared" si="79"/>
        <v>0.61069157611109115</v>
      </c>
      <c r="T329">
        <v>0.61759999999999993</v>
      </c>
      <c r="U329">
        <v>0.7602066666666667</v>
      </c>
      <c r="V329">
        <v>1.8860277679258412E-2</v>
      </c>
      <c r="W329" s="9">
        <v>0.46480772343069165</v>
      </c>
      <c r="X329">
        <f t="shared" si="88"/>
        <v>0.51887994653388192</v>
      </c>
      <c r="Y329">
        <f t="shared" si="80"/>
        <v>0.43798880003164681</v>
      </c>
      <c r="Z329">
        <f t="shared" si="91"/>
        <v>3.359832011198783E-2</v>
      </c>
      <c r="AA329">
        <f t="shared" si="81"/>
        <v>0.20238988067459393</v>
      </c>
      <c r="AB329">
        <f t="shared" si="85"/>
        <v>0.12529040225094384</v>
      </c>
      <c r="AC329">
        <f t="shared" si="82"/>
        <v>0.96469114321888783</v>
      </c>
      <c r="AD329">
        <f t="shared" si="89"/>
        <v>2.6095133181931507E-4</v>
      </c>
      <c r="AE329">
        <f t="shared" si="83"/>
        <v>1.3104708248204076</v>
      </c>
      <c r="AF329">
        <f t="shared" si="84"/>
        <v>7.4766088574529377E-4</v>
      </c>
    </row>
    <row r="330" spans="1:32" x14ac:dyDescent="0.25">
      <c r="A330" s="6">
        <v>44650.333506944444</v>
      </c>
      <c r="B330">
        <v>84746452.750183105</v>
      </c>
      <c r="C330">
        <v>84723959.334922791</v>
      </c>
      <c r="D330">
        <v>24919.847291747108</v>
      </c>
      <c r="E330">
        <v>254239.35825055838</v>
      </c>
      <c r="F330">
        <v>2.0649283296834277E+19</v>
      </c>
      <c r="G330">
        <v>4012</v>
      </c>
      <c r="H330">
        <v>2.9330546893382449E-4</v>
      </c>
      <c r="I330">
        <v>3409.414777143551</v>
      </c>
      <c r="J330">
        <f t="shared" si="90"/>
        <v>-1.5399230051328011E-2</v>
      </c>
      <c r="K330">
        <f t="shared" si="75"/>
        <v>0.13509795199370028</v>
      </c>
      <c r="L330">
        <f t="shared" si="76"/>
        <v>0.41887935441649377</v>
      </c>
      <c r="M330">
        <f t="shared" si="77"/>
        <v>0.81130887901959847</v>
      </c>
      <c r="N330" s="2">
        <v>7.7405169966482432E-2</v>
      </c>
      <c r="O330" s="9">
        <v>0.60833972938289294</v>
      </c>
      <c r="P330">
        <f t="shared" si="86"/>
        <v>0</v>
      </c>
      <c r="Q330">
        <f t="shared" si="78"/>
        <v>0.14016409449875941</v>
      </c>
      <c r="R330">
        <f t="shared" si="87"/>
        <v>0.3848496032300493</v>
      </c>
      <c r="S330" s="9">
        <f t="shared" si="79"/>
        <v>0.57742103778739917</v>
      </c>
      <c r="T330">
        <v>0.61</v>
      </c>
      <c r="U330">
        <v>0.7530566666666666</v>
      </c>
      <c r="V330">
        <v>1.8860277679258412E-2</v>
      </c>
      <c r="W330" s="9">
        <v>0.46143029223955601</v>
      </c>
      <c r="X330">
        <f t="shared" si="88"/>
        <v>0.50175854083741034</v>
      </c>
      <c r="Y330">
        <f t="shared" si="80"/>
        <v>0.41086245048807685</v>
      </c>
      <c r="Z330">
        <f t="shared" si="91"/>
        <v>-1.5399230051328011E-2</v>
      </c>
      <c r="AA330">
        <f t="shared" si="81"/>
        <v>0.25498725084990803</v>
      </c>
      <c r="AB330">
        <f t="shared" si="85"/>
        <v>0.13299668360996328</v>
      </c>
      <c r="AC330">
        <f t="shared" si="82"/>
        <v>1.0045441526696082</v>
      </c>
      <c r="AD330">
        <f t="shared" si="89"/>
        <v>2.1204647536930856E-4</v>
      </c>
      <c r="AE330">
        <f t="shared" si="83"/>
        <v>1.1585771304004431</v>
      </c>
      <c r="AF330">
        <f t="shared" si="84"/>
        <v>6.5700401309607415E-3</v>
      </c>
    </row>
    <row r="331" spans="1:32" x14ac:dyDescent="0.25">
      <c r="A331" s="6">
        <v>44651.333379629628</v>
      </c>
      <c r="B331">
        <v>53199012.017875671</v>
      </c>
      <c r="C331">
        <v>53202269.187828064</v>
      </c>
      <c r="D331">
        <v>15647.321860441938</v>
      </c>
      <c r="E331">
        <v>159597.03605365753</v>
      </c>
      <c r="F331">
        <v>2.0748409262353011E+19</v>
      </c>
      <c r="G331">
        <v>4031</v>
      </c>
      <c r="H331">
        <v>2.9312954723019127E-4</v>
      </c>
      <c r="I331">
        <v>3411.460937490247</v>
      </c>
      <c r="J331">
        <f t="shared" si="90"/>
        <v>5.9997000199981645E-4</v>
      </c>
      <c r="K331">
        <f t="shared" si="75"/>
        <v>8.1770113967765831E-2</v>
      </c>
      <c r="L331">
        <f t="shared" si="76"/>
        <v>0.47373825959785054</v>
      </c>
      <c r="M331">
        <f t="shared" si="77"/>
        <v>0.78309064496243541</v>
      </c>
      <c r="N331" s="2">
        <v>4.8385481416961265E-2</v>
      </c>
      <c r="O331" s="9">
        <v>0.61902505962549381</v>
      </c>
      <c r="P331">
        <f t="shared" si="86"/>
        <v>0</v>
      </c>
      <c r="Q331">
        <f t="shared" si="78"/>
        <v>0.1117608583866756</v>
      </c>
      <c r="R331">
        <f t="shared" si="87"/>
        <v>0</v>
      </c>
      <c r="S331" s="9">
        <f t="shared" si="79"/>
        <v>0.53790078156555088</v>
      </c>
      <c r="T331">
        <v>0.69909999999999994</v>
      </c>
      <c r="U331">
        <v>0.74917333333333325</v>
      </c>
      <c r="V331">
        <v>4.713901493034205E-3</v>
      </c>
      <c r="W331" s="9">
        <v>0.45659980594472127</v>
      </c>
      <c r="X331">
        <f t="shared" si="88"/>
        <v>6.2389566666235692E-2</v>
      </c>
      <c r="Y331">
        <f t="shared" si="80"/>
        <v>0.37701808067827042</v>
      </c>
      <c r="Z331">
        <f t="shared" si="91"/>
        <v>5.9997000199981645E-4</v>
      </c>
      <c r="AA331">
        <f t="shared" si="81"/>
        <v>0.14779261049261333</v>
      </c>
      <c r="AB331">
        <f t="shared" si="85"/>
        <v>0.1340332984467518</v>
      </c>
      <c r="AC331">
        <f t="shared" si="82"/>
        <v>1.0098087141844394</v>
      </c>
      <c r="AD331">
        <f t="shared" si="89"/>
        <v>1.3255417709306529E-4</v>
      </c>
      <c r="AE331">
        <f t="shared" si="83"/>
        <v>1.1415572972652146</v>
      </c>
      <c r="AF331">
        <f t="shared" si="84"/>
        <v>6.5764691106988682E-3</v>
      </c>
    </row>
    <row r="332" spans="1:32" x14ac:dyDescent="0.25">
      <c r="A332" s="6">
        <v>44652.333541666667</v>
      </c>
      <c r="B332">
        <v>94639607.796478271</v>
      </c>
      <c r="C332">
        <v>94605046.731010437</v>
      </c>
      <c r="D332">
        <v>28570.723353153095</v>
      </c>
      <c r="E332">
        <v>283918.82338941097</v>
      </c>
      <c r="F332">
        <v>2.726289537348685E+19</v>
      </c>
      <c r="G332">
        <v>4045</v>
      </c>
      <c r="H332">
        <v>3.0375239279486577E-4</v>
      </c>
      <c r="I332">
        <v>3292.1551359608011</v>
      </c>
      <c r="J332">
        <f t="shared" si="90"/>
        <v>-3.559822011865385E-2</v>
      </c>
      <c r="K332">
        <f t="shared" si="75"/>
        <v>5.6774141304839335E-2</v>
      </c>
      <c r="L332">
        <f t="shared" si="76"/>
        <v>0.67080877490560609</v>
      </c>
      <c r="M332">
        <f t="shared" si="77"/>
        <v>0.75843626619782589</v>
      </c>
      <c r="N332" s="2">
        <v>6.605094875556447E-2</v>
      </c>
      <c r="O332" s="9">
        <v>0.63848203497421119</v>
      </c>
      <c r="P332">
        <f t="shared" si="86"/>
        <v>0</v>
      </c>
      <c r="Q332">
        <f t="shared" si="78"/>
        <v>7.7291340025468849E-2</v>
      </c>
      <c r="R332">
        <f t="shared" si="87"/>
        <v>0.23932289363740916</v>
      </c>
      <c r="S332" s="9">
        <f t="shared" si="79"/>
        <v>0.50179585063792054</v>
      </c>
      <c r="T332">
        <v>0.62529999999999997</v>
      </c>
      <c r="U332">
        <v>0.74490000000000001</v>
      </c>
      <c r="V332">
        <v>7.0496778713469875E-3</v>
      </c>
      <c r="W332" s="9">
        <v>0.46485510144864289</v>
      </c>
      <c r="X332">
        <f t="shared" si="88"/>
        <v>0.34836332824103661</v>
      </c>
      <c r="Y332">
        <f t="shared" si="80"/>
        <v>0.34710268231798547</v>
      </c>
      <c r="Z332">
        <f t="shared" si="91"/>
        <v>-3.559822011865385E-2</v>
      </c>
      <c r="AA332">
        <f t="shared" si="81"/>
        <v>9.679516032263169E-2</v>
      </c>
      <c r="AB332">
        <f t="shared" si="85"/>
        <v>0.13180674310599702</v>
      </c>
      <c r="AC332">
        <f t="shared" si="82"/>
        <v>0.9984733260405777</v>
      </c>
      <c r="AD332">
        <f t="shared" si="89"/>
        <v>1.8094513188201262E-4</v>
      </c>
      <c r="AE332">
        <f t="shared" si="83"/>
        <v>1.1283923948995356</v>
      </c>
      <c r="AF332">
        <f t="shared" si="84"/>
        <v>6.36264652367724E-3</v>
      </c>
    </row>
    <row r="333" spans="1:32" x14ac:dyDescent="0.25">
      <c r="A333" s="6">
        <v>44653.333506944444</v>
      </c>
      <c r="B333">
        <v>86073356.385490417</v>
      </c>
      <c r="C333">
        <v>86130247.753822327</v>
      </c>
      <c r="D333">
        <v>25185.139653170481</v>
      </c>
      <c r="E333">
        <v>258220.06915646791</v>
      </c>
      <c r="F333">
        <v>1.6524496208572463E+19</v>
      </c>
      <c r="G333">
        <v>4038</v>
      </c>
      <c r="H333">
        <v>2.8675143258829333E-4</v>
      </c>
      <c r="I333">
        <v>3487.3409034917063</v>
      </c>
      <c r="J333">
        <f t="shared" si="90"/>
        <v>5.7597120191979309E-2</v>
      </c>
      <c r="K333">
        <f t="shared" si="75"/>
        <v>9.704171555859753E-2</v>
      </c>
      <c r="L333">
        <f t="shared" si="76"/>
        <v>0.74958624315468003</v>
      </c>
      <c r="M333">
        <f t="shared" si="77"/>
        <v>0.74493689957339504</v>
      </c>
      <c r="N333" s="2">
        <v>9.8867372487461178E-2</v>
      </c>
      <c r="O333" s="9">
        <v>0.61793785775735732</v>
      </c>
      <c r="P333">
        <f t="shared" si="86"/>
        <v>0</v>
      </c>
      <c r="Q333">
        <f t="shared" si="78"/>
        <v>6.159850150779804E-2</v>
      </c>
      <c r="R333">
        <f t="shared" si="87"/>
        <v>0.5655146658347211</v>
      </c>
      <c r="S333" s="9">
        <f t="shared" si="79"/>
        <v>0.48900187693540881</v>
      </c>
      <c r="T333">
        <v>0.62240000000000006</v>
      </c>
      <c r="U333">
        <v>0.74027000000000009</v>
      </c>
      <c r="V333">
        <v>7.0496778713469875E-3</v>
      </c>
      <c r="W333" s="9">
        <v>0.46207880047494826</v>
      </c>
      <c r="X333">
        <f t="shared" si="88"/>
        <v>0.64506768747680188</v>
      </c>
      <c r="Y333">
        <f t="shared" si="80"/>
        <v>0.34228899044527428</v>
      </c>
      <c r="Z333">
        <f t="shared" si="91"/>
        <v>5.7597120191979309E-2</v>
      </c>
      <c r="AA333">
        <f t="shared" si="81"/>
        <v>0.17839108059460251</v>
      </c>
      <c r="AB333">
        <f t="shared" si="85"/>
        <v>0.13611986078703986</v>
      </c>
      <c r="AC333">
        <f t="shared" si="82"/>
        <v>1.0203385881854947</v>
      </c>
      <c r="AD333">
        <f t="shared" si="89"/>
        <v>2.708328351407037E-4</v>
      </c>
      <c r="AE333">
        <f t="shared" si="83"/>
        <v>1.2778611973916796</v>
      </c>
      <c r="AF333">
        <f t="shared" si="84"/>
        <v>4.7046494227709346E-4</v>
      </c>
    </row>
    <row r="334" spans="1:32" x14ac:dyDescent="0.25">
      <c r="A334" s="6">
        <v>44654.333356481482</v>
      </c>
      <c r="B334">
        <v>76474712.240394592</v>
      </c>
      <c r="C334">
        <v>76476387.254081726</v>
      </c>
      <c r="D334">
        <v>22019.834679203108</v>
      </c>
      <c r="E334">
        <v>229424.13672119379</v>
      </c>
      <c r="F334">
        <v>1.6437512953547737E+19</v>
      </c>
      <c r="G334">
        <v>4049</v>
      </c>
      <c r="H334">
        <v>2.8695221881894326E-4</v>
      </c>
      <c r="I334">
        <v>3484.9007410218519</v>
      </c>
      <c r="J334">
        <f t="shared" si="90"/>
        <v>-6.999650023330478E-4</v>
      </c>
      <c r="K334">
        <f t="shared" si="75"/>
        <v>0.12814019750085165</v>
      </c>
      <c r="L334">
        <f t="shared" si="76"/>
        <v>0.54375609110230594</v>
      </c>
      <c r="M334">
        <f t="shared" si="77"/>
        <v>0.72750420309188824</v>
      </c>
      <c r="N334" s="2">
        <v>8.6868596996077685E-2</v>
      </c>
      <c r="O334" s="9">
        <v>0.53568062644195769</v>
      </c>
      <c r="P334">
        <f t="shared" si="86"/>
        <v>0</v>
      </c>
      <c r="Q334">
        <f t="shared" si="78"/>
        <v>6.159850150779804E-2</v>
      </c>
      <c r="R334">
        <f t="shared" si="87"/>
        <v>0.47309262659979007</v>
      </c>
      <c r="S334" s="9">
        <f t="shared" si="79"/>
        <v>0.47754689774377324</v>
      </c>
      <c r="T334">
        <v>0.60980000000000001</v>
      </c>
      <c r="U334">
        <v>0.73175000000000001</v>
      </c>
      <c r="V334">
        <v>7.0496778713469875E-3</v>
      </c>
      <c r="W334" s="9">
        <v>0.47152896328043392</v>
      </c>
      <c r="X334">
        <f t="shared" si="88"/>
        <v>0.64418775342597967</v>
      </c>
      <c r="Y334">
        <f t="shared" si="80"/>
        <v>0.34496995914477335</v>
      </c>
      <c r="Z334">
        <f t="shared" si="91"/>
        <v>-6.999650023330478E-4</v>
      </c>
      <c r="AA334">
        <f t="shared" si="81"/>
        <v>0.24448777581491227</v>
      </c>
      <c r="AB334">
        <f t="shared" si="85"/>
        <v>0.14336283197784841</v>
      </c>
      <c r="AC334">
        <f t="shared" si="82"/>
        <v>1.0562172752469006</v>
      </c>
      <c r="AD334">
        <f t="shared" si="89"/>
        <v>2.3796783956117387E-4</v>
      </c>
      <c r="AE334">
        <f t="shared" si="83"/>
        <v>1.3088992815210341</v>
      </c>
      <c r="AF334">
        <f t="shared" si="84"/>
        <v>-1.2152353444556674E-3</v>
      </c>
    </row>
    <row r="335" spans="1:32" x14ac:dyDescent="0.25">
      <c r="A335" s="6">
        <v>44655.333368055559</v>
      </c>
      <c r="B335">
        <v>53755366.707267761</v>
      </c>
      <c r="C335">
        <v>53752394.375518799</v>
      </c>
      <c r="D335">
        <v>15325.24636027962</v>
      </c>
      <c r="E335">
        <v>161266.10012179613</v>
      </c>
      <c r="F335">
        <v>1.8295782221302938E+19</v>
      </c>
      <c r="G335">
        <v>4044</v>
      </c>
      <c r="H335">
        <v>2.8781432488336463E-4</v>
      </c>
      <c r="I335">
        <v>3474.4622263163765</v>
      </c>
      <c r="J335">
        <f t="shared" si="90"/>
        <v>-2.9998500099987688E-3</v>
      </c>
      <c r="K335">
        <f t="shared" si="75"/>
        <v>0.13899728659212729</v>
      </c>
      <c r="L335">
        <f t="shared" si="76"/>
        <v>0</v>
      </c>
      <c r="M335">
        <f t="shared" si="77"/>
        <v>0.69598729577892871</v>
      </c>
      <c r="N335" s="2">
        <v>5.4236285077621606E-2</v>
      </c>
      <c r="O335" s="9">
        <v>0.53602717831661684</v>
      </c>
      <c r="P335">
        <f t="shared" si="86"/>
        <v>0</v>
      </c>
      <c r="Q335">
        <f t="shared" si="78"/>
        <v>6.159850150779804E-2</v>
      </c>
      <c r="R335">
        <f t="shared" si="87"/>
        <v>0</v>
      </c>
      <c r="S335" s="9">
        <f t="shared" si="79"/>
        <v>0.45542354489243458</v>
      </c>
      <c r="T335">
        <v>0.60680000000000001</v>
      </c>
      <c r="U335">
        <v>0.72527333333333344</v>
      </c>
      <c r="V335">
        <v>7.0496778713469875E-3</v>
      </c>
      <c r="W335" s="9">
        <v>0.47546236361086081</v>
      </c>
      <c r="X335">
        <f t="shared" si="88"/>
        <v>0.38400831260120694</v>
      </c>
      <c r="Y335">
        <f t="shared" si="80"/>
        <v>0.34816147165500216</v>
      </c>
      <c r="Z335">
        <f t="shared" si="91"/>
        <v>-2.9998500099987688E-3</v>
      </c>
      <c r="AA335">
        <f t="shared" si="81"/>
        <v>0.26618669088723784</v>
      </c>
      <c r="AB335">
        <f t="shared" si="85"/>
        <v>0.15157575467188986</v>
      </c>
      <c r="AC335">
        <f t="shared" si="82"/>
        <v>1.0956997719499881</v>
      </c>
      <c r="AD335">
        <f t="shared" si="89"/>
        <v>1.4858152307529614E-4</v>
      </c>
      <c r="AE335">
        <f t="shared" si="83"/>
        <v>1.3293442372578705</v>
      </c>
      <c r="AF335">
        <f t="shared" si="84"/>
        <v>-2.4428205406906711E-3</v>
      </c>
    </row>
    <row r="336" spans="1:32" x14ac:dyDescent="0.25">
      <c r="A336" s="6">
        <v>44656.333368055559</v>
      </c>
      <c r="B336">
        <v>54125455.38999939</v>
      </c>
      <c r="C336">
        <v>54140565.347381592</v>
      </c>
      <c r="D336">
        <v>15572.590259632096</v>
      </c>
      <c r="E336">
        <v>162376.36616998911</v>
      </c>
      <c r="F336">
        <v>1.9787754051840283E+19</v>
      </c>
      <c r="G336">
        <v>4057</v>
      </c>
      <c r="H336">
        <v>2.8449513320055503E-4</v>
      </c>
      <c r="I336">
        <v>3514.998617902716</v>
      </c>
      <c r="J336">
        <f t="shared" si="90"/>
        <v>1.159942003866239E-2</v>
      </c>
      <c r="K336">
        <f t="shared" si="75"/>
        <v>0.15379518379179075</v>
      </c>
      <c r="L336">
        <f t="shared" si="76"/>
        <v>0</v>
      </c>
      <c r="M336">
        <f t="shared" si="77"/>
        <v>0.67451335884477115</v>
      </c>
      <c r="N336" s="2">
        <v>5.1252680910880873E-2</v>
      </c>
      <c r="O336" s="9">
        <v>0.52449285235344478</v>
      </c>
      <c r="P336">
        <f t="shared" si="86"/>
        <v>0</v>
      </c>
      <c r="Q336">
        <f t="shared" si="78"/>
        <v>6.159850150779804E-2</v>
      </c>
      <c r="R336">
        <f t="shared" si="87"/>
        <v>0</v>
      </c>
      <c r="S336" s="9">
        <f t="shared" si="79"/>
        <v>0.45542354489243458</v>
      </c>
      <c r="T336">
        <v>0.63890000000000002</v>
      </c>
      <c r="U336">
        <v>0.71806999999999988</v>
      </c>
      <c r="V336">
        <v>2.4170715376641626E-2</v>
      </c>
      <c r="W336" s="9">
        <v>0.48267979192103561</v>
      </c>
      <c r="X336">
        <f t="shared" si="88"/>
        <v>0.36835984033006092</v>
      </c>
      <c r="Y336">
        <f t="shared" si="80"/>
        <v>0.36044013299933753</v>
      </c>
      <c r="Z336">
        <f t="shared" si="91"/>
        <v>1.159942003866239E-2</v>
      </c>
      <c r="AA336">
        <f t="shared" si="81"/>
        <v>0.29628518598756015</v>
      </c>
      <c r="AB336">
        <f t="shared" si="85"/>
        <v>0.15867539969555403</v>
      </c>
      <c r="AC336">
        <f t="shared" si="82"/>
        <v>1.128866377957761</v>
      </c>
      <c r="AD336">
        <f t="shared" si="89"/>
        <v>1.4040844613811537E-4</v>
      </c>
      <c r="AE336">
        <f t="shared" si="83"/>
        <v>1.3707859082935345</v>
      </c>
      <c r="AF336">
        <f t="shared" si="84"/>
        <v>-4.7280348127842764E-3</v>
      </c>
    </row>
    <row r="337" spans="1:32" x14ac:dyDescent="0.25">
      <c r="A337" s="6">
        <v>44657.333333333336</v>
      </c>
      <c r="B337">
        <v>130707852.96398163</v>
      </c>
      <c r="C337">
        <v>130640177.44491577</v>
      </c>
      <c r="D337">
        <v>38451.023577844724</v>
      </c>
      <c r="E337">
        <v>392123.55889198184</v>
      </c>
      <c r="F337">
        <v>2.2823927713462219E+19</v>
      </c>
      <c r="G337">
        <v>4068</v>
      </c>
      <c r="H337">
        <v>3.0226772071955391E-4</v>
      </c>
      <c r="I337">
        <v>3308.3254725958877</v>
      </c>
      <c r="J337">
        <f t="shared" si="90"/>
        <v>-6.0596970201978226E-2</v>
      </c>
      <c r="K337">
        <f t="shared" si="75"/>
        <v>0.13451947763787808</v>
      </c>
      <c r="L337">
        <f t="shared" si="76"/>
        <v>0.64151430759634021</v>
      </c>
      <c r="M337">
        <f t="shared" si="77"/>
        <v>0.66464136836263887</v>
      </c>
      <c r="N337" s="2">
        <v>0.10644157485918426</v>
      </c>
      <c r="O337" s="9">
        <v>0.58888982929338118</v>
      </c>
      <c r="P337">
        <f t="shared" si="86"/>
        <v>0</v>
      </c>
      <c r="Q337">
        <f t="shared" si="78"/>
        <v>6.159850150779804E-2</v>
      </c>
      <c r="R337">
        <f t="shared" si="87"/>
        <v>0.61676612767558903</v>
      </c>
      <c r="S337" s="9">
        <f t="shared" si="79"/>
        <v>0.45205256752768724</v>
      </c>
      <c r="T337">
        <v>0.71970000000000001</v>
      </c>
      <c r="U337">
        <v>0.71209666666666649</v>
      </c>
      <c r="V337">
        <v>4.3130306238632878E-2</v>
      </c>
      <c r="W337" s="9">
        <v>0.48897325668355796</v>
      </c>
      <c r="X337">
        <f t="shared" si="88"/>
        <v>0.71794527242402106</v>
      </c>
      <c r="Y337">
        <f t="shared" si="80"/>
        <v>0.36628422020720669</v>
      </c>
      <c r="Z337">
        <f t="shared" si="91"/>
        <v>-6.0596970201978226E-2</v>
      </c>
      <c r="AA337">
        <f t="shared" si="81"/>
        <v>0.25478726084924158</v>
      </c>
      <c r="AB337">
        <f t="shared" si="85"/>
        <v>0.16178857737259733</v>
      </c>
      <c r="AC337">
        <f t="shared" si="82"/>
        <v>1.1431421462693854</v>
      </c>
      <c r="AD337">
        <f t="shared" si="89"/>
        <v>2.9157823997191654E-4</v>
      </c>
      <c r="AE337">
        <f t="shared" si="83"/>
        <v>1.2849084437844289</v>
      </c>
      <c r="AF337">
        <f t="shared" si="84"/>
        <v>-2.3825890034334662E-4</v>
      </c>
    </row>
    <row r="338" spans="1:32" x14ac:dyDescent="0.25">
      <c r="A338" s="6">
        <v>44658.333506944444</v>
      </c>
      <c r="B338">
        <v>151202642.21041107</v>
      </c>
      <c r="C338">
        <v>151176855.08113098</v>
      </c>
      <c r="D338">
        <v>46929.298671970144</v>
      </c>
      <c r="E338">
        <v>453607.92663121223</v>
      </c>
      <c r="F338">
        <v>1.8404043424766743E+19</v>
      </c>
      <c r="G338">
        <v>4076</v>
      </c>
      <c r="H338">
        <v>3.0772675255569048E-4</v>
      </c>
      <c r="I338">
        <v>3249.6362168545165</v>
      </c>
      <c r="J338">
        <f t="shared" si="90"/>
        <v>-1.7899105059660244E-2</v>
      </c>
      <c r="K338">
        <f t="shared" si="75"/>
        <v>0.12341284059018603</v>
      </c>
      <c r="L338">
        <f t="shared" si="76"/>
        <v>0.95237768106513687</v>
      </c>
      <c r="M338">
        <f t="shared" si="77"/>
        <v>0.65306717637076772</v>
      </c>
      <c r="N338" s="2">
        <v>0.15967533750283308</v>
      </c>
      <c r="O338" s="9">
        <v>0.58444400630721471</v>
      </c>
      <c r="P338">
        <f t="shared" si="86"/>
        <v>0.35591348698179659</v>
      </c>
      <c r="Q338">
        <f t="shared" si="78"/>
        <v>4.6897616584064078E-2</v>
      </c>
      <c r="R338">
        <f t="shared" si="87"/>
        <v>0.89792569703574676</v>
      </c>
      <c r="S338" s="9">
        <f t="shared" si="79"/>
        <v>0.44376316236495478</v>
      </c>
      <c r="T338">
        <v>0.61529999999999996</v>
      </c>
      <c r="U338">
        <v>0.70417333333333332</v>
      </c>
      <c r="V338">
        <v>4.3130306238632878E-2</v>
      </c>
      <c r="W338" s="9">
        <v>0.49340105231296777</v>
      </c>
      <c r="X338">
        <f t="shared" si="88"/>
        <v>0.98634814116227276</v>
      </c>
      <c r="Y338">
        <f t="shared" si="80"/>
        <v>0.36377174310464266</v>
      </c>
      <c r="Z338">
        <f t="shared" si="91"/>
        <v>-1.7899105059660244E-2</v>
      </c>
      <c r="AA338">
        <f t="shared" si="81"/>
        <v>0.23278836077591614</v>
      </c>
      <c r="AB338">
        <f t="shared" si="85"/>
        <v>0.16437178154787419</v>
      </c>
      <c r="AC338">
        <f t="shared" si="82"/>
        <v>1.1548680473238981</v>
      </c>
      <c r="AD338">
        <f t="shared" si="89"/>
        <v>4.3737101744063182E-4</v>
      </c>
      <c r="AE338">
        <f t="shared" si="83"/>
        <v>1.186480605245396</v>
      </c>
      <c r="AF338">
        <f t="shared" si="84"/>
        <v>3.7795314725419527E-3</v>
      </c>
    </row>
    <row r="339" spans="1:32" x14ac:dyDescent="0.25">
      <c r="A339" s="6">
        <v>44659.333437499998</v>
      </c>
      <c r="B339">
        <v>86143395.110275269</v>
      </c>
      <c r="C339">
        <v>86149482.161605835</v>
      </c>
      <c r="D339">
        <v>26609.364042501897</v>
      </c>
      <c r="E339">
        <v>258430.18533083797</v>
      </c>
      <c r="F339">
        <v>1.9995104995343991E+19</v>
      </c>
      <c r="G339">
        <v>4083</v>
      </c>
      <c r="H339">
        <v>3.0616141937530976E-4</v>
      </c>
      <c r="I339">
        <v>3266.2508621771972</v>
      </c>
      <c r="J339">
        <f t="shared" si="90"/>
        <v>5.0997450169983777E-3</v>
      </c>
      <c r="K339">
        <f t="shared" si="75"/>
        <v>9.4479026703366872E-2</v>
      </c>
      <c r="L339">
        <f t="shared" si="76"/>
        <v>0.67174531491145706</v>
      </c>
      <c r="M339">
        <f t="shared" si="77"/>
        <v>0.63333086326846311</v>
      </c>
      <c r="N339" s="2">
        <v>8.3545916927758312E-2</v>
      </c>
      <c r="O339" s="9">
        <v>0.55954762110272516</v>
      </c>
      <c r="P339">
        <f t="shared" si="86"/>
        <v>0</v>
      </c>
      <c r="Q339">
        <f t="shared" si="78"/>
        <v>2.3522492471737304E-2</v>
      </c>
      <c r="R339">
        <f t="shared" si="87"/>
        <v>0.44411168955177638</v>
      </c>
      <c r="S339" s="9">
        <f t="shared" si="79"/>
        <v>0.42249053218802651</v>
      </c>
      <c r="T339">
        <v>0.60109999999999997</v>
      </c>
      <c r="U339">
        <v>0.69584999999999997</v>
      </c>
      <c r="V339">
        <v>4.3130306238632878E-2</v>
      </c>
      <c r="W339" s="9">
        <v>0.47841542205078191</v>
      </c>
      <c r="X339">
        <f t="shared" si="88"/>
        <v>0.60046979922732524</v>
      </c>
      <c r="Y339">
        <f t="shared" si="80"/>
        <v>0.35160145172835816</v>
      </c>
      <c r="Z339">
        <f t="shared" si="91"/>
        <v>5.0997450169983777E-3</v>
      </c>
      <c r="AA339">
        <f t="shared" si="81"/>
        <v>0.17609119558693709</v>
      </c>
      <c r="AB339">
        <f t="shared" si="85"/>
        <v>0.16634834938779572</v>
      </c>
      <c r="AC339">
        <f t="shared" si="82"/>
        <v>1.1637684859488024</v>
      </c>
      <c r="AD339">
        <f t="shared" si="89"/>
        <v>2.2886673110138469E-4</v>
      </c>
      <c r="AE339">
        <f t="shared" si="83"/>
        <v>1.2546901576357139</v>
      </c>
      <c r="AF339">
        <f t="shared" si="84"/>
        <v>6.6842332917760316E-4</v>
      </c>
    </row>
    <row r="340" spans="1:32" x14ac:dyDescent="0.25">
      <c r="A340" s="6">
        <v>44660.333414351851</v>
      </c>
      <c r="B340">
        <v>84101673.996009827</v>
      </c>
      <c r="C340">
        <v>84086939.145950317</v>
      </c>
      <c r="D340">
        <v>25978.56825437583</v>
      </c>
      <c r="E340">
        <v>252305.02198800445</v>
      </c>
      <c r="F340">
        <v>1.8663267009913307E+19</v>
      </c>
      <c r="G340">
        <v>4112</v>
      </c>
      <c r="H340">
        <v>3.116907723984772E-4</v>
      </c>
      <c r="I340">
        <v>3208.3080044524463</v>
      </c>
      <c r="J340">
        <f t="shared" si="90"/>
        <v>-1.7899105059660358E-2</v>
      </c>
      <c r="K340">
        <f t="shared" si="75"/>
        <v>0.11029067960960319</v>
      </c>
      <c r="L340">
        <f t="shared" si="76"/>
        <v>0.63009361267162078</v>
      </c>
      <c r="M340">
        <f t="shared" si="77"/>
        <v>0.62585590629542176</v>
      </c>
      <c r="N340" s="2">
        <v>8.660744471384238E-2</v>
      </c>
      <c r="O340" s="9">
        <v>0.53110012306246257</v>
      </c>
      <c r="P340">
        <f t="shared" si="86"/>
        <v>0</v>
      </c>
      <c r="Q340">
        <f t="shared" si="78"/>
        <v>2.3522492471737304E-2</v>
      </c>
      <c r="R340">
        <f t="shared" si="87"/>
        <v>0.47087940609587708</v>
      </c>
      <c r="S340" s="9">
        <f t="shared" si="79"/>
        <v>0.41805656871209645</v>
      </c>
      <c r="T340">
        <v>0.53739999999999999</v>
      </c>
      <c r="U340">
        <v>0.68713999999999997</v>
      </c>
      <c r="V340">
        <v>4.3130306238632878E-2</v>
      </c>
      <c r="W340" s="9">
        <v>0.45179976890838441</v>
      </c>
      <c r="X340">
        <f t="shared" si="88"/>
        <v>0.64642976172459254</v>
      </c>
      <c r="Y340">
        <f t="shared" si="80"/>
        <v>0.36424364845913565</v>
      </c>
      <c r="Z340">
        <f t="shared" si="91"/>
        <v>-1.7899105059660358E-2</v>
      </c>
      <c r="AA340">
        <f t="shared" si="81"/>
        <v>0.20898955069659148</v>
      </c>
      <c r="AB340">
        <f t="shared" si="85"/>
        <v>0.16786827339286184</v>
      </c>
      <c r="AC340">
        <f t="shared" si="82"/>
        <v>1.170571032461188</v>
      </c>
      <c r="AD340">
        <f t="shared" si="89"/>
        <v>2.3725252384298296E-4</v>
      </c>
      <c r="AE340">
        <f t="shared" si="83"/>
        <v>1.2092381106064092</v>
      </c>
      <c r="AF340">
        <f t="shared" si="84"/>
        <v>2.5382416812174124E-3</v>
      </c>
    </row>
    <row r="341" spans="1:32" x14ac:dyDescent="0.25">
      <c r="A341" s="6">
        <v>44661.333344907405</v>
      </c>
      <c r="B341">
        <v>21964318.367538452</v>
      </c>
      <c r="C341">
        <v>21980218.610374451</v>
      </c>
      <c r="D341">
        <v>6790.5662525296211</v>
      </c>
      <c r="E341">
        <v>65892.955102622509</v>
      </c>
      <c r="F341">
        <v>1.8749748246262358E+19</v>
      </c>
      <c r="G341">
        <v>4208</v>
      </c>
      <c r="H341">
        <v>3.0788064670772092E-4</v>
      </c>
      <c r="I341">
        <v>3248.0118860778084</v>
      </c>
      <c r="J341">
        <f t="shared" si="90"/>
        <v>1.2299385040995791E-2</v>
      </c>
      <c r="K341">
        <f t="shared" si="75"/>
        <v>0.10689877094741577</v>
      </c>
      <c r="L341">
        <f t="shared" si="76"/>
        <v>0</v>
      </c>
      <c r="M341">
        <f t="shared" si="77"/>
        <v>0.59224361654431401</v>
      </c>
      <c r="N341" s="2">
        <v>2.2673001141465501E-2</v>
      </c>
      <c r="O341" s="9">
        <v>0.52916881493579127</v>
      </c>
      <c r="P341">
        <f t="shared" si="86"/>
        <v>0</v>
      </c>
      <c r="Q341">
        <f t="shared" si="78"/>
        <v>2.0861411283338831E-2</v>
      </c>
      <c r="R341">
        <f t="shared" si="87"/>
        <v>0</v>
      </c>
      <c r="S341" s="9">
        <f t="shared" si="79"/>
        <v>0.39044881285811556</v>
      </c>
      <c r="T341">
        <v>0.62909999999999999</v>
      </c>
      <c r="U341">
        <v>0.68028999999999995</v>
      </c>
      <c r="V341">
        <v>5.7659376968080663E-2</v>
      </c>
      <c r="W341" s="9">
        <v>0.48288353841053877</v>
      </c>
      <c r="X341">
        <f t="shared" si="88"/>
        <v>0</v>
      </c>
      <c r="Y341">
        <f t="shared" si="80"/>
        <v>0.34259267895404938</v>
      </c>
      <c r="Z341">
        <f t="shared" si="91"/>
        <v>1.2299385040995791E-2</v>
      </c>
      <c r="AA341">
        <f t="shared" si="81"/>
        <v>0.20228988567426101</v>
      </c>
      <c r="AB341">
        <f t="shared" si="85"/>
        <v>0.1685315735617394</v>
      </c>
      <c r="AC341">
        <f t="shared" si="82"/>
        <v>1.173528466908607</v>
      </c>
      <c r="AD341">
        <f t="shared" si="89"/>
        <v>6.21158821151121E-5</v>
      </c>
      <c r="AE341">
        <f t="shared" si="83"/>
        <v>1.2574533762499176</v>
      </c>
      <c r="AF341">
        <f t="shared" si="84"/>
        <v>1.6034442850054731E-4</v>
      </c>
    </row>
    <row r="342" spans="1:32" x14ac:dyDescent="0.25">
      <c r="A342" s="6">
        <v>44662.333391203705</v>
      </c>
      <c r="B342">
        <v>90637419.807273865</v>
      </c>
      <c r="C342">
        <v>90569005.428268433</v>
      </c>
      <c r="D342">
        <v>28446.637614334002</v>
      </c>
      <c r="E342">
        <v>271912.25942182541</v>
      </c>
      <c r="F342">
        <v>1.5418743248437242E+19</v>
      </c>
      <c r="G342">
        <v>4233</v>
      </c>
      <c r="H342">
        <v>3.2770344797460727E-4</v>
      </c>
      <c r="I342">
        <v>3051.5394518445437</v>
      </c>
      <c r="J342">
        <f t="shared" si="90"/>
        <v>-6.239688020797754E-2</v>
      </c>
      <c r="K342">
        <f t="shared" si="75"/>
        <v>9.0788147290025739E-2</v>
      </c>
      <c r="L342">
        <f t="shared" si="76"/>
        <v>0.83373623575054767</v>
      </c>
      <c r="M342">
        <f t="shared" si="77"/>
        <v>0.60200044831696742</v>
      </c>
      <c r="N342" s="2">
        <v>0.11195180835652388</v>
      </c>
      <c r="O342" s="9">
        <v>0.60182442588749752</v>
      </c>
      <c r="P342">
        <f t="shared" si="86"/>
        <v>0</v>
      </c>
      <c r="Q342">
        <f t="shared" si="78"/>
        <v>2.0861411283338831E-2</v>
      </c>
      <c r="R342">
        <f t="shared" si="87"/>
        <v>0.65152308034839257</v>
      </c>
      <c r="S342" s="9">
        <f t="shared" si="79"/>
        <v>0.40388681618631961</v>
      </c>
      <c r="T342">
        <v>0.63800000000000001</v>
      </c>
      <c r="U342">
        <v>0.67451666666666676</v>
      </c>
      <c r="V342">
        <v>5.7659376968080663E-2</v>
      </c>
      <c r="W342" s="9">
        <v>0.50716081042944716</v>
      </c>
      <c r="X342">
        <f t="shared" si="88"/>
        <v>0.73850016891904047</v>
      </c>
      <c r="Y342">
        <f t="shared" si="80"/>
        <v>0.36720935125135074</v>
      </c>
      <c r="Z342">
        <f t="shared" si="91"/>
        <v>-6.239688020797754E-2</v>
      </c>
      <c r="AA342">
        <f t="shared" si="81"/>
        <v>0.16669166555560699</v>
      </c>
      <c r="AB342">
        <f t="shared" si="85"/>
        <v>0.16647834288822905</v>
      </c>
      <c r="AC342">
        <f t="shared" si="82"/>
        <v>1.1643516903159969</v>
      </c>
      <c r="AD342">
        <f t="shared" si="89"/>
        <v>3.0667025503863999E-4</v>
      </c>
      <c r="AE342">
        <f t="shared" si="83"/>
        <v>1.1855318477518795</v>
      </c>
      <c r="AF342">
        <f t="shared" si="84"/>
        <v>3.2193328538920873E-3</v>
      </c>
    </row>
    <row r="343" spans="1:32" x14ac:dyDescent="0.25">
      <c r="A343" s="6">
        <v>44663.333634259259</v>
      </c>
      <c r="B343">
        <v>96430750.662017822</v>
      </c>
      <c r="C343">
        <v>96424664.307991028</v>
      </c>
      <c r="D343">
        <v>32064.225110135972</v>
      </c>
      <c r="E343">
        <v>289292.25198605657</v>
      </c>
      <c r="F343">
        <v>1.7510013076572598E+19</v>
      </c>
      <c r="G343">
        <v>4238</v>
      </c>
      <c r="H343">
        <v>3.2960955503639089E-4</v>
      </c>
      <c r="I343">
        <v>3033.8926305992372</v>
      </c>
      <c r="J343">
        <f t="shared" si="90"/>
        <v>-5.7997100193312489E-3</v>
      </c>
      <c r="K343">
        <f t="shared" si="75"/>
        <v>8.9474177138153366E-2</v>
      </c>
      <c r="L343">
        <f t="shared" si="76"/>
        <v>0.83164248968381949</v>
      </c>
      <c r="M343">
        <f t="shared" si="77"/>
        <v>0.61695167170857856</v>
      </c>
      <c r="N343" s="2">
        <v>0.11079598860773621</v>
      </c>
      <c r="O343" s="9">
        <v>0.59515540888373308</v>
      </c>
      <c r="P343">
        <f t="shared" si="86"/>
        <v>0</v>
      </c>
      <c r="Q343">
        <f t="shared" si="78"/>
        <v>2.0861411283338831E-2</v>
      </c>
      <c r="R343">
        <f t="shared" si="87"/>
        <v>0.6443879004422387</v>
      </c>
      <c r="S343" s="9">
        <f t="shared" si="79"/>
        <v>0.42536641286772758</v>
      </c>
      <c r="T343">
        <v>0.57940000000000003</v>
      </c>
      <c r="U343">
        <v>0.66402333333333341</v>
      </c>
      <c r="V343">
        <v>5.7659376968080663E-2</v>
      </c>
      <c r="W343" s="9">
        <v>0.51686156427212326</v>
      </c>
      <c r="X343">
        <f t="shared" si="88"/>
        <v>0.73760542477879176</v>
      </c>
      <c r="Y343">
        <f t="shared" si="80"/>
        <v>0.39179619874397714</v>
      </c>
      <c r="Z343">
        <f t="shared" si="91"/>
        <v>-5.7997100193312489E-3</v>
      </c>
      <c r="AA343">
        <f t="shared" si="81"/>
        <v>0.1643917805479411</v>
      </c>
      <c r="AB343">
        <f t="shared" si="85"/>
        <v>0.16570838138566266</v>
      </c>
      <c r="AC343">
        <f t="shared" si="82"/>
        <v>1.1608934650772098</v>
      </c>
      <c r="AD343">
        <f t="shared" si="89"/>
        <v>3.0350459154144426E-4</v>
      </c>
      <c r="AE343">
        <f t="shared" si="83"/>
        <v>1.1746755132682751</v>
      </c>
      <c r="AF343">
        <f t="shared" si="84"/>
        <v>3.8020684368162971E-3</v>
      </c>
    </row>
    <row r="344" spans="1:32" x14ac:dyDescent="0.25">
      <c r="A344" s="6">
        <v>44664.333333333336</v>
      </c>
      <c r="B344">
        <v>81378480.956962585</v>
      </c>
      <c r="C344">
        <v>81379617.151863098</v>
      </c>
      <c r="D344">
        <v>26816.597720660269</v>
      </c>
      <c r="E344">
        <v>244135.44287088513</v>
      </c>
      <c r="F344">
        <v>1.9562233303561839E+19</v>
      </c>
      <c r="G344">
        <v>4240</v>
      </c>
      <c r="H344">
        <v>3.3079822833007353E-4</v>
      </c>
      <c r="I344">
        <v>3022.9907972850169</v>
      </c>
      <c r="J344">
        <f t="shared" si="90"/>
        <v>-3.5998200119986517E-3</v>
      </c>
      <c r="K344">
        <f t="shared" si="75"/>
        <v>8.5980418021904981E-2</v>
      </c>
      <c r="L344">
        <f t="shared" si="76"/>
        <v>0.69463049602827465</v>
      </c>
      <c r="M344">
        <f t="shared" si="77"/>
        <v>0.61329475272139766</v>
      </c>
      <c r="N344" s="2">
        <v>8.2792941101259121E-2</v>
      </c>
      <c r="O344" s="9">
        <v>0.59540336548751227</v>
      </c>
      <c r="P344">
        <f t="shared" si="86"/>
        <v>0</v>
      </c>
      <c r="Q344">
        <f t="shared" si="78"/>
        <v>2.0861411283338831E-2</v>
      </c>
      <c r="R344">
        <f t="shared" si="87"/>
        <v>0.43727724178664945</v>
      </c>
      <c r="S344" s="9">
        <f t="shared" si="79"/>
        <v>0.42406725666620382</v>
      </c>
      <c r="T344">
        <v>0.54930000000000001</v>
      </c>
      <c r="U344">
        <v>0.65434000000000003</v>
      </c>
      <c r="V344">
        <v>5.7659376968080663E-2</v>
      </c>
      <c r="W344" s="9">
        <v>0.5140262624749723</v>
      </c>
      <c r="X344">
        <f t="shared" si="88"/>
        <v>0.55839688582170965</v>
      </c>
      <c r="Y344">
        <f t="shared" si="80"/>
        <v>0.41040942827136745</v>
      </c>
      <c r="Z344">
        <f t="shared" si="91"/>
        <v>-3.5998200119986517E-3</v>
      </c>
      <c r="AA344">
        <f t="shared" si="81"/>
        <v>0.1573921305246104</v>
      </c>
      <c r="AB344">
        <f t="shared" si="85"/>
        <v>0.16692832038972891</v>
      </c>
      <c r="AC344">
        <f t="shared" si="82"/>
        <v>1.1663684364441977</v>
      </c>
      <c r="AD344">
        <f t="shared" si="89"/>
        <v>2.2680425359053813E-4</v>
      </c>
      <c r="AE344">
        <f t="shared" si="83"/>
        <v>1.191831530980844</v>
      </c>
      <c r="AF344">
        <f t="shared" si="84"/>
        <v>3.1793034601959036E-3</v>
      </c>
    </row>
    <row r="345" spans="1:32" x14ac:dyDescent="0.25">
      <c r="A345" s="6">
        <v>44665.333680555559</v>
      </c>
      <c r="B345">
        <v>69023960.642654419</v>
      </c>
      <c r="C345">
        <v>69042837.611709595</v>
      </c>
      <c r="D345">
        <v>22377.817513825372</v>
      </c>
      <c r="E345">
        <v>207071.88192796707</v>
      </c>
      <c r="F345">
        <v>2.6413040364673896E+19</v>
      </c>
      <c r="G345">
        <v>4248</v>
      </c>
      <c r="H345">
        <v>3.2489742182701824E-4</v>
      </c>
      <c r="I345">
        <v>3077.8945378409917</v>
      </c>
      <c r="J345">
        <f t="shared" si="90"/>
        <v>1.7999100059993441E-2</v>
      </c>
      <c r="K345">
        <f t="shared" si="75"/>
        <v>0.10438496578498448</v>
      </c>
      <c r="L345">
        <f t="shared" si="76"/>
        <v>0.38474922757617491</v>
      </c>
      <c r="M345">
        <f t="shared" si="77"/>
        <v>0.60012000498566187</v>
      </c>
      <c r="N345" s="2">
        <v>5.163163231539189E-2</v>
      </c>
      <c r="O345" s="9">
        <v>0.60975711900389995</v>
      </c>
      <c r="P345">
        <f t="shared" si="86"/>
        <v>0</v>
      </c>
      <c r="Q345">
        <f t="shared" si="78"/>
        <v>2.0861411283338831E-2</v>
      </c>
      <c r="R345">
        <f t="shared" si="87"/>
        <v>0</v>
      </c>
      <c r="S345" s="9">
        <f t="shared" si="79"/>
        <v>0.40831905926348416</v>
      </c>
      <c r="T345">
        <v>0.53390000000000004</v>
      </c>
      <c r="U345">
        <v>0.64320999999999995</v>
      </c>
      <c r="V345">
        <v>5.7659376968080663E-2</v>
      </c>
      <c r="W345" s="9">
        <v>0.49134238351052595</v>
      </c>
      <c r="X345">
        <f t="shared" si="88"/>
        <v>0.20327385259802602</v>
      </c>
      <c r="Y345">
        <f t="shared" si="80"/>
        <v>0.41718522335796832</v>
      </c>
      <c r="Z345">
        <f t="shared" si="91"/>
        <v>1.7999100059993441E-2</v>
      </c>
      <c r="AA345">
        <f t="shared" si="81"/>
        <v>0.19349032564493049</v>
      </c>
      <c r="AB345">
        <f t="shared" si="85"/>
        <v>0.1684382448947617</v>
      </c>
      <c r="AC345">
        <f t="shared" si="82"/>
        <v>1.1731127553796339</v>
      </c>
      <c r="AD345">
        <f t="shared" si="89"/>
        <v>1.414465228604826E-4</v>
      </c>
      <c r="AE345">
        <f t="shared" si="83"/>
        <v>1.141785620140241</v>
      </c>
      <c r="AF345">
        <f t="shared" si="84"/>
        <v>4.7378356335885385E-3</v>
      </c>
    </row>
    <row r="346" spans="1:32" x14ac:dyDescent="0.25">
      <c r="A346" s="6">
        <v>44666.333391203705</v>
      </c>
      <c r="B346">
        <v>45585800.312065125</v>
      </c>
      <c r="C346">
        <v>45567194.805534363</v>
      </c>
      <c r="D346">
        <v>15014.309242311865</v>
      </c>
      <c r="E346">
        <v>136757.40093618631</v>
      </c>
      <c r="F346">
        <v>1.9715253650693685E+19</v>
      </c>
      <c r="G346">
        <v>4263</v>
      </c>
      <c r="H346">
        <v>3.2993931295528708E-4</v>
      </c>
      <c r="I346">
        <v>3030.8604059423456</v>
      </c>
      <c r="J346">
        <f t="shared" si="90"/>
        <v>-1.5399230051327786E-2</v>
      </c>
      <c r="K346">
        <f t="shared" si="75"/>
        <v>6.5527815921576194E-2</v>
      </c>
      <c r="L346">
        <f t="shared" si="76"/>
        <v>0.5137829500577088</v>
      </c>
      <c r="M346">
        <f t="shared" si="77"/>
        <v>0.58059922748832038</v>
      </c>
      <c r="N346" s="2">
        <v>4.6054875194744042E-2</v>
      </c>
      <c r="O346" s="9">
        <v>0.5807721515461175</v>
      </c>
      <c r="P346">
        <f t="shared" si="86"/>
        <v>0</v>
      </c>
      <c r="Q346">
        <f t="shared" si="78"/>
        <v>1.1863782899393219E-2</v>
      </c>
      <c r="R346">
        <f t="shared" si="87"/>
        <v>0</v>
      </c>
      <c r="S346" s="9">
        <f t="shared" si="79"/>
        <v>0.37940428541450938</v>
      </c>
      <c r="T346">
        <v>0.51570000000000005</v>
      </c>
      <c r="U346">
        <v>0.63351333333333315</v>
      </c>
      <c r="V346">
        <v>5.7659376968080663E-2</v>
      </c>
      <c r="W346" s="9">
        <v>0.49134238351052595</v>
      </c>
      <c r="X346">
        <f t="shared" si="88"/>
        <v>0.17658749020644529</v>
      </c>
      <c r="Y346">
        <f t="shared" si="80"/>
        <v>0.39995986803478789</v>
      </c>
      <c r="Z346">
        <f t="shared" si="91"/>
        <v>-1.5399230051327786E-2</v>
      </c>
      <c r="AA346">
        <f t="shared" si="81"/>
        <v>0.1171941403906247</v>
      </c>
      <c r="AB346">
        <f t="shared" si="85"/>
        <v>0.16966485023218347</v>
      </c>
      <c r="AC346">
        <f t="shared" si="82"/>
        <v>1.1785657316556033</v>
      </c>
      <c r="AD346">
        <f t="shared" si="89"/>
        <v>1.2616978051795585E-4</v>
      </c>
      <c r="AE346">
        <f t="shared" si="83"/>
        <v>1.0940599542648011</v>
      </c>
      <c r="AF346">
        <f t="shared" si="84"/>
        <v>5.6358965685368023E-3</v>
      </c>
    </row>
    <row r="347" spans="1:32" x14ac:dyDescent="0.25">
      <c r="A347" s="6">
        <v>44667.33357638889</v>
      </c>
      <c r="B347">
        <v>25890393.653953552</v>
      </c>
      <c r="C347">
        <v>25894330.859733582</v>
      </c>
      <c r="D347">
        <v>8558.3014644850045</v>
      </c>
      <c r="E347">
        <v>77671.180961877108</v>
      </c>
      <c r="F347">
        <v>1.977151353596323E+19</v>
      </c>
      <c r="G347">
        <v>4296</v>
      </c>
      <c r="H347">
        <v>3.2908262774849388E-4</v>
      </c>
      <c r="I347">
        <v>3038.7505011788844</v>
      </c>
      <c r="J347">
        <f t="shared" si="90"/>
        <v>2.5998700086657688E-3</v>
      </c>
      <c r="K347">
        <f t="shared" si="75"/>
        <v>5.3143103201756227E-2</v>
      </c>
      <c r="L347">
        <f t="shared" si="76"/>
        <v>0.3754660389965489</v>
      </c>
      <c r="M347">
        <f t="shared" si="77"/>
        <v>0.56011250927242195</v>
      </c>
      <c r="N347" s="2">
        <v>2.6211075455035666E-2</v>
      </c>
      <c r="O347" s="9">
        <v>0.57928998781568442</v>
      </c>
      <c r="P347">
        <f t="shared" si="86"/>
        <v>0</v>
      </c>
      <c r="Q347">
        <f t="shared" si="78"/>
        <v>1.1863782899393219E-2</v>
      </c>
      <c r="R347">
        <f t="shared" si="87"/>
        <v>0</v>
      </c>
      <c r="S347" s="9">
        <f t="shared" si="79"/>
        <v>0.35457949321000437</v>
      </c>
      <c r="T347">
        <v>0.50700000000000001</v>
      </c>
      <c r="U347">
        <v>0.62754999999999983</v>
      </c>
      <c r="V347">
        <v>6.1450212096815629E-2</v>
      </c>
      <c r="W347" s="9">
        <v>0.50214820304456875</v>
      </c>
      <c r="X347">
        <f t="shared" si="88"/>
        <v>0</v>
      </c>
      <c r="Y347">
        <f t="shared" si="80"/>
        <v>0.37988358339981454</v>
      </c>
      <c r="Z347">
        <f t="shared" si="91"/>
        <v>2.5998700086657688E-3</v>
      </c>
      <c r="AA347">
        <f t="shared" si="81"/>
        <v>9.2495375308300293E-2</v>
      </c>
      <c r="AB347">
        <f t="shared" si="85"/>
        <v>0.16894821939646151</v>
      </c>
      <c r="AC347">
        <f t="shared" si="82"/>
        <v>1.1753826893126784</v>
      </c>
      <c r="AD347">
        <f t="shared" si="89"/>
        <v>7.1808587331831852E-5</v>
      </c>
      <c r="AE347">
        <f t="shared" si="83"/>
        <v>1.0886035796111719</v>
      </c>
      <c r="AF347">
        <f t="shared" si="84"/>
        <v>5.4646984793476072E-3</v>
      </c>
    </row>
    <row r="348" spans="1:32" x14ac:dyDescent="0.25">
      <c r="A348" s="6">
        <v>44668.333449074074</v>
      </c>
      <c r="B348">
        <v>30322160.341773987</v>
      </c>
      <c r="C348">
        <v>30325394.643890381</v>
      </c>
      <c r="D348">
        <v>9958.3848242089152</v>
      </c>
      <c r="E348">
        <v>90966.481025308371</v>
      </c>
      <c r="F348">
        <v>1.9731162585477362E+19</v>
      </c>
      <c r="G348">
        <v>4351</v>
      </c>
      <c r="H348">
        <v>3.2842515306001933E-4</v>
      </c>
      <c r="I348">
        <v>3044.8337792728412</v>
      </c>
      <c r="J348">
        <f t="shared" si="90"/>
        <v>1.9999000066656652E-3</v>
      </c>
      <c r="K348">
        <f t="shared" si="75"/>
        <v>5.0005084626574686E-2</v>
      </c>
      <c r="L348">
        <f t="shared" si="76"/>
        <v>0.4288315798281952</v>
      </c>
      <c r="M348">
        <f t="shared" si="77"/>
        <v>0.5509560432605326</v>
      </c>
      <c r="N348" s="2">
        <v>3.0591986510588837E-2</v>
      </c>
      <c r="O348" s="9">
        <v>0.56490693019190164</v>
      </c>
      <c r="P348">
        <f t="shared" si="86"/>
        <v>0</v>
      </c>
      <c r="Q348">
        <f t="shared" si="78"/>
        <v>1.1863782899393219E-2</v>
      </c>
      <c r="R348">
        <f t="shared" si="87"/>
        <v>0</v>
      </c>
      <c r="S348" s="9">
        <f t="shared" si="79"/>
        <v>0.34600049830340235</v>
      </c>
      <c r="T348">
        <v>0.58939999999999992</v>
      </c>
      <c r="U348">
        <v>0.62516333333333329</v>
      </c>
      <c r="V348">
        <v>6.1450212096815629E-2</v>
      </c>
      <c r="W348" s="9">
        <v>0.52918435194323021</v>
      </c>
      <c r="X348">
        <f t="shared" si="88"/>
        <v>0</v>
      </c>
      <c r="Y348">
        <f t="shared" si="80"/>
        <v>0.37988358339981454</v>
      </c>
      <c r="Z348">
        <f t="shared" si="91"/>
        <v>1.9999000066656652E-3</v>
      </c>
      <c r="AA348">
        <f t="shared" si="81"/>
        <v>8.6895655289635471E-2</v>
      </c>
      <c r="AB348">
        <f t="shared" si="85"/>
        <v>0.16810826139366183</v>
      </c>
      <c r="AC348">
        <f t="shared" si="82"/>
        <v>1.171641842494886</v>
      </c>
      <c r="AD348">
        <f t="shared" si="89"/>
        <v>8.3810149504062558E-5</v>
      </c>
      <c r="AE348">
        <f t="shared" si="83"/>
        <v>1.0335488339980006</v>
      </c>
      <c r="AF348">
        <f t="shared" si="84"/>
        <v>6.1328820864310352E-3</v>
      </c>
    </row>
    <row r="349" spans="1:32" x14ac:dyDescent="0.25">
      <c r="A349" s="6">
        <v>44669.333819444444</v>
      </c>
      <c r="B349">
        <v>93680419.278251648</v>
      </c>
      <c r="C349">
        <v>93672212.274131775</v>
      </c>
      <c r="D349">
        <v>30829.878365628421</v>
      </c>
      <c r="E349">
        <v>281041.25783476233</v>
      </c>
      <c r="F349">
        <v>1.024486142499005E+19</v>
      </c>
      <c r="G349">
        <v>4378</v>
      </c>
      <c r="H349">
        <v>3.4312910561132634E-4</v>
      </c>
      <c r="I349">
        <v>2914.3549283537986</v>
      </c>
      <c r="J349">
        <f t="shared" si="90"/>
        <v>-4.3797810145984106E-2</v>
      </c>
      <c r="K349">
        <f t="shared" si="75"/>
        <v>1.2643673067505778E-3</v>
      </c>
      <c r="L349">
        <f t="shared" si="76"/>
        <v>1.1948197039585966</v>
      </c>
      <c r="M349">
        <f t="shared" si="77"/>
        <v>0.56338387821957037</v>
      </c>
      <c r="N349" s="2">
        <v>0.17845412810406233</v>
      </c>
      <c r="O349" s="9">
        <v>0.56949047677530407</v>
      </c>
      <c r="P349">
        <f t="shared" si="86"/>
        <v>0.52621738381145822</v>
      </c>
      <c r="Q349">
        <f t="shared" si="78"/>
        <v>2.9404362359775161E-2</v>
      </c>
      <c r="R349">
        <f t="shared" si="87"/>
        <v>0.9780086309470718</v>
      </c>
      <c r="S349" s="9">
        <f t="shared" si="79"/>
        <v>0.36346975157103689</v>
      </c>
      <c r="T349">
        <v>0.62950000000000006</v>
      </c>
      <c r="U349">
        <v>0.62314666666666674</v>
      </c>
      <c r="V349">
        <v>6.1450212096815629E-2</v>
      </c>
      <c r="W349" s="9">
        <v>0.54702740128424565</v>
      </c>
      <c r="X349">
        <f t="shared" si="88"/>
        <v>1.0746894875782036</v>
      </c>
      <c r="Y349">
        <f t="shared" si="80"/>
        <v>0.40719268825896765</v>
      </c>
      <c r="Z349">
        <f t="shared" si="91"/>
        <v>-4.3797810145984106E-2</v>
      </c>
      <c r="AA349">
        <f t="shared" si="81"/>
        <v>1.079946003599596E-2</v>
      </c>
      <c r="AB349">
        <f t="shared" si="85"/>
        <v>0.16710164505697328</v>
      </c>
      <c r="AC349">
        <f t="shared" si="82"/>
        <v>1.1671444151121229</v>
      </c>
      <c r="AD349">
        <f t="shared" si="89"/>
        <v>4.8879593926169293E-4</v>
      </c>
      <c r="AE349">
        <f t="shared" si="83"/>
        <v>1.0064202017276132</v>
      </c>
      <c r="AF349">
        <f t="shared" si="84"/>
        <v>6.5232324180168888E-3</v>
      </c>
    </row>
    <row r="350" spans="1:32" x14ac:dyDescent="0.25">
      <c r="A350" s="6">
        <v>44670.333379629628</v>
      </c>
      <c r="B350">
        <v>50987209.712905884</v>
      </c>
      <c r="C350">
        <v>51025537.688903809</v>
      </c>
      <c r="D350">
        <v>17006.264632217586</v>
      </c>
      <c r="E350">
        <v>152961.62913870811</v>
      </c>
      <c r="F350">
        <v>1.8908320609299862E+19</v>
      </c>
      <c r="G350">
        <v>4404</v>
      </c>
      <c r="H350">
        <v>3.2793290921738434E-4</v>
      </c>
      <c r="I350">
        <v>3049.4042284030338</v>
      </c>
      <c r="J350">
        <f t="shared" si="90"/>
        <v>4.5297735150983773E-2</v>
      </c>
      <c r="K350">
        <f t="shared" si="75"/>
        <v>3.2300101296529826E-2</v>
      </c>
      <c r="L350">
        <f t="shared" si="76"/>
        <v>0.64114965665874879</v>
      </c>
      <c r="M350">
        <f t="shared" si="77"/>
        <v>0.5604988528325866</v>
      </c>
      <c r="N350" s="2">
        <v>5.4557332661255613E-2</v>
      </c>
      <c r="O350" s="9">
        <v>0.56032832093168561</v>
      </c>
      <c r="P350">
        <f t="shared" si="86"/>
        <v>0</v>
      </c>
      <c r="Q350">
        <f t="shared" si="78"/>
        <v>2.9404362359775161E-2</v>
      </c>
      <c r="R350">
        <f t="shared" si="87"/>
        <v>0</v>
      </c>
      <c r="S350" s="9">
        <f t="shared" si="79"/>
        <v>0.35516704473522404</v>
      </c>
      <c r="T350">
        <v>0.58379999999999999</v>
      </c>
      <c r="U350">
        <v>0.61786000000000008</v>
      </c>
      <c r="V350">
        <v>6.1450212096815629E-2</v>
      </c>
      <c r="W350" s="9">
        <v>0.56330821729866054</v>
      </c>
      <c r="X350">
        <f t="shared" si="88"/>
        <v>0.35088071446788083</v>
      </c>
      <c r="Y350">
        <f t="shared" si="80"/>
        <v>0.41888871207456368</v>
      </c>
      <c r="Z350">
        <f t="shared" si="91"/>
        <v>4.5297735150983773E-2</v>
      </c>
      <c r="AA350">
        <f t="shared" si="81"/>
        <v>5.1697415172314909E-2</v>
      </c>
      <c r="AB350">
        <f t="shared" si="85"/>
        <v>0.1688048932293171</v>
      </c>
      <c r="AC350">
        <f t="shared" si="82"/>
        <v>1.1747451375176468</v>
      </c>
      <c r="AD350">
        <f t="shared" si="89"/>
        <v>1.4946097442948995E-4</v>
      </c>
      <c r="AE350">
        <f t="shared" si="83"/>
        <v>1.0464439794738836</v>
      </c>
      <c r="AF350">
        <f t="shared" si="84"/>
        <v>6.235816776606562E-3</v>
      </c>
    </row>
    <row r="351" spans="1:32" x14ac:dyDescent="0.25">
      <c r="A351" s="6">
        <v>44671.333495370367</v>
      </c>
      <c r="B351">
        <v>52839730.544082642</v>
      </c>
      <c r="C351">
        <v>52875473.695976257</v>
      </c>
      <c r="D351">
        <v>17055.075346060097</v>
      </c>
      <c r="E351">
        <v>158519.19163227081</v>
      </c>
      <c r="F351">
        <v>1.7844228088095654E+19</v>
      </c>
      <c r="G351">
        <v>4400</v>
      </c>
      <c r="H351">
        <v>3.1706624514971023E-4</v>
      </c>
      <c r="I351">
        <v>3153.9150423528263</v>
      </c>
      <c r="J351">
        <f t="shared" si="90"/>
        <v>3.3698315112321235E-2</v>
      </c>
      <c r="K351">
        <f t="shared" si="75"/>
        <v>4.6000692066742135E-2</v>
      </c>
      <c r="L351">
        <f t="shared" si="76"/>
        <v>0.64823439610387612</v>
      </c>
      <c r="M351">
        <f t="shared" si="77"/>
        <v>0.55591055847700299</v>
      </c>
      <c r="N351" s="2">
        <v>5.8961771958517449E-2</v>
      </c>
      <c r="O351" s="9">
        <v>0.56038371898154127</v>
      </c>
      <c r="P351">
        <f t="shared" si="86"/>
        <v>0</v>
      </c>
      <c r="Q351">
        <f t="shared" si="78"/>
        <v>2.9404362359775161E-2</v>
      </c>
      <c r="R351">
        <f t="shared" si="87"/>
        <v>2.3707236081131247E-2</v>
      </c>
      <c r="S351" s="9">
        <f t="shared" si="79"/>
        <v>0.34099728620857106</v>
      </c>
      <c r="T351">
        <v>0.60170000000000001</v>
      </c>
      <c r="U351">
        <v>0.6144333333333335</v>
      </c>
      <c r="V351">
        <v>7.9563820430900586E-2</v>
      </c>
      <c r="W351" s="9">
        <v>0.57939034557871061</v>
      </c>
      <c r="X351">
        <f t="shared" si="88"/>
        <v>0.39837511445490803</v>
      </c>
      <c r="Y351">
        <f t="shared" si="80"/>
        <v>0.42377667976169769</v>
      </c>
      <c r="Z351">
        <f t="shared" si="91"/>
        <v>3.3698315112321235E-2</v>
      </c>
      <c r="AA351">
        <f t="shared" si="81"/>
        <v>7.9096045263638393E-2</v>
      </c>
      <c r="AB351">
        <f t="shared" si="85"/>
        <v>0.16910821139699472</v>
      </c>
      <c r="AC351">
        <f t="shared" si="82"/>
        <v>1.1760940030812193</v>
      </c>
      <c r="AD351">
        <f t="shared" si="89"/>
        <v>1.6152605522048546E-4</v>
      </c>
      <c r="AE351">
        <f t="shared" si="83"/>
        <v>1.0449800560830391</v>
      </c>
      <c r="AF351">
        <f t="shared" si="84"/>
        <v>6.1823537087539737E-3</v>
      </c>
    </row>
    <row r="352" spans="1:32" x14ac:dyDescent="0.25">
      <c r="A352" s="6">
        <v>44672.333425925928</v>
      </c>
      <c r="B352">
        <v>61528142.399162292</v>
      </c>
      <c r="C352">
        <v>61524732.208641052</v>
      </c>
      <c r="D352">
        <v>19884.76740732789</v>
      </c>
      <c r="E352">
        <v>184584.42719745636</v>
      </c>
      <c r="F352">
        <v>5.7705584623952175E+19</v>
      </c>
      <c r="G352">
        <v>4404</v>
      </c>
      <c r="H352">
        <v>3.1751042653864676E-4</v>
      </c>
      <c r="I352">
        <v>3149.502871138885</v>
      </c>
      <c r="J352">
        <f t="shared" si="90"/>
        <v>-1.3999300046662554E-3</v>
      </c>
      <c r="K352">
        <f t="shared" ref="K352:K367" si="92">(AVERAGE(J323:J352))*(15)+POWER(O352/SQRT(365/15),2)/2</f>
        <v>2.7842259810099378E-2</v>
      </c>
      <c r="L352">
        <f t="shared" ref="L352:L367" si="93">SQRT(MAX(0,8*(N352/(365/15)-LN(COSH(K352/2))),0))*SQRT(365/15)</f>
        <v>0.38869092059023247</v>
      </c>
      <c r="M352">
        <f t="shared" ref="M352:M367" si="94">AVERAGE(L323:L352)</f>
        <v>0.54132168474163966</v>
      </c>
      <c r="N352" s="2">
        <v>2.1242876751081215E-2</v>
      </c>
      <c r="O352" s="9">
        <v>0.56430648053152099</v>
      </c>
      <c r="P352">
        <f t="shared" si="86"/>
        <v>0</v>
      </c>
      <c r="Q352">
        <f t="shared" ref="Q352:Q367" si="95">AVERAGE(P323:P352)</f>
        <v>2.9404362359775161E-2</v>
      </c>
      <c r="R352">
        <f t="shared" si="87"/>
        <v>0</v>
      </c>
      <c r="S352" s="9">
        <f t="shared" ref="S352:S367" si="96">AVERAGE(R323:R352)</f>
        <v>0.32076245549644228</v>
      </c>
      <c r="T352">
        <v>0.61880000000000002</v>
      </c>
      <c r="U352">
        <v>0.61276333333333333</v>
      </c>
      <c r="V352">
        <v>7.9563820430900586E-2</v>
      </c>
      <c r="W352" s="9">
        <v>0.57991282237113784</v>
      </c>
      <c r="X352">
        <f t="shared" si="88"/>
        <v>0</v>
      </c>
      <c r="Y352">
        <f t="shared" ref="Y352:Y367" si="97">AVERAGE(X323:X352)</f>
        <v>0.40671942268012068</v>
      </c>
      <c r="Z352">
        <f t="shared" si="91"/>
        <v>-1.3999300046662554E-3</v>
      </c>
      <c r="AA352">
        <f t="shared" ref="AA352:AA367" si="98">ABS(SUM(Z323:Z352))</f>
        <v>4.2597870141984837E-2</v>
      </c>
      <c r="AB352">
        <f t="shared" si="85"/>
        <v>0.16597170155320698</v>
      </c>
      <c r="AC352">
        <f t="shared" ref="AC352:AC367" si="99">LN((EXP(AB352)-1)*365/30+1)</f>
        <v>1.1620771945304078</v>
      </c>
      <c r="AD352">
        <f t="shared" si="89"/>
        <v>5.8197968797031196E-5</v>
      </c>
      <c r="AE352">
        <f t="shared" ref="AE352:AE367" si="100">I352/I323</f>
        <v>1.0661955963974452</v>
      </c>
      <c r="AF352">
        <f t="shared" ref="AF352:AF367" si="101">2*SQRT(AE352)*EXP(SUM(AD323:AD352))/(1+AE352)-1</f>
        <v>5.6785707840911748E-3</v>
      </c>
    </row>
    <row r="353" spans="1:32" x14ac:dyDescent="0.25">
      <c r="A353" s="6">
        <v>44673.333414351851</v>
      </c>
      <c r="B353">
        <v>83381767.600028992</v>
      </c>
      <c r="C353">
        <v>83343115.363571167</v>
      </c>
      <c r="D353">
        <v>27304.158934634179</v>
      </c>
      <c r="E353">
        <v>250145.30280008912</v>
      </c>
      <c r="F353">
        <v>1.7844100172404931E+19</v>
      </c>
      <c r="G353">
        <v>4410</v>
      </c>
      <c r="H353">
        <v>3.3242303593769757E-4</v>
      </c>
      <c r="I353">
        <v>3008.2151111435583</v>
      </c>
      <c r="J353">
        <f t="shared" si="90"/>
        <v>-4.5897705152983428E-2</v>
      </c>
      <c r="K353">
        <f t="shared" si="92"/>
        <v>1.5557509818776735E-2</v>
      </c>
      <c r="L353">
        <f t="shared" si="93"/>
        <v>0.85534850408063212</v>
      </c>
      <c r="M353">
        <f t="shared" si="94"/>
        <v>0.54198890234984587</v>
      </c>
      <c r="N353" s="2">
        <v>9.2188818678129253E-2</v>
      </c>
      <c r="O353" s="9">
        <v>0.56061360998855181</v>
      </c>
      <c r="P353">
        <f t="shared" si="86"/>
        <v>0</v>
      </c>
      <c r="Q353">
        <f t="shared" si="95"/>
        <v>2.9404362359775161E-2</v>
      </c>
      <c r="R353">
        <f t="shared" si="87"/>
        <v>0.51611859761056944</v>
      </c>
      <c r="S353" s="9">
        <f t="shared" si="96"/>
        <v>0.31791414697310294</v>
      </c>
      <c r="T353">
        <v>0.55549999999999999</v>
      </c>
      <c r="U353">
        <v>0.60946999999999985</v>
      </c>
      <c r="V353">
        <v>7.9563820430900586E-2</v>
      </c>
      <c r="W353" s="9">
        <v>0.56467895843653759</v>
      </c>
      <c r="X353">
        <f t="shared" si="88"/>
        <v>0.65630679220886268</v>
      </c>
      <c r="Y353">
        <f t="shared" si="97"/>
        <v>0.41156763693977977</v>
      </c>
      <c r="Z353">
        <f t="shared" si="91"/>
        <v>-4.5897705152983428E-2</v>
      </c>
      <c r="AA353">
        <f t="shared" si="98"/>
        <v>1.8199090060660478E-2</v>
      </c>
      <c r="AB353">
        <f t="shared" si="85"/>
        <v>0.16239521370795273</v>
      </c>
      <c r="AC353">
        <f t="shared" si="99"/>
        <v>1.1459054914292577</v>
      </c>
      <c r="AD353">
        <f t="shared" si="89"/>
        <v>2.5254021500278396E-4</v>
      </c>
      <c r="AE353">
        <f t="shared" si="100"/>
        <v>0.98491568540180696</v>
      </c>
      <c r="AF353">
        <f t="shared" si="101"/>
        <v>6.133126162312097E-3</v>
      </c>
    </row>
    <row r="354" spans="1:32" x14ac:dyDescent="0.25">
      <c r="A354" s="6">
        <v>44674.333865740744</v>
      </c>
      <c r="B354">
        <v>40815862.143714905</v>
      </c>
      <c r="C354">
        <v>40802496.970687866</v>
      </c>
      <c r="D354">
        <v>13749.657731797546</v>
      </c>
      <c r="E354">
        <v>122447.58643114567</v>
      </c>
      <c r="F354">
        <v>1.1435387379082781E+19</v>
      </c>
      <c r="G354">
        <v>4440</v>
      </c>
      <c r="H354">
        <v>3.3781809072776063E-4</v>
      </c>
      <c r="I354">
        <v>2960.1730263932955</v>
      </c>
      <c r="J354">
        <f t="shared" si="90"/>
        <v>-1.6099195053660833E-2</v>
      </c>
      <c r="K354">
        <f t="shared" si="92"/>
        <v>-9.3558384744484337E-3</v>
      </c>
      <c r="L354">
        <f t="shared" si="93"/>
        <v>0.75680427639302916</v>
      </c>
      <c r="M354">
        <f t="shared" si="94"/>
        <v>0.54320604601074285</v>
      </c>
      <c r="N354" s="2">
        <v>7.1860330420236956E-2</v>
      </c>
      <c r="O354" s="9">
        <v>0.55342369101982436</v>
      </c>
      <c r="P354">
        <f t="shared" si="86"/>
        <v>0</v>
      </c>
      <c r="Q354">
        <f t="shared" si="95"/>
        <v>2.9404362359775161E-2</v>
      </c>
      <c r="R354">
        <f t="shared" si="87"/>
        <v>0.32210324546077235</v>
      </c>
      <c r="S354" s="9">
        <f t="shared" si="96"/>
        <v>0.31189422639551456</v>
      </c>
      <c r="T354">
        <v>0.56000000000000005</v>
      </c>
      <c r="U354">
        <v>0.6070333333333332</v>
      </c>
      <c r="V354">
        <v>7.9563820430900586E-2</v>
      </c>
      <c r="W354" s="9">
        <v>0.55066422858332842</v>
      </c>
      <c r="X354">
        <f t="shared" si="88"/>
        <v>0.52117605213146678</v>
      </c>
      <c r="Y354">
        <f t="shared" si="97"/>
        <v>0.41603193988024195</v>
      </c>
      <c r="Z354">
        <f t="shared" si="91"/>
        <v>-1.6099195053660833E-2</v>
      </c>
      <c r="AA354">
        <f t="shared" si="98"/>
        <v>3.1298435104321773E-2</v>
      </c>
      <c r="AB354">
        <f t="shared" ref="AB354:AB369" si="102">AVERAGE(AA325:AA354)</f>
        <v>0.15810542819365428</v>
      </c>
      <c r="AC354">
        <f t="shared" si="99"/>
        <v>1.1262353613213536</v>
      </c>
      <c r="AD354">
        <f t="shared" si="89"/>
        <v>1.9685823973497846E-4</v>
      </c>
      <c r="AE354">
        <f t="shared" si="100"/>
        <v>0.93370328780962575</v>
      </c>
      <c r="AF354">
        <f t="shared" si="101"/>
        <v>5.5193754127014216E-3</v>
      </c>
    </row>
    <row r="355" spans="1:32" x14ac:dyDescent="0.25">
      <c r="A355" s="6">
        <v>44675.333368055559</v>
      </c>
      <c r="B355">
        <v>13024161.332176208</v>
      </c>
      <c r="C355">
        <v>13019311.857833862</v>
      </c>
      <c r="D355">
        <v>4414.2526909895241</v>
      </c>
      <c r="E355">
        <v>39072.483996540308</v>
      </c>
      <c r="F355">
        <v>1.1438186659059927E+19</v>
      </c>
      <c r="G355">
        <v>4496</v>
      </c>
      <c r="H355">
        <v>3.3978303022508423E-4</v>
      </c>
      <c r="I355">
        <v>2943.0545702578638</v>
      </c>
      <c r="J355">
        <f t="shared" si="90"/>
        <v>-5.7997100193311378E-3</v>
      </c>
      <c r="K355">
        <f t="shared" si="92"/>
        <v>-3.0902541370985706E-2</v>
      </c>
      <c r="L355">
        <f t="shared" si="93"/>
        <v>0.40093249397956793</v>
      </c>
      <c r="M355">
        <f t="shared" si="94"/>
        <v>0.53385318694314321</v>
      </c>
      <c r="N355" s="2">
        <v>2.2997934003770214E-2</v>
      </c>
      <c r="O355" s="9">
        <v>0.55352127870513712</v>
      </c>
      <c r="P355">
        <f t="shared" si="86"/>
        <v>0</v>
      </c>
      <c r="Q355">
        <f t="shared" si="95"/>
        <v>2.9404362359775161E-2</v>
      </c>
      <c r="R355">
        <f t="shared" si="87"/>
        <v>0</v>
      </c>
      <c r="S355" s="9">
        <f t="shared" si="96"/>
        <v>0.29829418411961239</v>
      </c>
      <c r="T355">
        <v>0.60130000000000006</v>
      </c>
      <c r="U355">
        <v>0.60541333333333314</v>
      </c>
      <c r="V355">
        <v>7.9563820430900586E-2</v>
      </c>
      <c r="W355" s="9">
        <v>0.57059336816305573</v>
      </c>
      <c r="X355">
        <f t="shared" si="88"/>
        <v>0</v>
      </c>
      <c r="Y355">
        <f t="shared" si="97"/>
        <v>0.40720989465634078</v>
      </c>
      <c r="Z355">
        <f t="shared" si="91"/>
        <v>-5.7997100193311378E-3</v>
      </c>
      <c r="AA355">
        <f t="shared" si="98"/>
        <v>7.4396280247972929E-2</v>
      </c>
      <c r="AB355">
        <f t="shared" si="102"/>
        <v>0.1557388798524329</v>
      </c>
      <c r="AC355">
        <f t="shared" si="99"/>
        <v>1.1152528323561124</v>
      </c>
      <c r="AD355">
        <f t="shared" si="89"/>
        <v>6.3006053443490775E-5</v>
      </c>
      <c r="AE355">
        <f t="shared" si="100"/>
        <v>0.94026181095533512</v>
      </c>
      <c r="AF355">
        <f t="shared" si="101"/>
        <v>5.4776954618691587E-3</v>
      </c>
    </row>
    <row r="356" spans="1:32" x14ac:dyDescent="0.25">
      <c r="A356" s="6">
        <v>44676.333333333336</v>
      </c>
      <c r="B356">
        <v>48882315.635559082</v>
      </c>
      <c r="C356">
        <v>48864930.196746826</v>
      </c>
      <c r="D356">
        <v>16950.917583666742</v>
      </c>
      <c r="E356">
        <v>146646.94690668583</v>
      </c>
      <c r="F356">
        <v>1.0727660927808721E+19</v>
      </c>
      <c r="G356">
        <v>4506</v>
      </c>
      <c r="H356">
        <v>3.5023548853079179E-4</v>
      </c>
      <c r="I356">
        <v>2855.2217943273404</v>
      </c>
      <c r="J356">
        <f t="shared" si="90"/>
        <v>-3.0298485100989286E-2</v>
      </c>
      <c r="K356">
        <f t="shared" si="92"/>
        <v>-3.9450794289753753E-2</v>
      </c>
      <c r="L356">
        <f t="shared" si="93"/>
        <v>0.83910862639433081</v>
      </c>
      <c r="M356">
        <f t="shared" si="94"/>
        <v>0.561823474489621</v>
      </c>
      <c r="N356" s="2">
        <v>9.2746547962648446E-2</v>
      </c>
      <c r="O356" s="9">
        <v>0.56230140821918917</v>
      </c>
      <c r="P356">
        <f t="shared" si="86"/>
        <v>0</v>
      </c>
      <c r="Q356">
        <f t="shared" si="95"/>
        <v>2.9404362359775161E-2</v>
      </c>
      <c r="R356">
        <f t="shared" si="87"/>
        <v>0.52042313656836436</v>
      </c>
      <c r="S356" s="9">
        <f t="shared" si="96"/>
        <v>0.30644826673170156</v>
      </c>
      <c r="T356">
        <v>0.62219999999999998</v>
      </c>
      <c r="U356">
        <v>0.60462999999999978</v>
      </c>
      <c r="V356">
        <v>7.9563820430900586E-2</v>
      </c>
      <c r="W356" s="9">
        <v>0.58065716726374239</v>
      </c>
      <c r="X356">
        <f t="shared" si="88"/>
        <v>0.65832889840492981</v>
      </c>
      <c r="Y356">
        <f t="shared" si="97"/>
        <v>0.42915419126983845</v>
      </c>
      <c r="Z356">
        <f t="shared" si="91"/>
        <v>-3.0298485100989286E-2</v>
      </c>
      <c r="AA356">
        <f t="shared" si="98"/>
        <v>9.1895405306299971E-2</v>
      </c>
      <c r="AB356">
        <f t="shared" si="102"/>
        <v>0.14955585566515733</v>
      </c>
      <c r="AC356">
        <f t="shared" si="99"/>
        <v>1.0861031788707947</v>
      </c>
      <c r="AD356">
        <f t="shared" si="89"/>
        <v>2.5406785343386315E-4</v>
      </c>
      <c r="AE356">
        <f t="shared" si="100"/>
        <v>0.90556606889274605</v>
      </c>
      <c r="AF356">
        <f t="shared" si="101"/>
        <v>4.7855953380540051E-3</v>
      </c>
    </row>
    <row r="357" spans="1:32" x14ac:dyDescent="0.25">
      <c r="A357" s="6">
        <v>44677.333807870367</v>
      </c>
      <c r="B357">
        <v>61576437.105278015</v>
      </c>
      <c r="C357">
        <v>61607823.382965088</v>
      </c>
      <c r="D357">
        <v>20822.889395330101</v>
      </c>
      <c r="E357">
        <v>184729.31131583452</v>
      </c>
      <c r="F357">
        <v>1.8844883791511581E+19</v>
      </c>
      <c r="G357">
        <v>4519</v>
      </c>
      <c r="H357">
        <v>3.3328841707079939E-4</v>
      </c>
      <c r="I357">
        <v>3000.4043008418539</v>
      </c>
      <c r="J357">
        <f t="shared" si="90"/>
        <v>4.9597520165315684E-2</v>
      </c>
      <c r="K357">
        <f t="shared" si="92"/>
        <v>-1.7816290088957163E-2</v>
      </c>
      <c r="L357">
        <f t="shared" si="93"/>
        <v>0.72398920916000908</v>
      </c>
      <c r="M357">
        <f t="shared" si="94"/>
        <v>0.58595644812828795</v>
      </c>
      <c r="N357" s="2">
        <v>6.6485520522374247E-2</v>
      </c>
      <c r="O357" s="9">
        <v>0.58293527916349364</v>
      </c>
      <c r="P357">
        <f t="shared" si="86"/>
        <v>0</v>
      </c>
      <c r="Q357">
        <f t="shared" si="95"/>
        <v>2.9404362359775161E-2</v>
      </c>
      <c r="R357">
        <f t="shared" si="87"/>
        <v>0.24647925177073399</v>
      </c>
      <c r="S357" s="9">
        <f t="shared" si="96"/>
        <v>0.31466424179072605</v>
      </c>
      <c r="T357">
        <v>0.68290000000000006</v>
      </c>
      <c r="U357">
        <v>0.60535333333333319</v>
      </c>
      <c r="V357">
        <v>7.9563820430900586E-2</v>
      </c>
      <c r="W357" s="9">
        <v>0.57586586094502923</v>
      </c>
      <c r="X357">
        <f t="shared" si="88"/>
        <v>0.44001439384629348</v>
      </c>
      <c r="Y357">
        <f t="shared" si="97"/>
        <v>0.44382133773138155</v>
      </c>
      <c r="Z357">
        <f t="shared" si="91"/>
        <v>4.9597520165315684E-2</v>
      </c>
      <c r="AA357">
        <f t="shared" si="98"/>
        <v>4.9597520165315157E-2</v>
      </c>
      <c r="AB357">
        <f t="shared" si="102"/>
        <v>0.14615602565382524</v>
      </c>
      <c r="AC357">
        <f t="shared" si="99"/>
        <v>1.0697842285638777</v>
      </c>
      <c r="AD357">
        <f t="shared" si="89"/>
        <v>1.8213552333864419E-4</v>
      </c>
      <c r="AE357">
        <f t="shared" si="100"/>
        <v>0.89619745144813789</v>
      </c>
      <c r="AF357">
        <f t="shared" si="101"/>
        <v>4.6547967494754428E-3</v>
      </c>
    </row>
    <row r="358" spans="1:32" x14ac:dyDescent="0.25">
      <c r="A358" s="6">
        <v>44678.333344907405</v>
      </c>
      <c r="B358">
        <v>74149126.527984619</v>
      </c>
      <c r="C358">
        <v>74122862.109039307</v>
      </c>
      <c r="D358">
        <v>25860.403796393424</v>
      </c>
      <c r="E358">
        <v>222447.37958395481</v>
      </c>
      <c r="F358">
        <v>9.3429366811147571E+18</v>
      </c>
      <c r="G358">
        <v>4525</v>
      </c>
      <c r="H358">
        <v>3.4692417061557096E-4</v>
      </c>
      <c r="I358">
        <v>2882.4742831427184</v>
      </c>
      <c r="J358">
        <f t="shared" si="90"/>
        <v>-4.0097995133652295E-2</v>
      </c>
      <c r="K358">
        <f t="shared" si="92"/>
        <v>-6.7665946814942549E-2</v>
      </c>
      <c r="L358">
        <f t="shared" si="93"/>
        <v>1.0929408652608139</v>
      </c>
      <c r="M358">
        <f t="shared" si="94"/>
        <v>0.6011949649092706</v>
      </c>
      <c r="N358" s="2">
        <v>0.16323913016811634</v>
      </c>
      <c r="O358" s="9">
        <v>0.59113602395202947</v>
      </c>
      <c r="P358">
        <f t="shared" si="86"/>
        <v>0.3939349585119446</v>
      </c>
      <c r="Q358">
        <f t="shared" si="95"/>
        <v>4.2535527643506647E-2</v>
      </c>
      <c r="R358">
        <f t="shared" si="87"/>
        <v>0.91366344937257815</v>
      </c>
      <c r="S358" s="9">
        <f t="shared" si="96"/>
        <v>0.32951826064580081</v>
      </c>
      <c r="T358">
        <v>0.6351</v>
      </c>
      <c r="U358">
        <v>0.60453333333333326</v>
      </c>
      <c r="V358">
        <v>7.9563820430900586E-2</v>
      </c>
      <c r="W358" s="9">
        <v>0.56948390102477819</v>
      </c>
      <c r="X358">
        <f t="shared" si="88"/>
        <v>0.99759294186737713</v>
      </c>
      <c r="Y358">
        <f t="shared" si="97"/>
        <v>0.46453120559782535</v>
      </c>
      <c r="Z358">
        <f t="shared" si="91"/>
        <v>-4.0097995133652295E-2</v>
      </c>
      <c r="AA358">
        <f t="shared" si="98"/>
        <v>0.14969251549894597</v>
      </c>
      <c r="AB358">
        <f t="shared" si="102"/>
        <v>0.14466943331553686</v>
      </c>
      <c r="AC358">
        <f t="shared" si="99"/>
        <v>1.062581830160499</v>
      </c>
      <c r="AD358">
        <f t="shared" si="89"/>
        <v>4.4713051586158631E-4</v>
      </c>
      <c r="AE358">
        <f t="shared" si="100"/>
        <v>0.83252599231833058</v>
      </c>
      <c r="AF358">
        <f t="shared" si="101"/>
        <v>2.164168072856798E-3</v>
      </c>
    </row>
    <row r="359" spans="1:32" x14ac:dyDescent="0.25">
      <c r="A359" s="6">
        <v>44679.333344907405</v>
      </c>
      <c r="B359">
        <v>45719101.409324646</v>
      </c>
      <c r="C359">
        <v>45728483.471763611</v>
      </c>
      <c r="D359">
        <v>15873.945105597377</v>
      </c>
      <c r="E359">
        <v>137157.30422797799</v>
      </c>
      <c r="F359">
        <v>9.5387425621590569E+18</v>
      </c>
      <c r="G359">
        <v>4547</v>
      </c>
      <c r="H359">
        <v>3.4097429476556186E-4</v>
      </c>
      <c r="I359">
        <v>2932.7723976599282</v>
      </c>
      <c r="J359">
        <f t="shared" si="90"/>
        <v>1.7299135057660484E-2</v>
      </c>
      <c r="K359">
        <f t="shared" si="92"/>
        <v>-7.5849900075352236E-2</v>
      </c>
      <c r="L359">
        <f t="shared" si="93"/>
        <v>0.80747497319666151</v>
      </c>
      <c r="M359">
        <f t="shared" si="94"/>
        <v>0.6054944094373087</v>
      </c>
      <c r="N359" s="2">
        <v>9.8997124758922736E-2</v>
      </c>
      <c r="O359" s="9">
        <v>0.58971991357127318</v>
      </c>
      <c r="P359">
        <f t="shared" si="86"/>
        <v>0</v>
      </c>
      <c r="Q359">
        <f t="shared" si="95"/>
        <v>4.2535527643506647E-2</v>
      </c>
      <c r="R359">
        <f t="shared" si="87"/>
        <v>0.56643168647759179</v>
      </c>
      <c r="S359" s="9">
        <f t="shared" si="96"/>
        <v>0.33041953888423509</v>
      </c>
      <c r="T359">
        <v>0.63759999999999994</v>
      </c>
      <c r="U359">
        <v>0.60520000000000007</v>
      </c>
      <c r="V359">
        <v>7.9563820430900586E-2</v>
      </c>
      <c r="W359" s="9">
        <v>0.56961011025881458</v>
      </c>
      <c r="X359">
        <f t="shared" si="88"/>
        <v>0.67267356131994271</v>
      </c>
      <c r="Y359">
        <f t="shared" si="97"/>
        <v>0.46965765942402737</v>
      </c>
      <c r="Z359">
        <f t="shared" si="91"/>
        <v>1.7299135057660484E-2</v>
      </c>
      <c r="AA359">
        <f t="shared" si="98"/>
        <v>0.16599170055327336</v>
      </c>
      <c r="AB359">
        <f t="shared" si="102"/>
        <v>0.14345616064482622</v>
      </c>
      <c r="AC359">
        <f t="shared" si="99"/>
        <v>1.0566729556352779</v>
      </c>
      <c r="AD359">
        <f t="shared" si="89"/>
        <v>2.7118822448873669E-4</v>
      </c>
      <c r="AE359">
        <f t="shared" si="100"/>
        <v>0.86019818337182208</v>
      </c>
      <c r="AF359">
        <f t="shared" si="101"/>
        <v>3.5398059535358684E-3</v>
      </c>
    </row>
    <row r="360" spans="1:32" x14ac:dyDescent="0.25">
      <c r="A360" s="6">
        <v>44680.333402777775</v>
      </c>
      <c r="B360">
        <v>59981339.722160339</v>
      </c>
      <c r="C360">
        <v>59967621.015014648</v>
      </c>
      <c r="D360">
        <v>20605.751968797296</v>
      </c>
      <c r="E360">
        <v>179944.01916646957</v>
      </c>
      <c r="F360">
        <v>9.2541682747617423E+18</v>
      </c>
      <c r="G360">
        <v>4567</v>
      </c>
      <c r="H360">
        <v>3.523431126322795E-4</v>
      </c>
      <c r="I360">
        <v>2838.1426063055851</v>
      </c>
      <c r="J360">
        <f t="shared" si="90"/>
        <v>-3.2798360109321398E-2</v>
      </c>
      <c r="K360">
        <f t="shared" si="92"/>
        <v>-8.4201739508914325E-2</v>
      </c>
      <c r="L360">
        <f t="shared" si="93"/>
        <v>0.93271724275460932</v>
      </c>
      <c r="M360">
        <f t="shared" si="94"/>
        <v>0.62262233904857922</v>
      </c>
      <c r="N360" s="2">
        <v>0.13030402689436515</v>
      </c>
      <c r="O360" s="9">
        <v>0.60389752616399595</v>
      </c>
      <c r="P360">
        <f t="shared" si="86"/>
        <v>0</v>
      </c>
      <c r="Q360">
        <f t="shared" si="95"/>
        <v>4.2535527643506647E-2</v>
      </c>
      <c r="R360">
        <f t="shared" si="87"/>
        <v>0.75584394720695369</v>
      </c>
      <c r="S360" s="9">
        <f t="shared" si="96"/>
        <v>0.34278601701679862</v>
      </c>
      <c r="T360">
        <v>0.59</v>
      </c>
      <c r="U360">
        <v>0.60453333333333326</v>
      </c>
      <c r="V360">
        <v>0.10426620704496012</v>
      </c>
      <c r="W360" s="9">
        <v>0.58484955787946025</v>
      </c>
      <c r="X360">
        <f t="shared" si="88"/>
        <v>0.83492133711929162</v>
      </c>
      <c r="Y360">
        <f t="shared" si="97"/>
        <v>0.48076308596675688</v>
      </c>
      <c r="Z360">
        <f t="shared" si="91"/>
        <v>-3.2798360109321398E-2</v>
      </c>
      <c r="AA360">
        <f t="shared" si="98"/>
        <v>0.18339083061126676</v>
      </c>
      <c r="AB360">
        <f t="shared" si="102"/>
        <v>0.1410696133035382</v>
      </c>
      <c r="AC360">
        <f t="shared" si="99"/>
        <v>1.0449683262041121</v>
      </c>
      <c r="AD360">
        <f t="shared" si="89"/>
        <v>3.5693362557102617E-4</v>
      </c>
      <c r="AE360">
        <f t="shared" si="100"/>
        <v>0.83194345716107121</v>
      </c>
      <c r="AF360">
        <f t="shared" si="101"/>
        <v>2.2875205409937927E-3</v>
      </c>
    </row>
    <row r="361" spans="1:32" x14ac:dyDescent="0.25">
      <c r="A361" s="6">
        <v>44681.333854166667</v>
      </c>
      <c r="B361">
        <v>46814739.021759033</v>
      </c>
      <c r="C361">
        <v>46814636.478614807</v>
      </c>
      <c r="D361">
        <v>16511.534501306713</v>
      </c>
      <c r="E361">
        <v>140444.21706527472</v>
      </c>
      <c r="F361">
        <v>1.0945424278153746E+19</v>
      </c>
      <c r="G361">
        <v>4576</v>
      </c>
      <c r="H361">
        <v>3.5269561434160101E-4</v>
      </c>
      <c r="I361">
        <v>2835.3060240535247</v>
      </c>
      <c r="J361">
        <f t="shared" si="90"/>
        <v>-9.9995000333298481E-4</v>
      </c>
      <c r="K361">
        <f t="shared" si="92"/>
        <v>-8.5004910935290251E-2</v>
      </c>
      <c r="L361">
        <f t="shared" si="93"/>
        <v>0.72808657957195655</v>
      </c>
      <c r="M361">
        <f t="shared" si="94"/>
        <v>0.63110061638104953</v>
      </c>
      <c r="N361" s="2">
        <v>8.8235725474580931E-2</v>
      </c>
      <c r="O361" s="9">
        <v>0.60376811179441781</v>
      </c>
      <c r="P361">
        <f t="shared" si="86"/>
        <v>0</v>
      </c>
      <c r="Q361">
        <f t="shared" si="95"/>
        <v>4.2535527643506647E-2</v>
      </c>
      <c r="R361">
        <f t="shared" si="87"/>
        <v>0.48451384002019421</v>
      </c>
      <c r="S361" s="9">
        <f t="shared" si="96"/>
        <v>0.35893647835080505</v>
      </c>
      <c r="T361">
        <v>0.6462</v>
      </c>
      <c r="U361">
        <v>0.60276999999999992</v>
      </c>
      <c r="V361">
        <v>0.10426620704496012</v>
      </c>
      <c r="W361" s="9">
        <v>0.56692986027169512</v>
      </c>
      <c r="X361">
        <f t="shared" si="88"/>
        <v>0.5884151554238084</v>
      </c>
      <c r="Y361">
        <f t="shared" si="97"/>
        <v>0.49829727225867593</v>
      </c>
      <c r="Z361">
        <f t="shared" si="91"/>
        <v>-9.9995000333298481E-4</v>
      </c>
      <c r="AA361">
        <f t="shared" si="98"/>
        <v>0.18499075061659953</v>
      </c>
      <c r="AB361">
        <f t="shared" si="102"/>
        <v>0.14230955130767106</v>
      </c>
      <c r="AC361">
        <f t="shared" si="99"/>
        <v>1.0510631126989918</v>
      </c>
      <c r="AD361">
        <f t="shared" si="89"/>
        <v>2.4171249880904053E-4</v>
      </c>
      <c r="AE361">
        <f t="shared" si="100"/>
        <v>0.86123098911195539</v>
      </c>
      <c r="AF361">
        <f t="shared" si="101"/>
        <v>3.8398658550624631E-3</v>
      </c>
    </row>
    <row r="362" spans="1:32" x14ac:dyDescent="0.25">
      <c r="A362" s="6">
        <v>44682.333796296298</v>
      </c>
      <c r="B362">
        <v>43375012.407348633</v>
      </c>
      <c r="C362">
        <v>43359429.992401123</v>
      </c>
      <c r="D362">
        <v>15606.867791779339</v>
      </c>
      <c r="E362">
        <v>130125.03722205758</v>
      </c>
      <c r="F362">
        <v>1.091957962914714E+19</v>
      </c>
      <c r="G362">
        <v>4571</v>
      </c>
      <c r="H362">
        <v>3.6242010236274682E-4</v>
      </c>
      <c r="I362">
        <v>2759.2288437662282</v>
      </c>
      <c r="J362">
        <f t="shared" si="90"/>
        <v>-2.7198640090656943E-2</v>
      </c>
      <c r="K362">
        <f t="shared" si="92"/>
        <v>-8.117901638276237E-2</v>
      </c>
      <c r="L362">
        <f t="shared" si="93"/>
        <v>0.70671247938192083</v>
      </c>
      <c r="M362">
        <f t="shared" si="94"/>
        <v>0.6322974065302599</v>
      </c>
      <c r="N362" s="2">
        <v>8.2469497316502507E-2</v>
      </c>
      <c r="O362" s="9">
        <v>0.58850631859668934</v>
      </c>
      <c r="P362">
        <f t="shared" si="86"/>
        <v>0</v>
      </c>
      <c r="Q362">
        <f t="shared" si="95"/>
        <v>4.2535527643506647E-2</v>
      </c>
      <c r="R362">
        <f t="shared" si="87"/>
        <v>0.43430845709758747</v>
      </c>
      <c r="S362" s="9">
        <f t="shared" si="96"/>
        <v>0.36543599713281094</v>
      </c>
      <c r="T362">
        <v>0.62190000000000001</v>
      </c>
      <c r="U362">
        <v>0.60265666666666662</v>
      </c>
      <c r="V362">
        <v>0.10193043066664734</v>
      </c>
      <c r="W362" s="9">
        <v>0.54961365276685292</v>
      </c>
      <c r="X362">
        <f t="shared" si="88"/>
        <v>0.56349846284698502</v>
      </c>
      <c r="Y362">
        <f t="shared" si="97"/>
        <v>0.50546844341220754</v>
      </c>
      <c r="Z362">
        <f t="shared" si="91"/>
        <v>-2.7198640090656943E-2</v>
      </c>
      <c r="AA362">
        <f t="shared" si="98"/>
        <v>0.1765911705886026</v>
      </c>
      <c r="AB362">
        <f t="shared" si="102"/>
        <v>0.14496941831653676</v>
      </c>
      <c r="AC362">
        <f t="shared" si="99"/>
        <v>1.0640385486868238</v>
      </c>
      <c r="AD362">
        <f t="shared" si="89"/>
        <v>2.2591830680179244E-4</v>
      </c>
      <c r="AE362">
        <f t="shared" si="100"/>
        <v>0.79121282378890612</v>
      </c>
      <c r="AF362">
        <f t="shared" si="101"/>
        <v>-1.7523390723483967E-4</v>
      </c>
    </row>
    <row r="363" spans="1:32" x14ac:dyDescent="0.25">
      <c r="A363" s="6">
        <v>44683.333344907405</v>
      </c>
      <c r="B363">
        <v>40522911.430183411</v>
      </c>
      <c r="C363">
        <v>40531571.647361755</v>
      </c>
      <c r="D363">
        <v>14412.937375303358</v>
      </c>
      <c r="E363">
        <v>121568.73429054022</v>
      </c>
      <c r="F363">
        <v>1.1402554087079231E+19</v>
      </c>
      <c r="G363">
        <v>4576</v>
      </c>
      <c r="H363">
        <v>3.5731035743732123E-4</v>
      </c>
      <c r="I363">
        <v>2798.6874132956482</v>
      </c>
      <c r="J363">
        <f t="shared" si="90"/>
        <v>1.419929004732833E-2</v>
      </c>
      <c r="K363">
        <f t="shared" si="92"/>
        <v>-0.10281119503005372</v>
      </c>
      <c r="L363">
        <f t="shared" si="93"/>
        <v>0.57492677564423511</v>
      </c>
      <c r="M363">
        <f t="shared" si="94"/>
        <v>0.62647542427991176</v>
      </c>
      <c r="N363" s="2">
        <v>7.3454297726461587E-2</v>
      </c>
      <c r="O363" s="9">
        <v>0.59125927170733639</v>
      </c>
      <c r="P363">
        <f t="shared" si="86"/>
        <v>0</v>
      </c>
      <c r="Q363">
        <f t="shared" si="95"/>
        <v>4.2535527643506647E-2</v>
      </c>
      <c r="R363">
        <f t="shared" si="87"/>
        <v>0.34132424347848422</v>
      </c>
      <c r="S363" s="9">
        <f t="shared" si="96"/>
        <v>0.35796298305426977</v>
      </c>
      <c r="T363">
        <v>0.61990000000000001</v>
      </c>
      <c r="U363">
        <v>0.60257333333333341</v>
      </c>
      <c r="V363">
        <v>0.10193043066664734</v>
      </c>
      <c r="W363" s="9">
        <v>0.52587803376239861</v>
      </c>
      <c r="X363">
        <f t="shared" si="88"/>
        <v>0.49032366745691952</v>
      </c>
      <c r="Y363">
        <f t="shared" si="97"/>
        <v>0.50031030941154475</v>
      </c>
      <c r="Z363">
        <f t="shared" si="91"/>
        <v>1.419929004732833E-2</v>
      </c>
      <c r="AA363">
        <f t="shared" si="98"/>
        <v>0.21998900073325359</v>
      </c>
      <c r="AB363">
        <f t="shared" si="102"/>
        <v>0.1463560156544918</v>
      </c>
      <c r="AC363">
        <f t="shared" si="99"/>
        <v>1.0707500280059175</v>
      </c>
      <c r="AD363">
        <f t="shared" si="89"/>
        <v>2.0122440431684602E-4</v>
      </c>
      <c r="AE363">
        <f t="shared" si="100"/>
        <v>0.80308956302583512</v>
      </c>
      <c r="AF363">
        <f t="shared" si="101"/>
        <v>5.9627570507236882E-4</v>
      </c>
    </row>
    <row r="364" spans="1:32" x14ac:dyDescent="0.25">
      <c r="A364" s="6">
        <v>44684.33388888889</v>
      </c>
      <c r="B364">
        <v>47786509.384414673</v>
      </c>
      <c r="C364">
        <v>47794057.14150238</v>
      </c>
      <c r="D364">
        <v>16901.29445091635</v>
      </c>
      <c r="E364">
        <v>143359.52815324068</v>
      </c>
      <c r="F364">
        <v>1.2101337287816585E+19</v>
      </c>
      <c r="G364">
        <v>4580</v>
      </c>
      <c r="H364">
        <v>3.5202616232719202E-4</v>
      </c>
      <c r="I364">
        <v>2840.6979566210375</v>
      </c>
      <c r="J364">
        <f t="shared" si="90"/>
        <v>1.4899255049661327E-2</v>
      </c>
      <c r="K364">
        <f t="shared" si="92"/>
        <v>-9.513957549553019E-2</v>
      </c>
      <c r="L364">
        <f t="shared" si="93"/>
        <v>0.65877238678259653</v>
      </c>
      <c r="M364">
        <f t="shared" si="94"/>
        <v>0.63030930080258829</v>
      </c>
      <c r="N364" s="2">
        <v>8.176901885278233E-2</v>
      </c>
      <c r="O364" s="9">
        <v>0.5859681354773808</v>
      </c>
      <c r="P364">
        <f t="shared" si="86"/>
        <v>0</v>
      </c>
      <c r="Q364">
        <f t="shared" si="95"/>
        <v>4.2535527643506647E-2</v>
      </c>
      <c r="R364">
        <f t="shared" si="87"/>
        <v>0.4278083778945026</v>
      </c>
      <c r="S364" s="9">
        <f t="shared" si="96"/>
        <v>0.35645350809742676</v>
      </c>
      <c r="T364">
        <v>0.67709999999999992</v>
      </c>
      <c r="U364">
        <v>0.60481666666666667</v>
      </c>
      <c r="V364">
        <v>0.10193043066664734</v>
      </c>
      <c r="W364" s="9">
        <v>0.51100326464660439</v>
      </c>
      <c r="X364">
        <f t="shared" si="88"/>
        <v>0.56110513744932033</v>
      </c>
      <c r="Y364">
        <f t="shared" si="97"/>
        <v>0.49754088887898956</v>
      </c>
      <c r="Z364">
        <f t="shared" si="91"/>
        <v>1.4899255049661327E-2</v>
      </c>
      <c r="AA364">
        <f t="shared" si="98"/>
        <v>0.20438978068125921</v>
      </c>
      <c r="AB364">
        <f t="shared" si="102"/>
        <v>0.14501941581670333</v>
      </c>
      <c r="AC364">
        <f t="shared" si="99"/>
        <v>1.0642811713801075</v>
      </c>
      <c r="AD364">
        <f t="shared" si="89"/>
        <v>2.2399961939773266E-4</v>
      </c>
      <c r="AE364">
        <f t="shared" si="100"/>
        <v>0.81759356458243737</v>
      </c>
      <c r="AF364">
        <f t="shared" si="101"/>
        <v>1.52104643997375E-3</v>
      </c>
    </row>
    <row r="365" spans="1:32" x14ac:dyDescent="0.25">
      <c r="A365" s="6">
        <v>44685.333495370367</v>
      </c>
      <c r="B365">
        <v>32433292.498291016</v>
      </c>
      <c r="C365">
        <v>32440431.649475098</v>
      </c>
      <c r="D365">
        <v>11518.501063004136</v>
      </c>
      <c r="E365">
        <v>97299.877494871616</v>
      </c>
      <c r="F365">
        <v>1.2419920699953211E+19</v>
      </c>
      <c r="G365">
        <v>4598</v>
      </c>
      <c r="H365">
        <v>3.4786208459543406E-4</v>
      </c>
      <c r="I365">
        <v>2874.702487806358</v>
      </c>
      <c r="J365">
        <f t="shared" si="90"/>
        <v>1.1899405039662555E-2</v>
      </c>
      <c r="K365">
        <f t="shared" si="92"/>
        <v>-8.671122727927881E-2</v>
      </c>
      <c r="L365">
        <f t="shared" si="93"/>
        <v>0.50405411454304083</v>
      </c>
      <c r="M365">
        <f t="shared" si="94"/>
        <v>0.64711110462068966</v>
      </c>
      <c r="N365" s="2">
        <v>5.4621453307960997E-2</v>
      </c>
      <c r="O365" s="9">
        <v>0.62529171547684859</v>
      </c>
      <c r="P365">
        <f t="shared" si="86"/>
        <v>0</v>
      </c>
      <c r="Q365">
        <f t="shared" si="95"/>
        <v>4.2535527643506647E-2</v>
      </c>
      <c r="R365">
        <f t="shared" si="87"/>
        <v>0</v>
      </c>
      <c r="S365" s="9">
        <f t="shared" si="96"/>
        <v>0.35645350809742676</v>
      </c>
      <c r="T365">
        <v>0.58260000000000001</v>
      </c>
      <c r="U365">
        <v>0.60401000000000005</v>
      </c>
      <c r="V365">
        <v>0.10193043066664734</v>
      </c>
      <c r="W365" s="9">
        <v>0.51236758115695435</v>
      </c>
      <c r="X365">
        <f t="shared" si="88"/>
        <v>0.21463937614557549</v>
      </c>
      <c r="Y365">
        <f t="shared" si="97"/>
        <v>0.49189525766380182</v>
      </c>
      <c r="Z365">
        <f t="shared" si="91"/>
        <v>1.1899405039662555E-2</v>
      </c>
      <c r="AA365">
        <f t="shared" si="98"/>
        <v>0.18949052563159791</v>
      </c>
      <c r="AB365">
        <f t="shared" si="102"/>
        <v>0.14246287697484869</v>
      </c>
      <c r="AC365">
        <f t="shared" si="99"/>
        <v>1.0518147180981017</v>
      </c>
      <c r="AD365">
        <f t="shared" si="89"/>
        <v>1.4963662116435531E-4</v>
      </c>
      <c r="AE365">
        <f t="shared" si="100"/>
        <v>0.81783886718043675</v>
      </c>
      <c r="AF365">
        <f t="shared" si="101"/>
        <v>1.5371676644797549E-3</v>
      </c>
    </row>
    <row r="366" spans="1:32" x14ac:dyDescent="0.25">
      <c r="A366" s="6">
        <v>44686.333402777775</v>
      </c>
      <c r="B366">
        <v>45047673.894691467</v>
      </c>
      <c r="C366">
        <v>45063498.643440247</v>
      </c>
      <c r="D366">
        <v>15613.931312926114</v>
      </c>
      <c r="E366">
        <v>135143.02168408036</v>
      </c>
      <c r="F366">
        <v>1.2359003003684248E+19</v>
      </c>
      <c r="G366">
        <v>4609</v>
      </c>
      <c r="H366">
        <v>3.4134955408193811E-4</v>
      </c>
      <c r="I366">
        <v>2929.5482828138056</v>
      </c>
      <c r="J366">
        <f t="shared" si="90"/>
        <v>1.8899055062993081E-2</v>
      </c>
      <c r="K366">
        <f t="shared" si="92"/>
        <v>-8.2269438254524471E-2</v>
      </c>
      <c r="L366">
        <f t="shared" si="93"/>
        <v>0.66050072768814405</v>
      </c>
      <c r="M366">
        <f t="shared" si="94"/>
        <v>0.66912779554362778</v>
      </c>
      <c r="N366" s="2">
        <v>7.511364059410415E-2</v>
      </c>
      <c r="O366" s="9">
        <v>0.65538717034791283</v>
      </c>
      <c r="P366">
        <f t="shared" si="86"/>
        <v>0</v>
      </c>
      <c r="Q366">
        <f t="shared" si="95"/>
        <v>4.2535527643506647E-2</v>
      </c>
      <c r="R366">
        <f t="shared" si="87"/>
        <v>0.36024572464819077</v>
      </c>
      <c r="S366" s="9">
        <f t="shared" si="96"/>
        <v>0.36846169891903313</v>
      </c>
      <c r="T366">
        <v>0.62929999999999997</v>
      </c>
      <c r="U366">
        <v>0.60368999999999995</v>
      </c>
      <c r="V366">
        <v>9.5488505065342857E-2</v>
      </c>
      <c r="W366" s="9">
        <v>0.50876640778693938</v>
      </c>
      <c r="X366">
        <f t="shared" si="88"/>
        <v>0.41545640171846326</v>
      </c>
      <c r="Y366">
        <f t="shared" si="97"/>
        <v>0.49346514304341521</v>
      </c>
      <c r="Z366">
        <f t="shared" si="91"/>
        <v>1.8899055062993081E-2</v>
      </c>
      <c r="AA366">
        <f t="shared" si="98"/>
        <v>0.1821908906072672</v>
      </c>
      <c r="AB366">
        <f t="shared" si="102"/>
        <v>0.13865973379550559</v>
      </c>
      <c r="AC366">
        <f t="shared" si="99"/>
        <v>1.0330374123244814</v>
      </c>
      <c r="AD366">
        <f t="shared" si="89"/>
        <v>2.0576962412686286E-4</v>
      </c>
      <c r="AE366">
        <f t="shared" si="100"/>
        <v>0.88550788218401211</v>
      </c>
      <c r="AF366">
        <f t="shared" si="101"/>
        <v>4.8120439013055183E-3</v>
      </c>
    </row>
    <row r="367" spans="1:32" x14ac:dyDescent="0.25">
      <c r="A367" s="6">
        <v>44687.333425925928</v>
      </c>
      <c r="B367">
        <v>77215182.927406311</v>
      </c>
      <c r="C367">
        <v>77163149.705039978</v>
      </c>
      <c r="D367">
        <v>27990.000624690205</v>
      </c>
      <c r="E367">
        <v>231645.54878219962</v>
      </c>
      <c r="F367">
        <v>9.8735818721449923E+18</v>
      </c>
      <c r="G367">
        <v>4848</v>
      </c>
      <c r="H367">
        <v>3.7390527234394623E-4</v>
      </c>
      <c r="I367">
        <v>2674.474188960151</v>
      </c>
      <c r="J367">
        <f t="shared" si="90"/>
        <v>-9.1095445303634059E-2</v>
      </c>
      <c r="K367">
        <f t="shared" si="92"/>
        <v>-9.8619938543778776E-2</v>
      </c>
      <c r="L367">
        <f t="shared" si="93"/>
        <v>1.02555457246187</v>
      </c>
      <c r="M367">
        <f t="shared" si="94"/>
        <v>0.68192913770581209</v>
      </c>
      <c r="N367" s="2">
        <v>0.16104121440484248</v>
      </c>
      <c r="O367" s="9">
        <v>0.61313746945789105</v>
      </c>
      <c r="P367">
        <f t="shared" si="86"/>
        <v>0.3709466611679052</v>
      </c>
      <c r="Q367">
        <f t="shared" si="95"/>
        <v>5.4900416349103483E-2</v>
      </c>
      <c r="R367">
        <f t="shared" si="87"/>
        <v>0.90398980780383076</v>
      </c>
      <c r="S367" s="9">
        <f t="shared" si="96"/>
        <v>0.37803582158997451</v>
      </c>
      <c r="T367">
        <v>0.58200000000000007</v>
      </c>
      <c r="U367">
        <v>0.59910000000000008</v>
      </c>
      <c r="V367">
        <v>7.6528914203351617E-2</v>
      </c>
      <c r="W367" s="9">
        <v>0.47538118776586019</v>
      </c>
      <c r="X367">
        <f t="shared" si="88"/>
        <v>0.97344796008000367</v>
      </c>
      <c r="Y367">
        <f t="shared" si="97"/>
        <v>0.50198189929861459</v>
      </c>
      <c r="Z367">
        <f t="shared" si="91"/>
        <v>-9.1095445303634059E-2</v>
      </c>
      <c r="AA367">
        <f t="shared" si="98"/>
        <v>0.21268936570892302</v>
      </c>
      <c r="AB367">
        <f t="shared" si="102"/>
        <v>0.13725647062416163</v>
      </c>
      <c r="AC367">
        <f t="shared" si="99"/>
        <v>1.0260373497055992</v>
      </c>
      <c r="AD367">
        <f t="shared" si="89"/>
        <v>4.4111150260295914E-4</v>
      </c>
      <c r="AE367">
        <f t="shared" si="100"/>
        <v>0.82300725696272137</v>
      </c>
      <c r="AF367">
        <f t="shared" si="101"/>
        <v>2.0637344015232983E-3</v>
      </c>
    </row>
    <row r="368" spans="1:32" x14ac:dyDescent="0.25">
      <c r="O368" s="9"/>
    </row>
    <row r="369" spans="15:15" x14ac:dyDescent="0.25">
      <c r="O369" s="9"/>
    </row>
    <row r="370" spans="15:15" x14ac:dyDescent="0.25">
      <c r="O370" s="9"/>
    </row>
    <row r="371" spans="15:15" x14ac:dyDescent="0.25">
      <c r="O371" s="9"/>
    </row>
    <row r="372" spans="15:15" x14ac:dyDescent="0.25">
      <c r="O372" s="9"/>
    </row>
    <row r="373" spans="15:15" x14ac:dyDescent="0.25">
      <c r="O373" s="9"/>
    </row>
    <row r="374" spans="15:15" x14ac:dyDescent="0.25">
      <c r="O374" s="9"/>
    </row>
    <row r="375" spans="15:15" x14ac:dyDescent="0.25">
      <c r="O375" s="9"/>
    </row>
    <row r="376" spans="15:15" x14ac:dyDescent="0.25">
      <c r="O376" s="9"/>
    </row>
    <row r="377" spans="15:15" x14ac:dyDescent="0.25">
      <c r="O377" s="9"/>
    </row>
    <row r="378" spans="15:15" x14ac:dyDescent="0.25">
      <c r="O378" s="9"/>
    </row>
    <row r="379" spans="15:15" x14ac:dyDescent="0.25">
      <c r="O379" s="9"/>
    </row>
    <row r="380" spans="15:15" x14ac:dyDescent="0.25">
      <c r="O380" s="9"/>
    </row>
    <row r="381" spans="15:15" x14ac:dyDescent="0.25">
      <c r="O381" s="9"/>
    </row>
    <row r="382" spans="15:15" x14ac:dyDescent="0.25">
      <c r="O382" s="9"/>
    </row>
    <row r="383" spans="15:15" x14ac:dyDescent="0.25">
      <c r="O383" s="9"/>
    </row>
    <row r="384" spans="15:15" x14ac:dyDescent="0.25">
      <c r="O384" s="9"/>
    </row>
    <row r="385" spans="15:15" x14ac:dyDescent="0.25">
      <c r="O385" s="9"/>
    </row>
    <row r="386" spans="15:15" x14ac:dyDescent="0.25">
      <c r="O386" s="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48"/>
  <sheetViews>
    <sheetView workbookViewId="0">
      <selection activeCell="T19" sqref="T19:U21"/>
    </sheetView>
  </sheetViews>
  <sheetFormatPr defaultRowHeight="15" x14ac:dyDescent="0.25"/>
  <cols>
    <col min="1" max="1" width="13.855468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50</v>
      </c>
      <c r="T1" t="s">
        <v>16</v>
      </c>
      <c r="U1" t="s">
        <v>17</v>
      </c>
      <c r="X1" t="s">
        <v>18</v>
      </c>
    </row>
    <row r="2" spans="1:24" x14ac:dyDescent="0.25">
      <c r="A2" s="1">
        <v>44585.333923611113</v>
      </c>
      <c r="B2">
        <v>1236787.8253513454</v>
      </c>
      <c r="C2">
        <v>1237143.4802939994</v>
      </c>
      <c r="D2">
        <v>525.75986728564931</v>
      </c>
      <c r="E2">
        <v>3710.3634760540353</v>
      </c>
      <c r="F2">
        <v>1.646879957347985E+17</v>
      </c>
      <c r="G2">
        <v>3</v>
      </c>
      <c r="H2">
        <v>4.5481588489818859E-4</v>
      </c>
      <c r="I2">
        <v>2198.6918953454142</v>
      </c>
      <c r="J2">
        <v>265</v>
      </c>
      <c r="K2">
        <f t="shared" ref="K2:K21" si="0">(1+$U$16)*H2</f>
        <v>45.481588489818861</v>
      </c>
      <c r="L2">
        <f t="shared" ref="L2:L21" si="1">H2/(1+$U$16)</f>
        <v>4.548158848981886E-9</v>
      </c>
      <c r="M2">
        <f>1/(SQRT(H2)-SQRT(L2))</f>
        <v>47.038961338929099</v>
      </c>
      <c r="N2">
        <f t="shared" ref="N2:N21" si="2">D2*0.003</f>
        <v>1.5772796018569479</v>
      </c>
      <c r="O2" s="2">
        <f>M2/(F2/POWER(10,$U$21))</f>
        <v>2.8562471192300623E-4</v>
      </c>
      <c r="P2" s="2">
        <f t="shared" ref="P2:P14" si="3">O2*N2*365</f>
        <v>0.16443616164438501</v>
      </c>
      <c r="Q2">
        <f>LN(1+P2)</f>
        <v>0.15223698843972447</v>
      </c>
      <c r="S2" s="3"/>
      <c r="T2" t="s">
        <v>19</v>
      </c>
      <c r="U2">
        <v>264</v>
      </c>
      <c r="X2">
        <v>0</v>
      </c>
    </row>
    <row r="3" spans="1:24" x14ac:dyDescent="0.25">
      <c r="A3" s="1">
        <v>44586.33357638889</v>
      </c>
      <c r="B3">
        <v>1298383.6993200183</v>
      </c>
      <c r="C3">
        <v>1296145.113779</v>
      </c>
      <c r="D3">
        <v>557.07715847045733</v>
      </c>
      <c r="E3">
        <v>3895.1510979600571</v>
      </c>
      <c r="F3">
        <v>1.646879957347985E+17</v>
      </c>
      <c r="G3">
        <v>3</v>
      </c>
      <c r="H3">
        <v>4.0972979593514018E-4</v>
      </c>
      <c r="I3">
        <v>2440.6328510175008</v>
      </c>
      <c r="J3">
        <v>266</v>
      </c>
      <c r="K3">
        <f t="shared" si="0"/>
        <v>40.972979593514019</v>
      </c>
      <c r="L3">
        <f t="shared" si="1"/>
        <v>4.0972979593514018E-9</v>
      </c>
      <c r="M3">
        <f>1/(SQRT(H3)-SQRT(L3))</f>
        <v>49.559482416882005</v>
      </c>
      <c r="N3">
        <f t="shared" si="2"/>
        <v>1.671231475411372</v>
      </c>
      <c r="O3" s="2">
        <f t="shared" ref="O3:O21" si="4">M3/(F3/POWER(10,$U$21))</f>
        <v>3.0092953767370495E-4</v>
      </c>
      <c r="P3" s="2">
        <f t="shared" si="3"/>
        <v>0.1835668640630701</v>
      </c>
      <c r="Q3">
        <f t="shared" ref="Q3:Q21" si="5">LN(1+P3)</f>
        <v>0.16853264526073605</v>
      </c>
      <c r="S3" s="3"/>
      <c r="T3" t="s">
        <v>20</v>
      </c>
      <c r="U3">
        <v>300</v>
      </c>
      <c r="X3">
        <v>2</v>
      </c>
    </row>
    <row r="4" spans="1:24" x14ac:dyDescent="0.25">
      <c r="A4" s="1">
        <v>44587.333379629628</v>
      </c>
      <c r="B4">
        <v>931982.94436022732</v>
      </c>
      <c r="C4">
        <v>936078.5934620006</v>
      </c>
      <c r="D4">
        <v>381.87527641292854</v>
      </c>
      <c r="E4">
        <v>2795.948833080678</v>
      </c>
      <c r="F4">
        <v>1.646879957347985E+17</v>
      </c>
      <c r="G4">
        <v>3</v>
      </c>
      <c r="H4">
        <v>3.9750178435760542E-4</v>
      </c>
      <c r="I4">
        <v>2515.7119775350939</v>
      </c>
      <c r="J4">
        <v>267</v>
      </c>
      <c r="K4">
        <f t="shared" si="0"/>
        <v>39.750178435760546</v>
      </c>
      <c r="L4">
        <f t="shared" si="1"/>
        <v>3.9750178435760541E-9</v>
      </c>
      <c r="M4">
        <f t="shared" ref="M4:M15" si="6">1/(SQRT(H4)-SQRT(L4))</f>
        <v>50.315986802846403</v>
      </c>
      <c r="N4">
        <f t="shared" si="2"/>
        <v>1.1456258292387858</v>
      </c>
      <c r="O4" s="2">
        <f t="shared" si="4"/>
        <v>3.0552309886551531E-4</v>
      </c>
      <c r="P4" s="2">
        <f t="shared" si="3"/>
        <v>0.12775553102363446</v>
      </c>
      <c r="Q4">
        <f t="shared" si="5"/>
        <v>0.1202294017710733</v>
      </c>
      <c r="T4" t="s">
        <v>21</v>
      </c>
      <c r="U4">
        <v>2</v>
      </c>
      <c r="X4">
        <v>0</v>
      </c>
    </row>
    <row r="5" spans="1:24" x14ac:dyDescent="0.25">
      <c r="A5" s="1">
        <v>44588.333333333336</v>
      </c>
      <c r="B5">
        <v>1345338.5186996479</v>
      </c>
      <c r="C5">
        <v>1344423.175255999</v>
      </c>
      <c r="D5">
        <v>534.37838911307836</v>
      </c>
      <c r="E5">
        <v>4036.0155560989479</v>
      </c>
      <c r="F5">
        <v>1.646879957347985E+17</v>
      </c>
      <c r="G5">
        <v>3</v>
      </c>
      <c r="H5">
        <v>4.0968882705243496E-4</v>
      </c>
      <c r="I5">
        <v>2440.8769143026025</v>
      </c>
      <c r="J5">
        <v>268</v>
      </c>
      <c r="K5">
        <f t="shared" si="0"/>
        <v>40.968882705243495</v>
      </c>
      <c r="L5">
        <f t="shared" si="1"/>
        <v>4.0968882705243496E-9</v>
      </c>
      <c r="M5">
        <f t="shared" si="6"/>
        <v>49.561960329056589</v>
      </c>
      <c r="N5">
        <f t="shared" si="2"/>
        <v>1.6031351673392351</v>
      </c>
      <c r="O5" s="2">
        <f t="shared" si="4"/>
        <v>3.0094458377444549E-4</v>
      </c>
      <c r="P5" s="2">
        <f t="shared" si="3"/>
        <v>0.17609601866921498</v>
      </c>
      <c r="Q5">
        <f t="shared" si="5"/>
        <v>0.16220049467161946</v>
      </c>
      <c r="T5" t="s">
        <v>22</v>
      </c>
      <c r="U5" t="s">
        <v>23</v>
      </c>
    </row>
    <row r="6" spans="1:24" x14ac:dyDescent="0.25">
      <c r="A6" s="1">
        <v>44589.333344907405</v>
      </c>
      <c r="B6">
        <v>1294620.9577400591</v>
      </c>
      <c r="C6">
        <v>1315370.4758950006</v>
      </c>
      <c r="D6">
        <v>535.79597351500342</v>
      </c>
      <c r="E6">
        <v>3883.862873220176</v>
      </c>
      <c r="F6">
        <v>1.646879957347985E+17</v>
      </c>
      <c r="G6">
        <v>3</v>
      </c>
      <c r="H6">
        <v>4.1563072808878897E-4</v>
      </c>
      <c r="I6">
        <v>2405.9818786698929</v>
      </c>
      <c r="J6">
        <v>269</v>
      </c>
      <c r="K6">
        <f t="shared" si="0"/>
        <v>41.5630728088789</v>
      </c>
      <c r="L6">
        <f t="shared" si="1"/>
        <v>4.1563072808878899E-9</v>
      </c>
      <c r="M6">
        <f t="shared" si="6"/>
        <v>49.206413496215227</v>
      </c>
      <c r="N6">
        <f t="shared" si="2"/>
        <v>1.6073879205450103</v>
      </c>
      <c r="O6" s="2">
        <f t="shared" si="4"/>
        <v>2.9878567212302247E-4</v>
      </c>
      <c r="P6" s="2">
        <f t="shared" si="3"/>
        <v>0.17529653527390093</v>
      </c>
      <c r="Q6">
        <f t="shared" si="5"/>
        <v>0.16152048620193127</v>
      </c>
      <c r="T6" t="s">
        <v>24</v>
      </c>
      <c r="U6" t="s">
        <v>25</v>
      </c>
      <c r="W6">
        <v>367</v>
      </c>
    </row>
    <row r="7" spans="1:24" x14ac:dyDescent="0.25">
      <c r="A7" s="1">
        <v>44590.333356481482</v>
      </c>
      <c r="B7">
        <v>516130.52846415713</v>
      </c>
      <c r="C7">
        <v>520242.72192200087</v>
      </c>
      <c r="D7">
        <v>209.27455436373702</v>
      </c>
      <c r="E7">
        <v>1548.39158539247</v>
      </c>
      <c r="F7">
        <v>1.646879957347985E+17</v>
      </c>
      <c r="G7">
        <v>3</v>
      </c>
      <c r="H7">
        <v>3.8990393488339692E-4</v>
      </c>
      <c r="I7">
        <v>2564.7343115402409</v>
      </c>
      <c r="J7">
        <v>270</v>
      </c>
      <c r="K7">
        <f t="shared" si="0"/>
        <v>38.990393488339691</v>
      </c>
      <c r="L7">
        <f t="shared" si="1"/>
        <v>3.899039348833969E-9</v>
      </c>
      <c r="M7">
        <f t="shared" si="6"/>
        <v>50.803861893641717</v>
      </c>
      <c r="N7">
        <f t="shared" si="2"/>
        <v>0.62782366309121107</v>
      </c>
      <c r="O7" s="2">
        <f t="shared" si="4"/>
        <v>3.0848551934199589E-4</v>
      </c>
      <c r="P7" s="2">
        <f t="shared" si="3"/>
        <v>7.0691195698818571E-2</v>
      </c>
      <c r="Q7">
        <f t="shared" si="5"/>
        <v>6.8304417208910617E-2</v>
      </c>
      <c r="T7" t="s">
        <v>26</v>
      </c>
      <c r="U7" t="s">
        <v>27</v>
      </c>
      <c r="V7" t="s">
        <v>28</v>
      </c>
      <c r="W7" s="4" t="e">
        <f>AVERAGE(P3:P1126)</f>
        <v>#DIV/0!</v>
      </c>
    </row>
    <row r="8" spans="1:24" x14ac:dyDescent="0.25">
      <c r="A8" s="1">
        <v>44591.333379629628</v>
      </c>
      <c r="B8">
        <v>337604.61027519964</v>
      </c>
      <c r="C8">
        <v>337679.37381599844</v>
      </c>
      <c r="D8">
        <v>130.43173150628627</v>
      </c>
      <c r="E8">
        <v>1012.8138308255984</v>
      </c>
      <c r="F8">
        <v>1.646879957347985E+17</v>
      </c>
      <c r="G8">
        <v>3</v>
      </c>
      <c r="H8">
        <v>3.8268083887284525E-4</v>
      </c>
      <c r="I8">
        <v>2613.1436393455633</v>
      </c>
      <c r="J8">
        <v>271</v>
      </c>
      <c r="K8">
        <f t="shared" si="0"/>
        <v>38.268083887284526</v>
      </c>
      <c r="L8">
        <f t="shared" si="1"/>
        <v>3.8268083887284526E-9</v>
      </c>
      <c r="M8">
        <f>1/(SQRT(H8)-SQRT(L8))</f>
        <v>51.281081667733467</v>
      </c>
      <c r="N8">
        <f t="shared" si="2"/>
        <v>0.3912951945188588</v>
      </c>
      <c r="O8" s="2">
        <f t="shared" si="4"/>
        <v>3.1138323979795573E-4</v>
      </c>
      <c r="P8" s="2">
        <f t="shared" si="3"/>
        <v>4.447260936612854E-2</v>
      </c>
      <c r="Q8">
        <f t="shared" si="5"/>
        <v>4.3512077990529974E-2</v>
      </c>
      <c r="T8" t="s">
        <v>29</v>
      </c>
      <c r="U8" t="s">
        <v>30</v>
      </c>
      <c r="V8" t="s">
        <v>31</v>
      </c>
      <c r="W8" s="5" t="e">
        <f>_xlfn.STDEV.S(P3:P1126)</f>
        <v>#DIV/0!</v>
      </c>
    </row>
    <row r="9" spans="1:24" x14ac:dyDescent="0.25">
      <c r="A9" s="1">
        <v>44592.333611111113</v>
      </c>
      <c r="B9">
        <v>480523.42749903537</v>
      </c>
      <c r="C9">
        <v>480878.27818700112</v>
      </c>
      <c r="D9">
        <v>188.11147198770959</v>
      </c>
      <c r="E9">
        <v>1441.5702824971086</v>
      </c>
      <c r="F9">
        <v>1.646879957347985E+17</v>
      </c>
      <c r="G9">
        <v>3</v>
      </c>
      <c r="H9">
        <v>3.9413750584011103E-4</v>
      </c>
      <c r="I9">
        <v>2537.1855892488143</v>
      </c>
      <c r="J9">
        <v>272</v>
      </c>
      <c r="K9">
        <f t="shared" si="0"/>
        <v>39.413750584011105</v>
      </c>
      <c r="L9">
        <f t="shared" si="1"/>
        <v>3.9413750584011101E-9</v>
      </c>
      <c r="M9">
        <f t="shared" si="6"/>
        <v>50.530274070486641</v>
      </c>
      <c r="N9">
        <f t="shared" si="2"/>
        <v>0.56433441596312883</v>
      </c>
      <c r="O9" s="2">
        <f t="shared" si="4"/>
        <v>3.068242700084644E-4</v>
      </c>
      <c r="P9" s="2">
        <f t="shared" si="3"/>
        <v>6.3200295754767141E-2</v>
      </c>
      <c r="Q9">
        <f t="shared" si="5"/>
        <v>6.1283506591019957E-2</v>
      </c>
      <c r="T9" t="s">
        <v>32</v>
      </c>
      <c r="U9" t="s">
        <v>33</v>
      </c>
      <c r="W9" t="e">
        <f>W7/365</f>
        <v>#DIV/0!</v>
      </c>
    </row>
    <row r="10" spans="1:24" x14ac:dyDescent="0.25">
      <c r="A10" s="1">
        <v>44593.333356481482</v>
      </c>
      <c r="B10">
        <v>602251.4889326077</v>
      </c>
      <c r="C10">
        <v>601446.3946739994</v>
      </c>
      <c r="D10">
        <v>223.05165314828355</v>
      </c>
      <c r="E10">
        <v>1806.7544667978218</v>
      </c>
      <c r="F10">
        <v>1.646879957347985E+17</v>
      </c>
      <c r="G10">
        <v>3</v>
      </c>
      <c r="H10">
        <v>3.6097338964202129E-4</v>
      </c>
      <c r="I10">
        <v>2770.2873084126891</v>
      </c>
      <c r="J10">
        <v>273</v>
      </c>
      <c r="K10">
        <f t="shared" si="0"/>
        <v>36.09733896420213</v>
      </c>
      <c r="L10">
        <f t="shared" si="1"/>
        <v>3.6097338964202131E-9</v>
      </c>
      <c r="M10">
        <f t="shared" si="6"/>
        <v>52.800488673632081</v>
      </c>
      <c r="N10">
        <f t="shared" si="2"/>
        <v>0.66915495944485071</v>
      </c>
      <c r="O10" s="2">
        <f t="shared" si="4"/>
        <v>3.2060921282118295E-4</v>
      </c>
      <c r="P10" s="2">
        <f t="shared" si="3"/>
        <v>7.8306094353096531E-2</v>
      </c>
      <c r="Q10">
        <f t="shared" si="5"/>
        <v>7.5391378705828793E-2</v>
      </c>
      <c r="T10" t="s">
        <v>34</v>
      </c>
      <c r="U10" t="s">
        <v>35</v>
      </c>
      <c r="W10" t="e">
        <f>W9/3</f>
        <v>#DIV/0!</v>
      </c>
      <c r="X10" t="s">
        <v>36</v>
      </c>
    </row>
    <row r="11" spans="1:24" x14ac:dyDescent="0.25">
      <c r="A11" s="1">
        <v>44594.333553240744</v>
      </c>
      <c r="B11">
        <v>191089.00874544866</v>
      </c>
      <c r="C11">
        <v>190684.67100300081</v>
      </c>
      <c r="D11">
        <v>68.746068155565808</v>
      </c>
      <c r="E11">
        <v>573.26702623634628</v>
      </c>
      <c r="F11">
        <v>1.646879957347985E+17</v>
      </c>
      <c r="G11">
        <v>3</v>
      </c>
      <c r="H11">
        <v>3.5992813542502631E-4</v>
      </c>
      <c r="I11">
        <v>2778.3323991027701</v>
      </c>
      <c r="J11">
        <v>274</v>
      </c>
      <c r="K11">
        <f t="shared" si="0"/>
        <v>35.992813542502631</v>
      </c>
      <c r="L11">
        <f t="shared" si="1"/>
        <v>3.5992813542502633E-9</v>
      </c>
      <c r="M11">
        <f>1/(SQRT(H11)-SQRT(L11))</f>
        <v>52.877101082226027</v>
      </c>
      <c r="N11">
        <f t="shared" si="2"/>
        <v>0.20623820446669744</v>
      </c>
      <c r="O11" s="2">
        <f t="shared" si="4"/>
        <v>3.2107441010682678E-4</v>
      </c>
      <c r="P11" s="2">
        <f t="shared" si="3"/>
        <v>2.4169500591832142E-2</v>
      </c>
      <c r="Q11">
        <f t="shared" si="5"/>
        <v>2.3882040840792245E-2</v>
      </c>
      <c r="T11" t="s">
        <v>37</v>
      </c>
      <c r="U11" t="s">
        <v>38</v>
      </c>
      <c r="W11">
        <f>0.002*365</f>
        <v>0.73</v>
      </c>
    </row>
    <row r="12" spans="1:24" x14ac:dyDescent="0.25">
      <c r="A12" s="1">
        <v>44595.333460648151</v>
      </c>
      <c r="B12">
        <v>566203.14403608255</v>
      </c>
      <c r="C12">
        <v>567371.57925899886</v>
      </c>
      <c r="D12">
        <v>212.36978881251071</v>
      </c>
      <c r="E12">
        <v>1698.6094321082492</v>
      </c>
      <c r="F12">
        <v>1.646879957347985E+17</v>
      </c>
      <c r="G12">
        <v>3</v>
      </c>
      <c r="H12">
        <v>3.8386893066060678E-4</v>
      </c>
      <c r="I12">
        <v>2605.0558410108429</v>
      </c>
      <c r="J12">
        <v>275</v>
      </c>
      <c r="K12">
        <f t="shared" si="0"/>
        <v>38.386893066060679</v>
      </c>
      <c r="L12">
        <f t="shared" si="1"/>
        <v>3.8386893066060677E-9</v>
      </c>
      <c r="M12">
        <f t="shared" si="6"/>
        <v>51.20166152859688</v>
      </c>
      <c r="N12">
        <f t="shared" si="2"/>
        <v>0.63710936643753213</v>
      </c>
      <c r="O12" s="2">
        <f t="shared" si="4"/>
        <v>3.109009937254218E-4</v>
      </c>
      <c r="P12" s="2">
        <f t="shared" si="3"/>
        <v>7.2298446325078952E-2</v>
      </c>
      <c r="Q12">
        <f t="shared" si="5"/>
        <v>6.98044253247736E-2</v>
      </c>
      <c r="T12" t="s">
        <v>39</v>
      </c>
      <c r="U12" t="s">
        <v>40</v>
      </c>
    </row>
    <row r="13" spans="1:24" x14ac:dyDescent="0.25">
      <c r="A13" s="1">
        <v>44596.333402777775</v>
      </c>
      <c r="B13">
        <v>500375.04900320619</v>
      </c>
      <c r="C13">
        <v>499024.53709200025</v>
      </c>
      <c r="D13">
        <v>184.88353449351416</v>
      </c>
      <c r="E13">
        <v>1501.1251470096176</v>
      </c>
      <c r="F13">
        <v>1.646879957347985E+17</v>
      </c>
      <c r="G13">
        <v>3</v>
      </c>
      <c r="H13">
        <v>3.5220221061449229E-4</v>
      </c>
      <c r="I13">
        <v>2839.2780336480159</v>
      </c>
      <c r="J13">
        <v>276</v>
      </c>
      <c r="K13">
        <f t="shared" si="0"/>
        <v>35.22022106144923</v>
      </c>
      <c r="L13">
        <f t="shared" si="1"/>
        <v>3.522022106144923E-9</v>
      </c>
      <c r="M13">
        <f t="shared" si="6"/>
        <v>53.45391233156947</v>
      </c>
      <c r="N13">
        <f t="shared" si="2"/>
        <v>0.55465060348054251</v>
      </c>
      <c r="O13" s="2">
        <f t="shared" si="4"/>
        <v>3.2457685876296501E-4</v>
      </c>
      <c r="P13" s="2">
        <f t="shared" si="3"/>
        <v>6.5709763964874532E-2</v>
      </c>
      <c r="Q13">
        <f t="shared" si="5"/>
        <v>6.3641022222952981E-2</v>
      </c>
      <c r="T13" t="s">
        <v>41</v>
      </c>
      <c r="U13" t="s">
        <v>42</v>
      </c>
    </row>
    <row r="14" spans="1:24" x14ac:dyDescent="0.25">
      <c r="A14" s="1">
        <v>44597.333344907405</v>
      </c>
      <c r="B14">
        <v>524212.60876077041</v>
      </c>
      <c r="C14">
        <v>522773.55185100064</v>
      </c>
      <c r="D14">
        <v>179.56146800270471</v>
      </c>
      <c r="E14">
        <v>1572.6378262823127</v>
      </c>
      <c r="F14">
        <v>1.646879957347985E+17</v>
      </c>
      <c r="G14">
        <v>3</v>
      </c>
      <c r="H14">
        <v>3.3112917545730905E-4</v>
      </c>
      <c r="I14">
        <v>3019.9694684678288</v>
      </c>
      <c r="J14">
        <v>277</v>
      </c>
      <c r="K14">
        <f t="shared" si="0"/>
        <v>33.112917545730902</v>
      </c>
      <c r="L14">
        <f t="shared" si="1"/>
        <v>3.3112917545730905E-9</v>
      </c>
      <c r="M14">
        <f t="shared" si="6"/>
        <v>55.128580745707133</v>
      </c>
      <c r="N14">
        <f t="shared" si="2"/>
        <v>0.53868440400811413</v>
      </c>
      <c r="O14" s="2">
        <f t="shared" si="4"/>
        <v>3.3474559271752974E-4</v>
      </c>
      <c r="P14" s="2">
        <f t="shared" si="3"/>
        <v>6.5817613989195681E-2</v>
      </c>
      <c r="Q14">
        <f t="shared" si="5"/>
        <v>6.3742217286669955E-2</v>
      </c>
      <c r="T14" t="s">
        <v>43</v>
      </c>
      <c r="U14" t="s">
        <v>44</v>
      </c>
    </row>
    <row r="15" spans="1:24" x14ac:dyDescent="0.25">
      <c r="A15" s="1">
        <v>44598.333425925928</v>
      </c>
      <c r="B15">
        <v>375394.88844878972</v>
      </c>
      <c r="C15">
        <v>376376.8261849992</v>
      </c>
      <c r="D15">
        <v>124.68692726310746</v>
      </c>
      <c r="E15">
        <v>1126.1846653463654</v>
      </c>
      <c r="F15">
        <v>1.646879957347985E+17</v>
      </c>
      <c r="G15">
        <v>3</v>
      </c>
      <c r="H15">
        <v>3.3195799254549482E-4</v>
      </c>
      <c r="I15">
        <v>3012.4293508702012</v>
      </c>
      <c r="J15">
        <v>278</v>
      </c>
      <c r="K15">
        <f t="shared" si="0"/>
        <v>33.195799254549485</v>
      </c>
      <c r="L15">
        <f t="shared" si="1"/>
        <v>3.3195799254549483E-9</v>
      </c>
      <c r="M15">
        <f t="shared" si="6"/>
        <v>55.059716512041589</v>
      </c>
      <c r="N15">
        <f t="shared" si="2"/>
        <v>0.37406078178932239</v>
      </c>
      <c r="O15" s="2">
        <f t="shared" si="4"/>
        <v>3.3432744303176615E-4</v>
      </c>
      <c r="P15" s="2">
        <f>O15*N15*365</f>
        <v>4.5646456420641975E-2</v>
      </c>
      <c r="Q15">
        <f t="shared" si="5"/>
        <v>4.4635312735520551E-2</v>
      </c>
    </row>
    <row r="16" spans="1:24" x14ac:dyDescent="0.25">
      <c r="A16" s="1">
        <v>44599.333402777775</v>
      </c>
      <c r="B16">
        <v>462797.00548176654</v>
      </c>
      <c r="C16">
        <v>463753.12812700123</v>
      </c>
      <c r="D16">
        <v>153.15454100907664</v>
      </c>
      <c r="E16">
        <v>1388.3910164452973</v>
      </c>
      <c r="F16">
        <v>1.646879957347985E+17</v>
      </c>
      <c r="G16">
        <v>2</v>
      </c>
      <c r="H16">
        <v>3.2626479209895527E-4</v>
      </c>
      <c r="I16">
        <v>3064.9951334519192</v>
      </c>
      <c r="J16">
        <v>279</v>
      </c>
      <c r="K16">
        <f t="shared" si="0"/>
        <v>32.626479209895528</v>
      </c>
      <c r="L16">
        <f t="shared" si="1"/>
        <v>3.2626479209895528E-9</v>
      </c>
      <c r="M16">
        <f>1/(SQRT(H16)-SQRT(L16))</f>
        <v>55.53802484619851</v>
      </c>
      <c r="N16">
        <f t="shared" si="2"/>
        <v>0.45946362302722993</v>
      </c>
      <c r="O16" s="2">
        <f t="shared" si="4"/>
        <v>3.372317733202175E-4</v>
      </c>
      <c r="P16" s="2">
        <f>O16*N16*365</f>
        <v>5.6555192314905703E-2</v>
      </c>
      <c r="Q16">
        <f t="shared" si="5"/>
        <v>5.5013797424010219E-2</v>
      </c>
      <c r="T16" t="s">
        <v>45</v>
      </c>
      <c r="U16">
        <v>99999</v>
      </c>
    </row>
    <row r="17" spans="1:21" x14ac:dyDescent="0.25">
      <c r="A17" s="1">
        <v>44600.333564814813</v>
      </c>
      <c r="B17">
        <v>504634.37890068442</v>
      </c>
      <c r="C17">
        <v>505369.9531069994</v>
      </c>
      <c r="D17">
        <v>161.09849262869557</v>
      </c>
      <c r="E17">
        <v>1513.903136702058</v>
      </c>
      <c r="F17">
        <v>1.646879957347985E+17</v>
      </c>
      <c r="G17">
        <v>2</v>
      </c>
      <c r="H17">
        <v>3.2428073359877247E-4</v>
      </c>
      <c r="I17">
        <v>3083.7478036462212</v>
      </c>
      <c r="J17">
        <v>280</v>
      </c>
      <c r="K17">
        <f t="shared" si="0"/>
        <v>32.428073359877246</v>
      </c>
      <c r="L17">
        <f t="shared" si="1"/>
        <v>3.2428073359877249E-9</v>
      </c>
      <c r="M17">
        <f t="shared" ref="M17:M21" si="7">1/(SQRT(H17)-SQRT(L17))</f>
        <v>55.707665911191036</v>
      </c>
      <c r="N17">
        <f t="shared" si="2"/>
        <v>0.48329547788608673</v>
      </c>
      <c r="O17" s="2">
        <f t="shared" si="4"/>
        <v>3.3826184879254094E-4</v>
      </c>
      <c r="P17" s="2">
        <f t="shared" ref="P17:P21" si="8">O17*N17*365</f>
        <v>5.9670353979930139E-2</v>
      </c>
      <c r="Q17">
        <f t="shared" si="5"/>
        <v>5.7957872946162885E-2</v>
      </c>
      <c r="T17" t="s">
        <v>46</v>
      </c>
      <c r="U17">
        <v>2.3E-3</v>
      </c>
    </row>
    <row r="18" spans="1:21" x14ac:dyDescent="0.25">
      <c r="A18" s="1">
        <v>44601.333391203705</v>
      </c>
      <c r="B18">
        <v>680375.56156957522</v>
      </c>
      <c r="C18">
        <v>684759.33769799955</v>
      </c>
      <c r="D18">
        <v>218.61501488301201</v>
      </c>
      <c r="E18">
        <v>2041.1266847087245</v>
      </c>
      <c r="F18">
        <v>1.646879957347985E+17</v>
      </c>
      <c r="G18">
        <v>2</v>
      </c>
      <c r="H18">
        <v>3.1617974566595453E-4</v>
      </c>
      <c r="I18">
        <v>3162.7579366089594</v>
      </c>
      <c r="J18">
        <v>281</v>
      </c>
      <c r="K18">
        <f t="shared" si="0"/>
        <v>31.617974566595453</v>
      </c>
      <c r="L18">
        <f t="shared" si="1"/>
        <v>3.1617974566595455E-9</v>
      </c>
      <c r="M18">
        <f t="shared" si="7"/>
        <v>56.416808297972047</v>
      </c>
      <c r="N18">
        <f t="shared" si="2"/>
        <v>0.65584504464903604</v>
      </c>
      <c r="O18" s="2">
        <f t="shared" si="4"/>
        <v>3.4256782375821458E-4</v>
      </c>
      <c r="P18" s="2">
        <f t="shared" si="8"/>
        <v>8.2005064528830718E-2</v>
      </c>
      <c r="Q18">
        <f t="shared" si="5"/>
        <v>7.8815861123899822E-2</v>
      </c>
    </row>
    <row r="19" spans="1:21" x14ac:dyDescent="0.25">
      <c r="A19" s="1">
        <v>44602.333495370367</v>
      </c>
      <c r="B19">
        <v>387748.20573546737</v>
      </c>
      <c r="C19">
        <v>387299.61128699966</v>
      </c>
      <c r="D19">
        <v>120.73245246068473</v>
      </c>
      <c r="E19">
        <v>1163.244617206401</v>
      </c>
      <c r="F19">
        <v>1.646879957347985E+17</v>
      </c>
      <c r="G19">
        <v>2</v>
      </c>
      <c r="H19">
        <v>3.0714265599761294E-4</v>
      </c>
      <c r="I19">
        <v>3255.8160856946288</v>
      </c>
      <c r="J19">
        <v>282</v>
      </c>
      <c r="K19">
        <f t="shared" si="0"/>
        <v>30.714265599761294</v>
      </c>
      <c r="L19">
        <f t="shared" si="1"/>
        <v>3.0714265599761292E-9</v>
      </c>
      <c r="M19">
        <f t="shared" si="7"/>
        <v>57.240770108288238</v>
      </c>
      <c r="N19">
        <f t="shared" si="2"/>
        <v>0.36219735738205416</v>
      </c>
      <c r="O19" s="2">
        <f t="shared" si="4"/>
        <v>3.4757099236585882E-4</v>
      </c>
      <c r="P19" s="2">
        <f t="shared" si="8"/>
        <v>4.5949592652213843E-2</v>
      </c>
      <c r="Q19">
        <f t="shared" si="5"/>
        <v>4.4925173900470218E-2</v>
      </c>
      <c r="T19" t="s">
        <v>47</v>
      </c>
      <c r="U19">
        <v>6</v>
      </c>
    </row>
    <row r="20" spans="1:21" x14ac:dyDescent="0.25">
      <c r="A20" s="1">
        <v>44603.333460648151</v>
      </c>
      <c r="B20">
        <v>954027.98553299531</v>
      </c>
      <c r="C20">
        <v>956816.26236099936</v>
      </c>
      <c r="D20">
        <v>304.42398214233981</v>
      </c>
      <c r="E20">
        <v>2862.0839565989809</v>
      </c>
      <c r="F20">
        <v>1.646879957347985E+17</v>
      </c>
      <c r="G20">
        <v>2</v>
      </c>
      <c r="H20">
        <v>3.2176130837706292E-4</v>
      </c>
      <c r="I20">
        <v>3107.8938765009261</v>
      </c>
      <c r="J20">
        <v>283</v>
      </c>
      <c r="K20">
        <f t="shared" si="0"/>
        <v>32.176130837706289</v>
      </c>
      <c r="L20">
        <f t="shared" si="1"/>
        <v>3.2176130837706293E-9</v>
      </c>
      <c r="M20">
        <f t="shared" si="7"/>
        <v>55.925339111619948</v>
      </c>
      <c r="N20">
        <f t="shared" si="2"/>
        <v>0.91327194642701948</v>
      </c>
      <c r="O20" s="2">
        <f t="shared" si="4"/>
        <v>3.3958357961729054E-4</v>
      </c>
      <c r="P20" s="2">
        <f t="shared" si="8"/>
        <v>0.11319823720708426</v>
      </c>
      <c r="Q20">
        <f t="shared" si="5"/>
        <v>0.10723716713176952</v>
      </c>
      <c r="T20" t="s">
        <v>48</v>
      </c>
      <c r="U20">
        <v>18</v>
      </c>
    </row>
    <row r="21" spans="1:21" x14ac:dyDescent="0.25">
      <c r="A21" s="1">
        <v>44604.333483796298</v>
      </c>
      <c r="B21">
        <v>538264.11523037776</v>
      </c>
      <c r="C21">
        <v>539312.98236500099</v>
      </c>
      <c r="D21">
        <v>181.87882379432813</v>
      </c>
      <c r="E21">
        <v>1614.7923456911376</v>
      </c>
      <c r="F21">
        <v>1.646879957347985E+17</v>
      </c>
      <c r="G21">
        <v>2</v>
      </c>
      <c r="H21">
        <v>3.4234085491606758E-4</v>
      </c>
      <c r="I21">
        <v>2921.0653231708852</v>
      </c>
      <c r="J21">
        <v>284</v>
      </c>
      <c r="K21">
        <f t="shared" si="0"/>
        <v>34.234085491606756</v>
      </c>
      <c r="L21">
        <f t="shared" si="1"/>
        <v>3.4234085491606758E-9</v>
      </c>
      <c r="M21">
        <f t="shared" si="7"/>
        <v>54.218334217459791</v>
      </c>
      <c r="N21">
        <f t="shared" si="2"/>
        <v>0.54563647138298443</v>
      </c>
      <c r="O21" s="2">
        <f t="shared" si="4"/>
        <v>3.2921849571093838E-4</v>
      </c>
      <c r="P21" s="2">
        <f t="shared" si="8"/>
        <v>6.5566270684511679E-2</v>
      </c>
      <c r="Q21">
        <f t="shared" si="5"/>
        <v>6.3506367416868034E-2</v>
      </c>
      <c r="T21" t="s">
        <v>49</v>
      </c>
      <c r="U21">
        <f>AVERAGE(U19:U20)</f>
        <v>12</v>
      </c>
    </row>
    <row r="22" spans="1:21" x14ac:dyDescent="0.25">
      <c r="A22" s="1">
        <v>44605.333356481482</v>
      </c>
      <c r="B22">
        <v>428319.93624703214</v>
      </c>
      <c r="C22">
        <v>428377.14511600137</v>
      </c>
      <c r="D22">
        <v>146.7815688336068</v>
      </c>
      <c r="E22">
        <v>1284.9598087410996</v>
      </c>
      <c r="F22">
        <v>1.646879957347985E+17</v>
      </c>
      <c r="G22">
        <v>2</v>
      </c>
      <c r="H22">
        <v>3.4111070494328977E-4</v>
      </c>
      <c r="I22">
        <v>2931.5995819194582</v>
      </c>
      <c r="J22">
        <v>285</v>
      </c>
      <c r="K22">
        <f t="shared" ref="K22:K85" si="9">(1+$U$16)*H22</f>
        <v>34.111070494328978</v>
      </c>
      <c r="L22">
        <f t="shared" ref="L22:L85" si="10">H22/(1+$U$16)</f>
        <v>3.4111070494328975E-9</v>
      </c>
      <c r="M22">
        <f t="shared" ref="M22:M85" si="11">1/(SQRT(H22)-SQRT(L22))</f>
        <v>54.316010217361317</v>
      </c>
      <c r="N22">
        <f t="shared" ref="N22:N85" si="12">D22*0.003</f>
        <v>0.44034470650082042</v>
      </c>
      <c r="O22" s="2">
        <f t="shared" ref="O22:O85" si="13">M22/(F22/POWER(10,$U$21))</f>
        <v>3.2981159297625946E-4</v>
      </c>
      <c r="P22" s="2">
        <f t="shared" ref="P22:P85" si="14">O22*N22*365</f>
        <v>5.3009238025040144E-2</v>
      </c>
      <c r="Q22">
        <f t="shared" ref="Q22:Q85" si="15">LN(1+P22)</f>
        <v>5.1652006166575011E-2</v>
      </c>
    </row>
    <row r="23" spans="1:21" x14ac:dyDescent="0.25">
      <c r="A23" s="1">
        <v>44606.333472222221</v>
      </c>
      <c r="B23">
        <v>414440.09952915832</v>
      </c>
      <c r="C23">
        <v>414652.98139400035</v>
      </c>
      <c r="D23">
        <v>143.59434627727478</v>
      </c>
      <c r="E23">
        <v>1243.3202985874814</v>
      </c>
      <c r="F23">
        <v>1.646879957347985E+17</v>
      </c>
      <c r="G23">
        <v>2</v>
      </c>
      <c r="H23">
        <v>3.4278616515125924E-4</v>
      </c>
      <c r="I23">
        <v>2917.2705950916538</v>
      </c>
      <c r="J23">
        <v>286</v>
      </c>
      <c r="K23">
        <f t="shared" si="9"/>
        <v>34.278616515125925</v>
      </c>
      <c r="L23">
        <f t="shared" si="10"/>
        <v>3.4278616515125923E-9</v>
      </c>
      <c r="M23">
        <f t="shared" si="11"/>
        <v>54.183105512193855</v>
      </c>
      <c r="N23">
        <f t="shared" si="12"/>
        <v>0.43078303883182434</v>
      </c>
      <c r="O23" s="2">
        <f t="shared" si="13"/>
        <v>3.2900458391300338E-4</v>
      </c>
      <c r="P23" s="2">
        <f t="shared" si="14"/>
        <v>5.173130197338989E-2</v>
      </c>
      <c r="Q23">
        <f t="shared" si="15"/>
        <v>5.0437665316095739E-2</v>
      </c>
    </row>
    <row r="24" spans="1:21" x14ac:dyDescent="0.25">
      <c r="A24" s="1">
        <v>44607.333472222221</v>
      </c>
      <c r="B24">
        <v>486907.07600603253</v>
      </c>
      <c r="C24">
        <v>486267.53786699846</v>
      </c>
      <c r="D24">
        <v>163.84514911517817</v>
      </c>
      <c r="E24">
        <v>1460.7212280180829</v>
      </c>
      <c r="F24">
        <v>1.646879957347985E+17</v>
      </c>
      <c r="G24">
        <v>2</v>
      </c>
      <c r="H24">
        <v>3.2295397065058357E-4</v>
      </c>
      <c r="I24">
        <v>3096.4164892771632</v>
      </c>
      <c r="J24">
        <v>287</v>
      </c>
      <c r="K24">
        <f t="shared" si="9"/>
        <v>32.29539706505836</v>
      </c>
      <c r="L24">
        <f t="shared" si="10"/>
        <v>3.2295397065058358E-9</v>
      </c>
      <c r="M24">
        <f t="shared" si="11"/>
        <v>55.821978040699449</v>
      </c>
      <c r="N24">
        <f t="shared" si="12"/>
        <v>0.4915354473455345</v>
      </c>
      <c r="O24" s="2">
        <f t="shared" si="13"/>
        <v>3.3895596210054728E-4</v>
      </c>
      <c r="P24" s="2">
        <f t="shared" si="14"/>
        <v>6.0812237718457916E-2</v>
      </c>
      <c r="Q24">
        <f t="shared" si="15"/>
        <v>5.9034876693681765E-2</v>
      </c>
    </row>
    <row r="25" spans="1:21" x14ac:dyDescent="0.25">
      <c r="A25" s="1">
        <v>44608.333599537036</v>
      </c>
      <c r="B25">
        <v>330485.03426475078</v>
      </c>
      <c r="C25">
        <v>329832.02842300013</v>
      </c>
      <c r="D25">
        <v>105.17692479103607</v>
      </c>
      <c r="E25">
        <v>991.45510279426526</v>
      </c>
      <c r="F25">
        <v>1.646879957347985E+17</v>
      </c>
      <c r="G25">
        <v>2</v>
      </c>
      <c r="H25">
        <v>3.1900616298518886E-4</v>
      </c>
      <c r="I25">
        <v>3134.7356760829384</v>
      </c>
      <c r="J25">
        <v>288</v>
      </c>
      <c r="K25">
        <f t="shared" si="9"/>
        <v>31.900616298518887</v>
      </c>
      <c r="L25">
        <f t="shared" si="10"/>
        <v>3.1900616298518888E-9</v>
      </c>
      <c r="M25">
        <f t="shared" si="11"/>
        <v>56.166323766477376</v>
      </c>
      <c r="N25">
        <f t="shared" si="12"/>
        <v>0.31553077437310822</v>
      </c>
      <c r="O25" s="2">
        <f t="shared" si="13"/>
        <v>3.4104685964436363E-4</v>
      </c>
      <c r="P25" s="2">
        <f t="shared" si="14"/>
        <v>3.9277934598202523E-2</v>
      </c>
      <c r="Q25">
        <f t="shared" si="15"/>
        <v>3.8526178364248723E-2</v>
      </c>
    </row>
    <row r="26" spans="1:21" x14ac:dyDescent="0.25">
      <c r="A26" s="1">
        <v>44609.333368055559</v>
      </c>
      <c r="B26">
        <v>489104.12667866796</v>
      </c>
      <c r="C26">
        <v>489108.77915899828</v>
      </c>
      <c r="D26">
        <v>157.48857857618896</v>
      </c>
      <c r="E26">
        <v>1467.3123800359972</v>
      </c>
      <c r="F26">
        <v>1.646879957347985E+17</v>
      </c>
      <c r="G26">
        <v>2</v>
      </c>
      <c r="H26">
        <v>3.2538510924992435E-4</v>
      </c>
      <c r="I26">
        <v>3073.2813874156491</v>
      </c>
      <c r="J26">
        <v>289</v>
      </c>
      <c r="K26">
        <f t="shared" si="9"/>
        <v>32.538510924992437</v>
      </c>
      <c r="L26">
        <f t="shared" si="10"/>
        <v>3.2538510924992435E-9</v>
      </c>
      <c r="M26">
        <f t="shared" si="11"/>
        <v>55.613048057917126</v>
      </c>
      <c r="N26">
        <f t="shared" si="12"/>
        <v>0.47246573572856687</v>
      </c>
      <c r="O26" s="2">
        <f t="shared" si="13"/>
        <v>3.376873208626105E-4</v>
      </c>
      <c r="P26" s="2">
        <f t="shared" si="14"/>
        <v>5.823417630161009E-2</v>
      </c>
      <c r="Q26">
        <f t="shared" si="15"/>
        <v>5.6601647603687313E-2</v>
      </c>
    </row>
    <row r="27" spans="1:21" x14ac:dyDescent="0.25">
      <c r="A27" s="1">
        <v>44610.333553240744</v>
      </c>
      <c r="B27">
        <v>379632.23033555597</v>
      </c>
      <c r="C27">
        <v>380145.19562800229</v>
      </c>
      <c r="D27">
        <v>128.7766319661996</v>
      </c>
      <c r="E27">
        <v>1138.8966910066665</v>
      </c>
      <c r="F27">
        <v>1.646879957347985E+17</v>
      </c>
      <c r="G27">
        <v>2</v>
      </c>
      <c r="H27">
        <v>3.4574669015954423E-4</v>
      </c>
      <c r="I27">
        <v>2892.2908836482329</v>
      </c>
      <c r="J27">
        <v>290</v>
      </c>
      <c r="K27">
        <f t="shared" si="9"/>
        <v>34.57466901595442</v>
      </c>
      <c r="L27">
        <f t="shared" si="10"/>
        <v>3.4574669015954423E-9</v>
      </c>
      <c r="M27">
        <f t="shared" si="11"/>
        <v>53.95062996269467</v>
      </c>
      <c r="N27">
        <f t="shared" si="12"/>
        <v>0.38632989589859884</v>
      </c>
      <c r="O27" s="2">
        <f t="shared" si="13"/>
        <v>3.2759297192233014E-4</v>
      </c>
      <c r="P27" s="2">
        <f t="shared" si="14"/>
        <v>4.6194019940051241E-2</v>
      </c>
      <c r="Q27">
        <f t="shared" si="15"/>
        <v>4.5158835956438464E-2</v>
      </c>
    </row>
    <row r="28" spans="1:21" x14ac:dyDescent="0.25">
      <c r="A28" s="1">
        <v>44611.333460648151</v>
      </c>
      <c r="B28">
        <v>540182.85503286496</v>
      </c>
      <c r="C28">
        <v>541489.98642800003</v>
      </c>
      <c r="D28">
        <v>193.17060286098604</v>
      </c>
      <c r="E28">
        <v>1620.5485650985938</v>
      </c>
      <c r="F28">
        <v>1.646879957347985E+17</v>
      </c>
      <c r="G28">
        <v>2</v>
      </c>
      <c r="H28">
        <v>3.6797068798319896E-4</v>
      </c>
      <c r="I28">
        <v>2717.6077678384499</v>
      </c>
      <c r="J28">
        <v>291</v>
      </c>
      <c r="K28">
        <f t="shared" si="9"/>
        <v>36.797068798319899</v>
      </c>
      <c r="L28">
        <f t="shared" si="10"/>
        <v>3.6797068798319898E-9</v>
      </c>
      <c r="M28">
        <f t="shared" si="11"/>
        <v>52.296054362211201</v>
      </c>
      <c r="N28">
        <f t="shared" si="12"/>
        <v>0.57951180858295814</v>
      </c>
      <c r="O28" s="2">
        <f t="shared" si="13"/>
        <v>3.1754624330011854E-4</v>
      </c>
      <c r="P28" s="2">
        <f t="shared" si="14"/>
        <v>6.7167956183705149E-2</v>
      </c>
      <c r="Q28">
        <f t="shared" si="15"/>
        <v>6.5008369663686796E-2</v>
      </c>
    </row>
    <row r="29" spans="1:21" x14ac:dyDescent="0.25">
      <c r="A29" s="1">
        <v>44612.333495370367</v>
      </c>
      <c r="B29">
        <v>464996.91371292621</v>
      </c>
      <c r="C29">
        <v>464537.47272199765</v>
      </c>
      <c r="D29">
        <v>172.74379568300628</v>
      </c>
      <c r="E29">
        <v>1394.9907411387831</v>
      </c>
      <c r="F29">
        <v>1.646879957347985E+17</v>
      </c>
      <c r="G29">
        <v>2</v>
      </c>
      <c r="H29">
        <v>3.7940405784812523E-4</v>
      </c>
      <c r="I29">
        <v>2635.7124530288979</v>
      </c>
      <c r="J29">
        <v>292</v>
      </c>
      <c r="K29">
        <f t="shared" si="9"/>
        <v>37.940405784812526</v>
      </c>
      <c r="L29">
        <f t="shared" si="10"/>
        <v>3.7940405784812525E-9</v>
      </c>
      <c r="M29">
        <f t="shared" si="11"/>
        <v>51.502054020565339</v>
      </c>
      <c r="N29">
        <f t="shared" si="12"/>
        <v>0.51823138704901883</v>
      </c>
      <c r="O29" s="2">
        <f t="shared" si="13"/>
        <v>3.1272500336636852E-4</v>
      </c>
      <c r="P29" s="2">
        <f t="shared" si="14"/>
        <v>5.9153327974703719E-2</v>
      </c>
      <c r="Q29">
        <f t="shared" si="15"/>
        <v>5.7469841761792304E-2</v>
      </c>
    </row>
    <row r="30" spans="1:21" x14ac:dyDescent="0.25">
      <c r="A30" s="1">
        <v>44613.333379629628</v>
      </c>
      <c r="B30">
        <v>926612.8106402196</v>
      </c>
      <c r="C30">
        <v>924665.72268600017</v>
      </c>
      <c r="D30">
        <v>348.19031949392775</v>
      </c>
      <c r="E30">
        <v>2779.8384319206598</v>
      </c>
      <c r="F30">
        <v>1.646879957347985E+17</v>
      </c>
      <c r="G30">
        <v>2</v>
      </c>
      <c r="H30">
        <v>3.8264257461538369E-4</v>
      </c>
      <c r="I30">
        <v>2613.4049537094979</v>
      </c>
      <c r="J30">
        <v>293</v>
      </c>
      <c r="K30">
        <f t="shared" si="9"/>
        <v>38.264257461538371</v>
      </c>
      <c r="L30">
        <f t="shared" si="10"/>
        <v>3.8264257461538367E-9</v>
      </c>
      <c r="M30">
        <f t="shared" si="11"/>
        <v>51.283645657718715</v>
      </c>
      <c r="N30">
        <f t="shared" si="12"/>
        <v>1.0445709584817833</v>
      </c>
      <c r="O30" s="2">
        <f t="shared" si="13"/>
        <v>3.1139880857073608E-4</v>
      </c>
      <c r="P30" s="2">
        <f t="shared" si="14"/>
        <v>0.11872652545766899</v>
      </c>
      <c r="Q30">
        <f t="shared" si="15"/>
        <v>0.11219100755565158</v>
      </c>
    </row>
    <row r="31" spans="1:21" x14ac:dyDescent="0.25">
      <c r="A31" s="1">
        <v>44614.333391203705</v>
      </c>
      <c r="B31">
        <v>1032397.278098207</v>
      </c>
      <c r="C31">
        <v>1030856.4358920008</v>
      </c>
      <c r="D31">
        <v>394.19614689069567</v>
      </c>
      <c r="E31">
        <v>3097.1918342946155</v>
      </c>
      <c r="F31">
        <v>1.646879957347985E+17</v>
      </c>
      <c r="G31">
        <v>2</v>
      </c>
      <c r="H31">
        <v>3.8590873471073753E-4</v>
      </c>
      <c r="I31">
        <v>2591.286255154504</v>
      </c>
      <c r="J31">
        <v>294</v>
      </c>
      <c r="K31">
        <f t="shared" si="9"/>
        <v>38.590873471073749</v>
      </c>
      <c r="L31">
        <f t="shared" si="10"/>
        <v>3.8590873471073756E-9</v>
      </c>
      <c r="M31">
        <f t="shared" si="11"/>
        <v>51.066163514493184</v>
      </c>
      <c r="N31">
        <f t="shared" si="12"/>
        <v>1.182588440672087</v>
      </c>
      <c r="O31" s="2">
        <f t="shared" si="13"/>
        <v>3.1007823786213541E-4</v>
      </c>
      <c r="P31" s="2">
        <f t="shared" si="14"/>
        <v>0.13384365302690188</v>
      </c>
      <c r="Q31">
        <f t="shared" si="15"/>
        <v>0.12561332369001138</v>
      </c>
    </row>
    <row r="32" spans="1:21" x14ac:dyDescent="0.25">
      <c r="A32" s="1">
        <v>44615.333518518521</v>
      </c>
      <c r="B32">
        <v>494278.51232337952</v>
      </c>
      <c r="C32">
        <v>492098.8398450017</v>
      </c>
      <c r="D32">
        <v>186.92789849347719</v>
      </c>
      <c r="E32">
        <v>1482.8355369701458</v>
      </c>
      <c r="F32">
        <v>1.646879957347985E+17</v>
      </c>
      <c r="G32">
        <v>2</v>
      </c>
      <c r="H32">
        <v>3.6763967989012679E-4</v>
      </c>
      <c r="I32">
        <v>2720.0545933966137</v>
      </c>
      <c r="J32">
        <v>295</v>
      </c>
      <c r="K32">
        <f t="shared" si="9"/>
        <v>36.763967989012677</v>
      </c>
      <c r="L32">
        <f t="shared" si="10"/>
        <v>3.676396798901268E-9</v>
      </c>
      <c r="M32">
        <f t="shared" si="11"/>
        <v>52.319591705331682</v>
      </c>
      <c r="N32">
        <f t="shared" si="12"/>
        <v>0.56078369548043161</v>
      </c>
      <c r="O32" s="2">
        <f t="shared" si="13"/>
        <v>3.1768916411845419E-4</v>
      </c>
      <c r="P32" s="2">
        <f t="shared" si="14"/>
        <v>6.5026539765979163E-2</v>
      </c>
      <c r="Q32">
        <f t="shared" si="15"/>
        <v>6.2999718818946643E-2</v>
      </c>
    </row>
    <row r="33" spans="1:17" x14ac:dyDescent="0.25">
      <c r="A33" s="1">
        <v>44616.333333333336</v>
      </c>
      <c r="B33">
        <v>1372413.7509687357</v>
      </c>
      <c r="C33">
        <v>1367370.7005809993</v>
      </c>
      <c r="D33">
        <v>560.90517712963629</v>
      </c>
      <c r="E33">
        <v>4117.241252906213</v>
      </c>
      <c r="F33">
        <v>1.646879957347985E+17</v>
      </c>
      <c r="G33">
        <v>2</v>
      </c>
      <c r="H33">
        <v>4.2250292643118052E-4</v>
      </c>
      <c r="I33">
        <v>2366.8475114405751</v>
      </c>
      <c r="J33">
        <v>296</v>
      </c>
      <c r="K33">
        <f t="shared" si="9"/>
        <v>42.250292643118051</v>
      </c>
      <c r="L33">
        <f t="shared" si="10"/>
        <v>4.2250292643118053E-9</v>
      </c>
      <c r="M33">
        <f t="shared" si="11"/>
        <v>48.804590721159798</v>
      </c>
      <c r="N33">
        <f t="shared" si="12"/>
        <v>1.6827155313889088</v>
      </c>
      <c r="O33" s="2">
        <f t="shared" si="13"/>
        <v>2.9634576887893605E-4</v>
      </c>
      <c r="P33" s="2">
        <f t="shared" si="14"/>
        <v>0.18201295420320038</v>
      </c>
      <c r="Q33">
        <f t="shared" si="15"/>
        <v>0.16721887848662609</v>
      </c>
    </row>
    <row r="34" spans="1:17" x14ac:dyDescent="0.25">
      <c r="A34" s="1">
        <v>44617.333368055559</v>
      </c>
      <c r="B34">
        <v>1245174.8367324546</v>
      </c>
      <c r="C34">
        <v>1238533.1825099997</v>
      </c>
      <c r="D34">
        <v>485.47633129278984</v>
      </c>
      <c r="E34">
        <v>3735.524510197356</v>
      </c>
      <c r="F34">
        <v>1.646879957347985E+17</v>
      </c>
      <c r="G34">
        <v>2</v>
      </c>
      <c r="H34">
        <v>3.7300902043463998E-4</v>
      </c>
      <c r="I34">
        <v>2680.9003139783954</v>
      </c>
      <c r="J34">
        <v>297</v>
      </c>
      <c r="K34">
        <f t="shared" si="9"/>
        <v>37.300902043463999</v>
      </c>
      <c r="L34">
        <f t="shared" si="10"/>
        <v>3.7300902043463998E-9</v>
      </c>
      <c r="M34">
        <f t="shared" si="11"/>
        <v>51.941665200371482</v>
      </c>
      <c r="N34">
        <f t="shared" si="12"/>
        <v>1.4564289938783694</v>
      </c>
      <c r="O34" s="2">
        <f t="shared" si="13"/>
        <v>3.1539436112887391E-4</v>
      </c>
      <c r="P34" s="2">
        <f t="shared" si="14"/>
        <v>0.16766256459965048</v>
      </c>
      <c r="Q34">
        <f t="shared" si="15"/>
        <v>0.15500394249480945</v>
      </c>
    </row>
    <row r="35" spans="1:17" x14ac:dyDescent="0.25">
      <c r="A35" s="1">
        <v>44618.333449074074</v>
      </c>
      <c r="B35">
        <v>891946.91077967361</v>
      </c>
      <c r="C35">
        <v>888243.56161700189</v>
      </c>
      <c r="D35">
        <v>324.12654265925448</v>
      </c>
      <c r="E35">
        <v>2675.8407323390275</v>
      </c>
      <c r="F35">
        <v>1.646879957347985E+17</v>
      </c>
      <c r="G35">
        <v>2</v>
      </c>
      <c r="H35">
        <v>3.6387261323302128E-4</v>
      </c>
      <c r="I35">
        <v>2748.2145224257579</v>
      </c>
      <c r="J35">
        <v>298</v>
      </c>
      <c r="K35">
        <f t="shared" si="9"/>
        <v>36.387261323302127</v>
      </c>
      <c r="L35">
        <f t="shared" si="10"/>
        <v>3.6387261323302127E-9</v>
      </c>
      <c r="M35">
        <f t="shared" si="11"/>
        <v>52.589719077446127</v>
      </c>
      <c r="N35">
        <f t="shared" si="12"/>
        <v>0.97237962797776345</v>
      </c>
      <c r="O35" s="2">
        <f t="shared" si="13"/>
        <v>3.1932940128880289E-4</v>
      </c>
      <c r="P35" s="2">
        <f t="shared" si="14"/>
        <v>0.11333593261606235</v>
      </c>
      <c r="Q35">
        <f t="shared" si="15"/>
        <v>0.10736085300285991</v>
      </c>
    </row>
    <row r="36" spans="1:17" x14ac:dyDescent="0.25">
      <c r="A36" s="1">
        <v>44619.333449074074</v>
      </c>
      <c r="B36">
        <v>514354.74410433322</v>
      </c>
      <c r="C36">
        <v>512328.26025299728</v>
      </c>
      <c r="D36">
        <v>185.93019716121307</v>
      </c>
      <c r="E36">
        <v>1543.0642323129869</v>
      </c>
      <c r="F36">
        <v>1.646879957347985E+17</v>
      </c>
      <c r="G36">
        <v>2</v>
      </c>
      <c r="H36">
        <v>3.5684617896256684E-4</v>
      </c>
      <c r="I36">
        <v>2802.3278907097392</v>
      </c>
      <c r="J36">
        <v>299</v>
      </c>
      <c r="K36">
        <f t="shared" si="9"/>
        <v>35.684617896256682</v>
      </c>
      <c r="L36">
        <f t="shared" si="10"/>
        <v>3.5684617896256683E-9</v>
      </c>
      <c r="M36">
        <f t="shared" si="11"/>
        <v>53.104950750311716</v>
      </c>
      <c r="N36">
        <f t="shared" si="12"/>
        <v>0.55779059148363919</v>
      </c>
      <c r="O36" s="2">
        <f t="shared" si="13"/>
        <v>3.2245793333855402E-4</v>
      </c>
      <c r="P36" s="2">
        <f t="shared" si="14"/>
        <v>6.5650360498408944E-2</v>
      </c>
      <c r="Q36">
        <f t="shared" si="15"/>
        <v>6.3585279914744094E-2</v>
      </c>
    </row>
    <row r="37" spans="1:17" x14ac:dyDescent="0.25">
      <c r="A37" s="1">
        <v>44620.333402777775</v>
      </c>
      <c r="B37">
        <v>1025488.0645513423</v>
      </c>
      <c r="C37">
        <v>1023524.8564990014</v>
      </c>
      <c r="D37">
        <v>384.23316880737002</v>
      </c>
      <c r="E37">
        <v>3076.4641936540283</v>
      </c>
      <c r="F37">
        <v>1.646879957347985E+17</v>
      </c>
      <c r="G37">
        <v>2</v>
      </c>
      <c r="H37">
        <v>3.7864604589700414E-4</v>
      </c>
      <c r="I37">
        <v>2640.9888887946049</v>
      </c>
      <c r="J37">
        <v>300</v>
      </c>
      <c r="K37">
        <f t="shared" si="9"/>
        <v>37.864604589700413</v>
      </c>
      <c r="L37">
        <f t="shared" si="10"/>
        <v>3.7864604589700412E-9</v>
      </c>
      <c r="M37">
        <f t="shared" si="11"/>
        <v>51.553579256691535</v>
      </c>
      <c r="N37">
        <f t="shared" si="12"/>
        <v>1.1526995064221102</v>
      </c>
      <c r="O37" s="2">
        <f t="shared" si="13"/>
        <v>3.1303786913351993E-4</v>
      </c>
      <c r="P37" s="2">
        <f t="shared" si="14"/>
        <v>0.13170608799319769</v>
      </c>
      <c r="Q37">
        <f t="shared" si="15"/>
        <v>0.12372630648681864</v>
      </c>
    </row>
    <row r="38" spans="1:17" x14ac:dyDescent="0.25">
      <c r="A38" s="1">
        <v>44621.333854166667</v>
      </c>
      <c r="B38">
        <v>732261.83331864327</v>
      </c>
      <c r="C38">
        <v>728085.15870200098</v>
      </c>
      <c r="D38">
        <v>258.89523752401874</v>
      </c>
      <c r="E38">
        <v>2196.7854999559349</v>
      </c>
      <c r="F38">
        <v>1.646879957347985E+17</v>
      </c>
      <c r="G38">
        <v>2</v>
      </c>
      <c r="H38">
        <v>3.4199870227333127E-4</v>
      </c>
      <c r="I38">
        <v>2923.98770332404</v>
      </c>
      <c r="J38">
        <v>301</v>
      </c>
      <c r="K38">
        <f t="shared" si="9"/>
        <v>34.199870227333129</v>
      </c>
      <c r="L38">
        <f t="shared" si="10"/>
        <v>3.4199870227333127E-9</v>
      </c>
      <c r="M38">
        <f t="shared" si="11"/>
        <v>54.245448806944147</v>
      </c>
      <c r="N38">
        <f t="shared" si="12"/>
        <v>0.77668571257205621</v>
      </c>
      <c r="O38" s="2">
        <f t="shared" si="13"/>
        <v>3.293831378839357E-4</v>
      </c>
      <c r="P38" s="2">
        <f t="shared" si="14"/>
        <v>9.3376919662160635E-2</v>
      </c>
      <c r="Q38">
        <f t="shared" si="15"/>
        <v>8.9270998477992011E-2</v>
      </c>
    </row>
    <row r="39" spans="1:17" x14ac:dyDescent="0.25">
      <c r="A39" s="1">
        <v>44622.333483796298</v>
      </c>
      <c r="B39">
        <v>733135.92123001441</v>
      </c>
      <c r="C39">
        <v>730139.57820099965</v>
      </c>
      <c r="D39">
        <v>246.34145957765577</v>
      </c>
      <c r="E39">
        <v>2199.4077636900474</v>
      </c>
      <c r="F39">
        <v>1.646879957347985E+17</v>
      </c>
      <c r="G39">
        <v>2</v>
      </c>
      <c r="H39">
        <v>3.3690725760171666E-4</v>
      </c>
      <c r="I39">
        <v>2968.1758924355822</v>
      </c>
      <c r="J39">
        <v>302</v>
      </c>
      <c r="K39">
        <f t="shared" si="9"/>
        <v>33.690725760171667</v>
      </c>
      <c r="L39">
        <f t="shared" si="10"/>
        <v>3.3690725760171664E-9</v>
      </c>
      <c r="M39">
        <f t="shared" si="11"/>
        <v>54.653798653727151</v>
      </c>
      <c r="N39">
        <f t="shared" si="12"/>
        <v>0.73902437873296734</v>
      </c>
      <c r="O39" s="2">
        <f t="shared" si="13"/>
        <v>3.3186267408182946E-4</v>
      </c>
      <c r="P39" s="2">
        <f t="shared" si="14"/>
        <v>8.9517931386364616E-2</v>
      </c>
      <c r="Q39">
        <f t="shared" si="15"/>
        <v>8.5735333629986379E-2</v>
      </c>
    </row>
    <row r="40" spans="1:17" x14ac:dyDescent="0.25">
      <c r="A40" s="1">
        <v>44623.333495370367</v>
      </c>
      <c r="B40">
        <v>421040.39946023747</v>
      </c>
      <c r="C40">
        <v>419964.72470200062</v>
      </c>
      <c r="D40">
        <v>142.55412788989634</v>
      </c>
      <c r="E40">
        <v>1263.1211983807152</v>
      </c>
      <c r="F40">
        <v>1.646879957347985E+17</v>
      </c>
      <c r="G40">
        <v>2</v>
      </c>
      <c r="H40">
        <v>3.4436653455685665E-4</v>
      </c>
      <c r="I40">
        <v>2903.8826356540026</v>
      </c>
      <c r="J40">
        <v>303</v>
      </c>
      <c r="K40">
        <f t="shared" si="9"/>
        <v>34.436653455685665</v>
      </c>
      <c r="L40">
        <f t="shared" si="10"/>
        <v>3.4436653455685665E-9</v>
      </c>
      <c r="M40">
        <f t="shared" si="11"/>
        <v>54.058633790346839</v>
      </c>
      <c r="N40">
        <f t="shared" si="12"/>
        <v>0.42766238366968901</v>
      </c>
      <c r="O40" s="2">
        <f t="shared" si="13"/>
        <v>3.2824878066643612E-4</v>
      </c>
      <c r="P40" s="2">
        <f t="shared" si="14"/>
        <v>5.1238574431414101E-2</v>
      </c>
      <c r="Q40">
        <f t="shared" si="15"/>
        <v>4.9969063690822373E-2</v>
      </c>
    </row>
    <row r="41" spans="1:17" x14ac:dyDescent="0.25">
      <c r="A41" s="1">
        <v>44624.333356481482</v>
      </c>
      <c r="B41">
        <v>480433.62579028308</v>
      </c>
      <c r="C41">
        <v>479721.75098899752</v>
      </c>
      <c r="D41">
        <v>172.84932092667623</v>
      </c>
      <c r="E41">
        <v>1441.3008773708425</v>
      </c>
      <c r="F41">
        <v>1.646879957347985E+17</v>
      </c>
      <c r="G41">
        <v>2</v>
      </c>
      <c r="H41">
        <v>3.6668510593417398E-4</v>
      </c>
      <c r="I41">
        <v>2727.1355825930832</v>
      </c>
      <c r="J41">
        <v>304</v>
      </c>
      <c r="K41">
        <f t="shared" si="9"/>
        <v>36.668510593417395</v>
      </c>
      <c r="L41">
        <f t="shared" si="10"/>
        <v>3.6668510593417398E-9</v>
      </c>
      <c r="M41">
        <f t="shared" si="11"/>
        <v>52.387647998797277</v>
      </c>
      <c r="N41">
        <f t="shared" si="12"/>
        <v>0.51854796278002868</v>
      </c>
      <c r="O41" s="2">
        <f t="shared" si="13"/>
        <v>3.1810240792023796E-4</v>
      </c>
      <c r="P41" s="2">
        <f t="shared" si="14"/>
        <v>6.0207244787598285E-2</v>
      </c>
      <c r="Q41">
        <f t="shared" si="15"/>
        <v>5.8464402964178645E-2</v>
      </c>
    </row>
    <row r="42" spans="1:17" x14ac:dyDescent="0.25">
      <c r="A42" s="1">
        <v>44625.333437499998</v>
      </c>
      <c r="B42">
        <v>635830.23981434107</v>
      </c>
      <c r="C42">
        <v>634214.97262600064</v>
      </c>
      <c r="D42">
        <v>239.39708540087668</v>
      </c>
      <c r="E42">
        <v>1907.490719443027</v>
      </c>
      <c r="F42">
        <v>1.646879957347985E+17</v>
      </c>
      <c r="G42">
        <v>2</v>
      </c>
      <c r="H42">
        <v>3.7811633879914489E-4</v>
      </c>
      <c r="I42">
        <v>2644.6886775003904</v>
      </c>
      <c r="J42">
        <v>305</v>
      </c>
      <c r="K42">
        <f t="shared" si="9"/>
        <v>37.811633879914488</v>
      </c>
      <c r="L42">
        <f t="shared" si="10"/>
        <v>3.7811633879914485E-9</v>
      </c>
      <c r="M42">
        <f t="shared" si="11"/>
        <v>51.589677590227417</v>
      </c>
      <c r="N42">
        <f t="shared" si="12"/>
        <v>0.71819125620263002</v>
      </c>
      <c r="O42" s="2">
        <f t="shared" si="13"/>
        <v>3.1325706139082331E-4</v>
      </c>
      <c r="P42" s="2">
        <f t="shared" si="14"/>
        <v>8.2117146088636225E-2</v>
      </c>
      <c r="Q42">
        <f t="shared" si="15"/>
        <v>7.8919442667821693E-2</v>
      </c>
    </row>
    <row r="43" spans="1:17" x14ac:dyDescent="0.25">
      <c r="A43" s="1">
        <v>44626.333425925928</v>
      </c>
      <c r="B43">
        <v>206849.79539624974</v>
      </c>
      <c r="C43">
        <v>206222.14791800082</v>
      </c>
      <c r="D43">
        <v>78.345924041743274</v>
      </c>
      <c r="E43">
        <v>620.54938618875167</v>
      </c>
      <c r="F43">
        <v>1.646879957347985E+17</v>
      </c>
      <c r="G43">
        <v>2</v>
      </c>
      <c r="H43">
        <v>3.8459893841685111E-4</v>
      </c>
      <c r="I43">
        <v>2600.1111810562015</v>
      </c>
      <c r="J43">
        <v>306</v>
      </c>
      <c r="K43">
        <f t="shared" si="9"/>
        <v>38.459893841685108</v>
      </c>
      <c r="L43">
        <f t="shared" si="10"/>
        <v>3.8459893841685109E-9</v>
      </c>
      <c r="M43">
        <f t="shared" si="11"/>
        <v>51.153045477187348</v>
      </c>
      <c r="N43">
        <f t="shared" si="12"/>
        <v>0.23503777212522983</v>
      </c>
      <c r="O43" s="2">
        <f t="shared" si="13"/>
        <v>3.1060579278383151E-4</v>
      </c>
      <c r="P43" s="2">
        <f t="shared" si="14"/>
        <v>2.6646494143962432E-2</v>
      </c>
      <c r="Q43">
        <f t="shared" si="15"/>
        <v>2.6297659563262282E-2</v>
      </c>
    </row>
    <row r="44" spans="1:17" x14ac:dyDescent="0.25">
      <c r="A44" s="1">
        <v>44627.333333333336</v>
      </c>
      <c r="B44">
        <v>950644.88855809718</v>
      </c>
      <c r="C44">
        <v>934178.83989600092</v>
      </c>
      <c r="D44">
        <v>374.12675561019023</v>
      </c>
      <c r="E44">
        <v>2851.9346656742855</v>
      </c>
      <c r="F44">
        <v>1.646879957347985E+17</v>
      </c>
      <c r="G44">
        <v>2</v>
      </c>
      <c r="H44">
        <v>3.9346807472883852E-4</v>
      </c>
      <c r="I44">
        <v>2541.5022570488281</v>
      </c>
      <c r="J44">
        <v>307</v>
      </c>
      <c r="K44">
        <f t="shared" si="9"/>
        <v>39.346807472883853</v>
      </c>
      <c r="L44">
        <f t="shared" si="10"/>
        <v>3.9346807472883855E-9</v>
      </c>
      <c r="M44">
        <f t="shared" si="11"/>
        <v>50.573240913461625</v>
      </c>
      <c r="N44">
        <f t="shared" si="12"/>
        <v>1.1223802668305707</v>
      </c>
      <c r="O44" s="2">
        <f t="shared" si="13"/>
        <v>3.0708516845940047E-4</v>
      </c>
      <c r="P44" s="2">
        <f t="shared" si="14"/>
        <v>0.12580321166003802</v>
      </c>
      <c r="Q44">
        <f t="shared" si="15"/>
        <v>0.11849674682399894</v>
      </c>
    </row>
    <row r="45" spans="1:17" x14ac:dyDescent="0.25">
      <c r="A45" s="1">
        <v>44628.333368055559</v>
      </c>
      <c r="B45">
        <v>939582.27259545401</v>
      </c>
      <c r="C45">
        <v>935609.17740499973</v>
      </c>
      <c r="D45">
        <v>369.49184641728971</v>
      </c>
      <c r="E45">
        <v>2818.7468177863484</v>
      </c>
      <c r="F45">
        <v>1.646879957347985E+17</v>
      </c>
      <c r="G45">
        <v>2</v>
      </c>
      <c r="H45">
        <v>3.8924169436948755E-4</v>
      </c>
      <c r="I45">
        <v>2569.0978496531525</v>
      </c>
      <c r="J45">
        <v>308</v>
      </c>
      <c r="K45">
        <f t="shared" si="9"/>
        <v>38.924169436948752</v>
      </c>
      <c r="L45">
        <f t="shared" si="10"/>
        <v>3.8924169436948753E-9</v>
      </c>
      <c r="M45">
        <f t="shared" si="11"/>
        <v>50.847061373491414</v>
      </c>
      <c r="N45">
        <f t="shared" si="12"/>
        <v>1.108475539251869</v>
      </c>
      <c r="O45" s="2">
        <f t="shared" si="13"/>
        <v>3.0874783038450357E-4</v>
      </c>
      <c r="P45" s="2">
        <f t="shared" si="14"/>
        <v>0.12491738748908211</v>
      </c>
      <c r="Q45">
        <f t="shared" si="15"/>
        <v>0.11770959961698538</v>
      </c>
    </row>
    <row r="46" spans="1:17" x14ac:dyDescent="0.25">
      <c r="A46" s="1">
        <v>44629.333333333336</v>
      </c>
      <c r="B46">
        <v>740080.85355400294</v>
      </c>
      <c r="C46">
        <v>736540.14351599663</v>
      </c>
      <c r="D46">
        <v>282.69862921684216</v>
      </c>
      <c r="E46">
        <v>2220.2425606620236</v>
      </c>
      <c r="F46">
        <v>1.646879957347985E+17</v>
      </c>
      <c r="G46">
        <v>2</v>
      </c>
      <c r="H46">
        <v>3.6533094549072562E-4</v>
      </c>
      <c r="I46">
        <v>2737.2441681795231</v>
      </c>
      <c r="J46">
        <v>309</v>
      </c>
      <c r="K46">
        <f t="shared" si="9"/>
        <v>36.533094549072558</v>
      </c>
      <c r="L46">
        <f t="shared" si="10"/>
        <v>3.6533094549072563E-9</v>
      </c>
      <c r="M46">
        <f t="shared" si="11"/>
        <v>52.484649996759693</v>
      </c>
      <c r="N46">
        <f t="shared" si="12"/>
        <v>0.84809588765052646</v>
      </c>
      <c r="O46" s="2">
        <f t="shared" si="13"/>
        <v>3.1869141258648344E-4</v>
      </c>
      <c r="P46" s="2">
        <f t="shared" si="14"/>
        <v>9.865251990210884E-2</v>
      </c>
      <c r="Q46">
        <f t="shared" si="15"/>
        <v>9.4084446993523113E-2</v>
      </c>
    </row>
    <row r="47" spans="1:17" x14ac:dyDescent="0.25">
      <c r="A47" s="1">
        <v>44630.33357638889</v>
      </c>
      <c r="B47">
        <v>458209.8175432235</v>
      </c>
      <c r="C47">
        <v>456705.39970300347</v>
      </c>
      <c r="D47">
        <v>171.07861903147568</v>
      </c>
      <c r="E47">
        <v>1374.6294526296551</v>
      </c>
      <c r="F47">
        <v>1.646879957347985E+17</v>
      </c>
      <c r="G47">
        <v>2</v>
      </c>
      <c r="H47">
        <v>3.8644935825679053E-4</v>
      </c>
      <c r="I47">
        <v>2587.6611737973521</v>
      </c>
      <c r="J47">
        <v>310</v>
      </c>
      <c r="K47">
        <f t="shared" si="9"/>
        <v>38.644935825679056</v>
      </c>
      <c r="L47">
        <f t="shared" si="10"/>
        <v>3.8644935825679049E-9</v>
      </c>
      <c r="M47">
        <f t="shared" si="11"/>
        <v>51.030431494270339</v>
      </c>
      <c r="N47">
        <f t="shared" si="12"/>
        <v>0.51323585709442709</v>
      </c>
      <c r="O47" s="2">
        <f t="shared" si="13"/>
        <v>3.0986126989149845E-4</v>
      </c>
      <c r="P47" s="2">
        <f t="shared" si="14"/>
        <v>5.8046648768092741E-2</v>
      </c>
      <c r="Q47">
        <f t="shared" si="15"/>
        <v>5.6424423927333399E-2</v>
      </c>
    </row>
    <row r="48" spans="1:17" x14ac:dyDescent="0.25">
      <c r="A48" s="1">
        <v>44631.333414351851</v>
      </c>
      <c r="B48">
        <v>776231.03127261996</v>
      </c>
      <c r="C48">
        <v>775535.17851600051</v>
      </c>
      <c r="D48">
        <v>296.71753446295043</v>
      </c>
      <c r="E48">
        <v>2328.6930938178557</v>
      </c>
      <c r="F48">
        <v>1.646879957347985E+17</v>
      </c>
      <c r="G48">
        <v>2</v>
      </c>
      <c r="H48">
        <v>3.7773843034117352E-4</v>
      </c>
      <c r="I48">
        <v>2647.3345566052135</v>
      </c>
      <c r="J48">
        <v>311</v>
      </c>
      <c r="K48">
        <f t="shared" si="9"/>
        <v>37.773843034117355</v>
      </c>
      <c r="L48">
        <f t="shared" si="10"/>
        <v>3.7773843034117351E-9</v>
      </c>
      <c r="M48">
        <f t="shared" si="11"/>
        <v>51.615477588506202</v>
      </c>
      <c r="N48">
        <f t="shared" si="12"/>
        <v>0.89015260338885127</v>
      </c>
      <c r="O48" s="2">
        <f t="shared" si="13"/>
        <v>3.1341372125035752E-4</v>
      </c>
      <c r="P48" s="2">
        <f t="shared" si="14"/>
        <v>0.10182990456670962</v>
      </c>
      <c r="Q48">
        <f t="shared" si="15"/>
        <v>9.6972347244434098E-2</v>
      </c>
    </row>
    <row r="49" spans="1:17" x14ac:dyDescent="0.25">
      <c r="A49" s="1">
        <v>44632.334016203706</v>
      </c>
      <c r="B49">
        <v>269829.48843390495</v>
      </c>
      <c r="C49">
        <v>268677.82234599441</v>
      </c>
      <c r="D49">
        <v>104.38688993668075</v>
      </c>
      <c r="E49">
        <v>809.48846530173614</v>
      </c>
      <c r="F49">
        <v>1.646879957347985E+17</v>
      </c>
      <c r="G49">
        <v>2</v>
      </c>
      <c r="H49">
        <v>3.8838634663602843E-4</v>
      </c>
      <c r="I49">
        <v>2574.7558034967124</v>
      </c>
      <c r="J49">
        <v>312</v>
      </c>
      <c r="K49">
        <f t="shared" si="9"/>
        <v>38.838634663602839</v>
      </c>
      <c r="L49">
        <f t="shared" si="10"/>
        <v>3.8838634663602839E-9</v>
      </c>
      <c r="M49">
        <f t="shared" si="11"/>
        <v>50.903021115277447</v>
      </c>
      <c r="N49">
        <f t="shared" si="12"/>
        <v>0.31316066981004226</v>
      </c>
      <c r="O49" s="2">
        <f t="shared" si="13"/>
        <v>3.0908762286018681E-4</v>
      </c>
      <c r="P49" s="2">
        <f t="shared" si="14"/>
        <v>3.5329841756784788E-2</v>
      </c>
      <c r="Q49">
        <f t="shared" si="15"/>
        <v>3.4720063634912368E-2</v>
      </c>
    </row>
    <row r="50" spans="1:17" x14ac:dyDescent="0.25">
      <c r="A50" s="1">
        <v>44633.333425925928</v>
      </c>
      <c r="B50">
        <v>97951.774804256856</v>
      </c>
      <c r="C50">
        <v>97619.715919002891</v>
      </c>
      <c r="D50">
        <v>37.916778838107348</v>
      </c>
      <c r="E50">
        <v>293.85532441275427</v>
      </c>
      <c r="F50">
        <v>1.646879957347985E+17</v>
      </c>
      <c r="G50">
        <v>2</v>
      </c>
      <c r="H50">
        <v>3.8912494521178652E-4</v>
      </c>
      <c r="I50">
        <v>2569.8686560835531</v>
      </c>
      <c r="J50">
        <v>313</v>
      </c>
      <c r="K50">
        <f t="shared" si="9"/>
        <v>38.912494521178651</v>
      </c>
      <c r="L50">
        <f t="shared" si="10"/>
        <v>3.8912494521178653E-9</v>
      </c>
      <c r="M50">
        <f t="shared" si="11"/>
        <v>50.854688623370741</v>
      </c>
      <c r="N50">
        <f t="shared" si="12"/>
        <v>0.11375033651432205</v>
      </c>
      <c r="O50" s="2">
        <f t="shared" si="13"/>
        <v>3.0879414371684635E-4</v>
      </c>
      <c r="P50" s="2">
        <f t="shared" si="14"/>
        <v>1.2820784782926767E-2</v>
      </c>
      <c r="Q50">
        <f t="shared" si="15"/>
        <v>1.2739294297245381E-2</v>
      </c>
    </row>
    <row r="51" spans="1:17" x14ac:dyDescent="0.25">
      <c r="A51" s="1">
        <v>44634.333749999998</v>
      </c>
      <c r="B51">
        <v>344827.51497684419</v>
      </c>
      <c r="C51">
        <v>343699.49723400176</v>
      </c>
      <c r="D51">
        <v>134.94845061008527</v>
      </c>
      <c r="E51">
        <v>1034.4825449305499</v>
      </c>
      <c r="F51">
        <v>1.646879957347985E+17</v>
      </c>
      <c r="G51">
        <v>2</v>
      </c>
      <c r="H51">
        <v>3.8784301333899806E-4</v>
      </c>
      <c r="I51">
        <v>2578.3628055868576</v>
      </c>
      <c r="J51">
        <v>314</v>
      </c>
      <c r="K51">
        <f t="shared" si="9"/>
        <v>38.784301333899805</v>
      </c>
      <c r="L51">
        <f t="shared" si="10"/>
        <v>3.8784301333899807E-9</v>
      </c>
      <c r="M51">
        <f t="shared" si="11"/>
        <v>50.938663921474351</v>
      </c>
      <c r="N51">
        <f t="shared" si="12"/>
        <v>0.40484535183025583</v>
      </c>
      <c r="O51" s="2">
        <f t="shared" si="13"/>
        <v>3.0930404911540883E-4</v>
      </c>
      <c r="P51" s="2">
        <f t="shared" si="14"/>
        <v>4.5705411904127399E-2</v>
      </c>
      <c r="Q51">
        <f t="shared" si="15"/>
        <v>4.4691692997870354E-2</v>
      </c>
    </row>
    <row r="52" spans="1:17" x14ac:dyDescent="0.25">
      <c r="A52" s="1">
        <v>44635.333379629628</v>
      </c>
      <c r="B52">
        <v>270968.41437224299</v>
      </c>
      <c r="C52">
        <v>270085.67657599598</v>
      </c>
      <c r="D52">
        <v>106.16349035926214</v>
      </c>
      <c r="E52">
        <v>812.90524311672198</v>
      </c>
      <c r="F52">
        <v>1.646879957347985E+17</v>
      </c>
      <c r="G52">
        <v>2</v>
      </c>
      <c r="H52">
        <v>3.9627149826801979E-4</v>
      </c>
      <c r="I52">
        <v>2523.5223940421929</v>
      </c>
      <c r="J52">
        <v>315</v>
      </c>
      <c r="K52">
        <f t="shared" si="9"/>
        <v>39.627149826801983</v>
      </c>
      <c r="L52">
        <f t="shared" si="10"/>
        <v>3.9627149826801977E-9</v>
      </c>
      <c r="M52">
        <f t="shared" si="11"/>
        <v>50.394033150433096</v>
      </c>
      <c r="N52">
        <f t="shared" si="12"/>
        <v>0.31849047107778644</v>
      </c>
      <c r="O52" s="2">
        <f t="shared" si="13"/>
        <v>3.0599700315488669E-4</v>
      </c>
      <c r="P52" s="2">
        <f t="shared" si="14"/>
        <v>3.5571852334364627E-2</v>
      </c>
      <c r="Q52">
        <f t="shared" si="15"/>
        <v>3.495378847020706E-2</v>
      </c>
    </row>
    <row r="53" spans="1:17" x14ac:dyDescent="0.25">
      <c r="A53" s="1">
        <v>44636.333379629628</v>
      </c>
      <c r="B53">
        <v>717781.03128030896</v>
      </c>
      <c r="C53">
        <v>715143.71613100171</v>
      </c>
      <c r="D53">
        <v>271.80868778622607</v>
      </c>
      <c r="E53">
        <v>2153.3430938409438</v>
      </c>
      <c r="F53">
        <v>1.646879957347985E+17</v>
      </c>
      <c r="G53">
        <v>2</v>
      </c>
      <c r="H53">
        <v>3.7327020509389514E-4</v>
      </c>
      <c r="I53">
        <v>2679.0244341855591</v>
      </c>
      <c r="J53">
        <v>316</v>
      </c>
      <c r="K53">
        <f t="shared" si="9"/>
        <v>37.327020509389513</v>
      </c>
      <c r="L53">
        <f t="shared" si="10"/>
        <v>3.7327020509389513E-9</v>
      </c>
      <c r="M53">
        <f t="shared" si="11"/>
        <v>51.9234897072077</v>
      </c>
      <c r="N53">
        <f t="shared" si="12"/>
        <v>0.81542606335867829</v>
      </c>
      <c r="O53" s="2">
        <f t="shared" si="13"/>
        <v>3.1528399793523198E-4</v>
      </c>
      <c r="P53" s="2">
        <f t="shared" si="14"/>
        <v>9.3838138085853826E-2</v>
      </c>
      <c r="Q53">
        <f t="shared" si="15"/>
        <v>8.9692738835800506E-2</v>
      </c>
    </row>
    <row r="54" spans="1:17" x14ac:dyDescent="0.25">
      <c r="A54" s="1">
        <v>44637.333587962959</v>
      </c>
      <c r="B54">
        <v>379728.1525888294</v>
      </c>
      <c r="C54">
        <v>378182.5028880015</v>
      </c>
      <c r="D54">
        <v>140.30483430138884</v>
      </c>
      <c r="E54">
        <v>1139.1844577664742</v>
      </c>
      <c r="F54">
        <v>1.646879957347985E+17</v>
      </c>
      <c r="G54">
        <v>2</v>
      </c>
      <c r="H54">
        <v>3.626013486595628E-4</v>
      </c>
      <c r="I54">
        <v>2757.8496431321182</v>
      </c>
      <c r="J54">
        <v>317</v>
      </c>
      <c r="K54">
        <f t="shared" si="9"/>
        <v>36.260134865956282</v>
      </c>
      <c r="L54">
        <f t="shared" si="10"/>
        <v>3.6260134865956282E-9</v>
      </c>
      <c r="M54">
        <f t="shared" si="11"/>
        <v>52.681827051481442</v>
      </c>
      <c r="N54">
        <f t="shared" si="12"/>
        <v>0.42091450290416654</v>
      </c>
      <c r="O54" s="2">
        <f t="shared" si="13"/>
        <v>3.1988868901116756E-4</v>
      </c>
      <c r="P54" s="2">
        <f t="shared" si="14"/>
        <v>4.9145712809727411E-2</v>
      </c>
      <c r="Q54">
        <f t="shared" si="15"/>
        <v>4.7976226163868312E-2</v>
      </c>
    </row>
    <row r="55" spans="1:17" x14ac:dyDescent="0.25">
      <c r="A55" s="1">
        <v>44638.33384259259</v>
      </c>
      <c r="B55">
        <v>176443.56272054464</v>
      </c>
      <c r="C55">
        <v>175764.64921599627</v>
      </c>
      <c r="D55">
        <v>62.971196852156936</v>
      </c>
      <c r="E55">
        <v>529.33068816162995</v>
      </c>
      <c r="F55">
        <v>1.646879957347985E+17</v>
      </c>
      <c r="G55">
        <v>2</v>
      </c>
      <c r="H55">
        <v>3.5888590790309941E-4</v>
      </c>
      <c r="I55">
        <v>2786.4008532483363</v>
      </c>
      <c r="J55">
        <v>318</v>
      </c>
      <c r="K55">
        <f t="shared" si="9"/>
        <v>35.888590790309941</v>
      </c>
      <c r="L55">
        <f t="shared" si="10"/>
        <v>3.5888590790309943E-9</v>
      </c>
      <c r="M55">
        <f t="shared" si="11"/>
        <v>52.953824653828072</v>
      </c>
      <c r="N55">
        <f t="shared" si="12"/>
        <v>0.18891359055647081</v>
      </c>
      <c r="O55" s="2">
        <f t="shared" si="13"/>
        <v>3.2154028238403628E-4</v>
      </c>
      <c r="P55" s="2">
        <f t="shared" si="14"/>
        <v>2.2171315177604088E-2</v>
      </c>
      <c r="Q55">
        <f t="shared" si="15"/>
        <v>2.1929105108960616E-2</v>
      </c>
    </row>
    <row r="56" spans="1:17" x14ac:dyDescent="0.25">
      <c r="A56" s="1">
        <v>44639.333356481482</v>
      </c>
      <c r="B56">
        <v>506359.38435130566</v>
      </c>
      <c r="C56">
        <v>505352.14584300667</v>
      </c>
      <c r="D56">
        <v>173.60073386061049</v>
      </c>
      <c r="E56">
        <v>1519.0781530539098</v>
      </c>
      <c r="F56">
        <v>1.646879957347985E+17</v>
      </c>
      <c r="G56">
        <v>2</v>
      </c>
      <c r="H56">
        <v>3.4100839219503845E-4</v>
      </c>
      <c r="I56">
        <v>2932.4791497449537</v>
      </c>
      <c r="J56">
        <v>319</v>
      </c>
      <c r="K56">
        <f t="shared" si="9"/>
        <v>34.100839219503847</v>
      </c>
      <c r="L56">
        <f t="shared" si="10"/>
        <v>3.4100839219503843E-9</v>
      </c>
      <c r="M56">
        <f t="shared" si="11"/>
        <v>54.324157822575572</v>
      </c>
      <c r="N56">
        <f t="shared" si="12"/>
        <v>0.52080220158183144</v>
      </c>
      <c r="O56" s="2">
        <f t="shared" si="13"/>
        <v>3.2986106595197883E-4</v>
      </c>
      <c r="P56" s="2">
        <f t="shared" si="14"/>
        <v>6.2704214817830894E-2</v>
      </c>
      <c r="Q56">
        <f t="shared" si="15"/>
        <v>6.081680552944993E-2</v>
      </c>
    </row>
    <row r="57" spans="1:17" x14ac:dyDescent="0.25">
      <c r="A57" s="1">
        <v>44640.333379629628</v>
      </c>
      <c r="B57">
        <v>242155.59679683298</v>
      </c>
      <c r="C57">
        <v>241644.30901099741</v>
      </c>
      <c r="D57">
        <v>82.465648820752904</v>
      </c>
      <c r="E57">
        <v>726.4667903905065</v>
      </c>
      <c r="F57">
        <v>1.646879957347985E+17</v>
      </c>
      <c r="G57">
        <v>2</v>
      </c>
      <c r="H57">
        <v>3.4598878546156318E-4</v>
      </c>
      <c r="I57">
        <v>2890.2670896282352</v>
      </c>
      <c r="J57">
        <v>320</v>
      </c>
      <c r="K57">
        <f t="shared" si="9"/>
        <v>34.598878546156321</v>
      </c>
      <c r="L57">
        <f t="shared" si="10"/>
        <v>3.4598878546156317E-9</v>
      </c>
      <c r="M57">
        <f t="shared" si="11"/>
        <v>53.931751490041059</v>
      </c>
      <c r="N57">
        <f t="shared" si="12"/>
        <v>0.24739694646225871</v>
      </c>
      <c r="O57" s="2">
        <f t="shared" si="13"/>
        <v>3.2747834017537509E-4</v>
      </c>
      <c r="P57" s="2">
        <f t="shared" si="14"/>
        <v>2.9571256608049566E-2</v>
      </c>
      <c r="Q57">
        <f t="shared" si="15"/>
        <v>2.9142459862742855E-2</v>
      </c>
    </row>
    <row r="58" spans="1:17" x14ac:dyDescent="0.25">
      <c r="A58" s="1">
        <v>44641.333333333336</v>
      </c>
      <c r="B58">
        <v>463526.17313525826</v>
      </c>
      <c r="C58">
        <v>463211.28147900105</v>
      </c>
      <c r="D58">
        <v>161.33445843303889</v>
      </c>
      <c r="E58">
        <v>1390.5785194057826</v>
      </c>
      <c r="F58">
        <v>1.646879957347985E+17</v>
      </c>
      <c r="G58">
        <v>2</v>
      </c>
      <c r="H58">
        <v>3.447800017560153E-4</v>
      </c>
      <c r="I58">
        <v>2900.4002404630569</v>
      </c>
      <c r="J58">
        <v>321</v>
      </c>
      <c r="K58">
        <f t="shared" si="9"/>
        <v>34.47800017560153</v>
      </c>
      <c r="L58">
        <f t="shared" si="10"/>
        <v>3.4478000175601531E-9</v>
      </c>
      <c r="M58">
        <f t="shared" si="11"/>
        <v>54.026209959359143</v>
      </c>
      <c r="N58">
        <f t="shared" si="12"/>
        <v>0.48400337529911669</v>
      </c>
      <c r="O58" s="2">
        <f t="shared" si="13"/>
        <v>3.2805190031190255E-4</v>
      </c>
      <c r="P58" s="2">
        <f t="shared" si="14"/>
        <v>5.7954052863851323E-2</v>
      </c>
      <c r="Q58">
        <f t="shared" si="15"/>
        <v>5.6336904198035408E-2</v>
      </c>
    </row>
    <row r="59" spans="1:17" x14ac:dyDescent="0.25">
      <c r="A59" s="1">
        <v>44642.333344907405</v>
      </c>
      <c r="B59">
        <v>432130.19277264178</v>
      </c>
      <c r="C59">
        <v>430592.44827699661</v>
      </c>
      <c r="D59">
        <v>145.88707283297117</v>
      </c>
      <c r="E59">
        <v>1296.3905783179362</v>
      </c>
      <c r="F59">
        <v>1.646879957347985E+17</v>
      </c>
      <c r="G59">
        <v>2</v>
      </c>
      <c r="H59">
        <v>3.3312182284386376E-4</v>
      </c>
      <c r="I59">
        <v>3001.9048030627105</v>
      </c>
      <c r="J59">
        <v>322</v>
      </c>
      <c r="K59">
        <f t="shared" si="9"/>
        <v>33.312182284386374</v>
      </c>
      <c r="L59">
        <f t="shared" si="10"/>
        <v>3.3312182284386376E-9</v>
      </c>
      <c r="M59">
        <f t="shared" si="11"/>
        <v>54.963451078158172</v>
      </c>
      <c r="N59">
        <f t="shared" si="12"/>
        <v>0.43766121849891354</v>
      </c>
      <c r="O59" s="2">
        <f t="shared" si="13"/>
        <v>3.3374291084741414E-4</v>
      </c>
      <c r="P59" s="2">
        <f t="shared" si="14"/>
        <v>5.3314210094801542E-2</v>
      </c>
      <c r="Q59">
        <f t="shared" si="15"/>
        <v>5.194158379261795E-2</v>
      </c>
    </row>
    <row r="60" spans="1:17" x14ac:dyDescent="0.25">
      <c r="A60" s="1">
        <v>44643.333379629628</v>
      </c>
      <c r="B60">
        <v>2872714.6285127625</v>
      </c>
      <c r="C60">
        <v>3172462.4240740016</v>
      </c>
      <c r="D60">
        <v>958.42447579552754</v>
      </c>
      <c r="E60">
        <v>8618.143885538273</v>
      </c>
      <c r="F60">
        <v>1.646879957347985E+17</v>
      </c>
      <c r="G60">
        <v>2</v>
      </c>
      <c r="H60">
        <v>3.3862978720754049E-4</v>
      </c>
      <c r="I60">
        <v>2953.0774839577739</v>
      </c>
      <c r="J60">
        <v>323</v>
      </c>
      <c r="K60">
        <f t="shared" si="9"/>
        <v>33.86297872075405</v>
      </c>
      <c r="L60">
        <f t="shared" si="10"/>
        <v>3.3862978720754048E-9</v>
      </c>
      <c r="M60">
        <f t="shared" si="11"/>
        <v>54.514615959529841</v>
      </c>
      <c r="N60">
        <f t="shared" si="12"/>
        <v>2.8752734273865825</v>
      </c>
      <c r="O60" s="2">
        <f t="shared" si="13"/>
        <v>3.3101754451682195E-4</v>
      </c>
      <c r="P60" s="2">
        <f t="shared" si="14"/>
        <v>0.34739457165801024</v>
      </c>
      <c r="Q60">
        <f t="shared" si="15"/>
        <v>0.29817278078316034</v>
      </c>
    </row>
    <row r="61" spans="1:17" x14ac:dyDescent="0.25">
      <c r="A61" s="1">
        <v>44644.333402777775</v>
      </c>
      <c r="B61">
        <v>388149.61435877532</v>
      </c>
      <c r="C61">
        <v>386839.99222099781</v>
      </c>
      <c r="D61">
        <v>128.86678612074502</v>
      </c>
      <c r="E61">
        <v>1164.4488430763304</v>
      </c>
      <c r="F61">
        <v>1.646879957347985E+17</v>
      </c>
      <c r="G61">
        <v>2</v>
      </c>
      <c r="H61">
        <v>3.2868798515990426E-4</v>
      </c>
      <c r="I61">
        <v>3042.3990080243043</v>
      </c>
      <c r="J61">
        <v>324</v>
      </c>
      <c r="K61">
        <f t="shared" si="9"/>
        <v>32.868798515990427</v>
      </c>
      <c r="L61">
        <f t="shared" si="10"/>
        <v>3.2868798515990428E-9</v>
      </c>
      <c r="M61">
        <f t="shared" si="11"/>
        <v>55.332924079527388</v>
      </c>
      <c r="N61">
        <f t="shared" si="12"/>
        <v>0.38660035836223505</v>
      </c>
      <c r="O61" s="2">
        <f t="shared" si="13"/>
        <v>3.3598638341941745E-4</v>
      </c>
      <c r="P61" s="2">
        <f t="shared" si="14"/>
        <v>4.7410746525693999E-2</v>
      </c>
      <c r="Q61">
        <f t="shared" si="15"/>
        <v>4.6321163003181294E-2</v>
      </c>
    </row>
    <row r="62" spans="1:17" x14ac:dyDescent="0.25">
      <c r="A62" s="1">
        <v>44645.333344907405</v>
      </c>
      <c r="B62">
        <v>286731.60207741708</v>
      </c>
      <c r="C62">
        <v>286150.93057500571</v>
      </c>
      <c r="D62">
        <v>92.603785028526545</v>
      </c>
      <c r="E62">
        <v>860.19480623224808</v>
      </c>
      <c r="F62">
        <v>1.646879957347985E+17</v>
      </c>
      <c r="G62">
        <v>2</v>
      </c>
      <c r="H62">
        <v>3.1652771733722731E-4</v>
      </c>
      <c r="I62">
        <v>3159.2809893946956</v>
      </c>
      <c r="J62">
        <v>325</v>
      </c>
      <c r="K62">
        <f t="shared" si="9"/>
        <v>31.65277173372273</v>
      </c>
      <c r="L62">
        <f t="shared" si="10"/>
        <v>3.1652771733722731E-9</v>
      </c>
      <c r="M62">
        <f t="shared" si="11"/>
        <v>56.385789135392059</v>
      </c>
      <c r="N62">
        <f t="shared" si="12"/>
        <v>0.27781135508557964</v>
      </c>
      <c r="O62" s="2">
        <f t="shared" si="13"/>
        <v>3.4237947267384085E-4</v>
      </c>
      <c r="P62" s="2">
        <f t="shared" si="14"/>
        <v>3.4717670418807162E-2</v>
      </c>
      <c r="Q62">
        <f t="shared" si="15"/>
        <v>3.4128607301448698E-2</v>
      </c>
    </row>
    <row r="63" spans="1:17" x14ac:dyDescent="0.25">
      <c r="A63" s="1">
        <v>44646.333460648151</v>
      </c>
      <c r="B63">
        <v>223910.50937069952</v>
      </c>
      <c r="C63">
        <v>224052.40519999713</v>
      </c>
      <c r="D63">
        <v>71.635913087762674</v>
      </c>
      <c r="E63">
        <v>671.73152811211185</v>
      </c>
      <c r="F63">
        <v>1.646879957347985E+17</v>
      </c>
      <c r="G63">
        <v>2</v>
      </c>
      <c r="H63">
        <v>3.206692321131136E-4</v>
      </c>
      <c r="I63">
        <v>3118.4781695777338</v>
      </c>
      <c r="J63">
        <v>326</v>
      </c>
      <c r="K63">
        <f t="shared" si="9"/>
        <v>32.066923211311362</v>
      </c>
      <c r="L63">
        <f t="shared" si="10"/>
        <v>3.2066923211311362E-9</v>
      </c>
      <c r="M63">
        <f t="shared" si="11"/>
        <v>56.020488284613428</v>
      </c>
      <c r="N63">
        <f t="shared" si="12"/>
        <v>0.21490773926328802</v>
      </c>
      <c r="O63" s="2">
        <f t="shared" si="13"/>
        <v>3.4016133376730585E-4</v>
      </c>
      <c r="P63" s="2">
        <f t="shared" si="14"/>
        <v>2.6682705677021509E-2</v>
      </c>
      <c r="Q63">
        <f t="shared" si="15"/>
        <v>2.6332930608028146E-2</v>
      </c>
    </row>
    <row r="64" spans="1:17" x14ac:dyDescent="0.25">
      <c r="A64" s="1">
        <v>44647.333368055559</v>
      </c>
      <c r="B64">
        <v>48971.842825464904</v>
      </c>
      <c r="C64">
        <v>49102.743936002254</v>
      </c>
      <c r="D64">
        <v>15.616993795507369</v>
      </c>
      <c r="E64">
        <v>146.91552847635467</v>
      </c>
      <c r="F64">
        <v>1.646879957347985E+17</v>
      </c>
      <c r="G64">
        <v>2</v>
      </c>
      <c r="H64">
        <v>3.1731998694213657E-4</v>
      </c>
      <c r="I64">
        <v>3151.3930453499938</v>
      </c>
      <c r="J64">
        <v>327</v>
      </c>
      <c r="K64">
        <f t="shared" si="9"/>
        <v>31.731998694213658</v>
      </c>
      <c r="L64">
        <f t="shared" si="10"/>
        <v>3.1731998694213659E-9</v>
      </c>
      <c r="M64">
        <f t="shared" si="11"/>
        <v>56.315354451496496</v>
      </c>
      <c r="N64">
        <f t="shared" si="12"/>
        <v>4.6850981386522106E-2</v>
      </c>
      <c r="O64" s="2">
        <f t="shared" si="13"/>
        <v>3.4195178707610617E-4</v>
      </c>
      <c r="P64" s="2">
        <f t="shared" si="14"/>
        <v>5.8475835361575757E-3</v>
      </c>
      <c r="Q64">
        <f t="shared" si="15"/>
        <v>5.8305527798125289E-3</v>
      </c>
    </row>
    <row r="65" spans="1:17" x14ac:dyDescent="0.25">
      <c r="A65" s="1">
        <v>44648.333854166667</v>
      </c>
      <c r="B65">
        <v>318695.67150875926</v>
      </c>
      <c r="C65">
        <v>317917.38042799383</v>
      </c>
      <c r="D65">
        <v>97.941419895945728</v>
      </c>
      <c r="E65">
        <v>956.08701452630339</v>
      </c>
      <c r="F65">
        <v>1.646879957347985E+17</v>
      </c>
      <c r="G65">
        <v>2</v>
      </c>
      <c r="H65">
        <v>2.9869222997603445E-4</v>
      </c>
      <c r="I65">
        <v>3347.9277317666915</v>
      </c>
      <c r="J65">
        <v>328</v>
      </c>
      <c r="K65">
        <f t="shared" si="9"/>
        <v>29.869222997603444</v>
      </c>
      <c r="L65">
        <f t="shared" si="10"/>
        <v>2.9869222997603444E-9</v>
      </c>
      <c r="M65">
        <f t="shared" si="11"/>
        <v>58.044833955401359</v>
      </c>
      <c r="N65">
        <f t="shared" si="12"/>
        <v>0.29382425968783721</v>
      </c>
      <c r="O65" s="2">
        <f t="shared" si="13"/>
        <v>3.5245333879023287E-4</v>
      </c>
      <c r="P65" s="2">
        <f t="shared" si="14"/>
        <v>3.779915959075953E-2</v>
      </c>
      <c r="Q65">
        <f t="shared" si="15"/>
        <v>3.7102278152330262E-2</v>
      </c>
    </row>
    <row r="66" spans="1:17" x14ac:dyDescent="0.25">
      <c r="A66" s="1">
        <v>44649.333425925928</v>
      </c>
      <c r="B66">
        <v>463321.59332923591</v>
      </c>
      <c r="C66">
        <v>463433.66948000342</v>
      </c>
      <c r="D66">
        <v>136.80463310805862</v>
      </c>
      <c r="E66">
        <v>1389.9647799876984</v>
      </c>
      <c r="F66">
        <v>1.646879957347985E+17</v>
      </c>
      <c r="G66">
        <v>2</v>
      </c>
      <c r="H66">
        <v>2.8937264800878149E-4</v>
      </c>
      <c r="I66">
        <v>3455.7516298833239</v>
      </c>
      <c r="J66">
        <v>329</v>
      </c>
      <c r="K66">
        <f t="shared" si="9"/>
        <v>28.93726480087815</v>
      </c>
      <c r="L66">
        <f t="shared" si="10"/>
        <v>2.8937264800878149E-9</v>
      </c>
      <c r="M66">
        <f t="shared" si="11"/>
        <v>58.972127599782809</v>
      </c>
      <c r="N66">
        <f t="shared" si="12"/>
        <v>0.41041389932417588</v>
      </c>
      <c r="O66" s="2">
        <f t="shared" si="13"/>
        <v>3.5808394738586299E-4</v>
      </c>
      <c r="P66" s="2">
        <f t="shared" si="14"/>
        <v>5.3641359633189147E-2</v>
      </c>
      <c r="Q66">
        <f t="shared" si="15"/>
        <v>5.2252126212891908E-2</v>
      </c>
    </row>
    <row r="67" spans="1:17" x14ac:dyDescent="0.25">
      <c r="A67" s="1">
        <v>44650.333506944444</v>
      </c>
      <c r="B67">
        <v>297824.61231569201</v>
      </c>
      <c r="C67">
        <v>298100.08361800015</v>
      </c>
      <c r="D67">
        <v>87.6059828088637</v>
      </c>
      <c r="E67">
        <v>893.47383694708697</v>
      </c>
      <c r="F67">
        <v>1.646879957347985E+17</v>
      </c>
      <c r="G67">
        <v>2</v>
      </c>
      <c r="H67">
        <v>2.9456933462192956E-4</v>
      </c>
      <c r="I67">
        <v>3394.7864983416162</v>
      </c>
      <c r="J67">
        <v>330</v>
      </c>
      <c r="K67">
        <f t="shared" si="9"/>
        <v>29.456933462192957</v>
      </c>
      <c r="L67">
        <f t="shared" si="10"/>
        <v>2.9456933462192956E-9</v>
      </c>
      <c r="M67">
        <f t="shared" si="11"/>
        <v>58.449630350073377</v>
      </c>
      <c r="N67">
        <f t="shared" si="12"/>
        <v>0.26281794842659112</v>
      </c>
      <c r="O67" s="2">
        <f t="shared" si="13"/>
        <v>3.5491129811426203E-4</v>
      </c>
      <c r="P67" s="2">
        <f t="shared" si="14"/>
        <v>3.4046126623990147E-2</v>
      </c>
      <c r="Q67">
        <f t="shared" si="15"/>
        <v>3.3479384979050772E-2</v>
      </c>
    </row>
    <row r="68" spans="1:17" x14ac:dyDescent="0.25">
      <c r="A68" s="1">
        <v>44651.333379629628</v>
      </c>
      <c r="B68">
        <v>212241.99044425786</v>
      </c>
      <c r="C68">
        <v>212126.28661800176</v>
      </c>
      <c r="D68">
        <v>62.404503855215808</v>
      </c>
      <c r="E68">
        <v>636.72597133278032</v>
      </c>
      <c r="F68">
        <v>1.646879957347985E+17</v>
      </c>
      <c r="G68">
        <v>2</v>
      </c>
      <c r="H68">
        <v>2.9321749488853984E-4</v>
      </c>
      <c r="I68">
        <v>3410.4377038625471</v>
      </c>
      <c r="J68">
        <v>331</v>
      </c>
      <c r="K68">
        <f t="shared" si="9"/>
        <v>29.321749488853985</v>
      </c>
      <c r="L68">
        <f t="shared" si="10"/>
        <v>2.9321749488853983E-9</v>
      </c>
      <c r="M68">
        <f t="shared" si="11"/>
        <v>58.584212481009395</v>
      </c>
      <c r="N68">
        <f t="shared" si="12"/>
        <v>0.18721351156564742</v>
      </c>
      <c r="O68" s="2">
        <f t="shared" si="13"/>
        <v>3.5572849265437127E-4</v>
      </c>
      <c r="P68" s="2">
        <f t="shared" si="14"/>
        <v>2.4307970799929499E-2</v>
      </c>
      <c r="Q68">
        <f t="shared" si="15"/>
        <v>2.4017234134584384E-2</v>
      </c>
    </row>
    <row r="69" spans="1:17" x14ac:dyDescent="0.25">
      <c r="A69" s="1">
        <v>44652.333541666667</v>
      </c>
      <c r="B69">
        <v>708879.77204572409</v>
      </c>
      <c r="C69">
        <v>707026.42706099898</v>
      </c>
      <c r="D69">
        <v>214.91925668875228</v>
      </c>
      <c r="E69">
        <v>2126.6393161371525</v>
      </c>
      <c r="F69">
        <v>1.646879957347985E+17</v>
      </c>
      <c r="G69">
        <v>2</v>
      </c>
      <c r="H69">
        <v>3.0451268573304614E-4</v>
      </c>
      <c r="I69">
        <v>3283.9354380022751</v>
      </c>
      <c r="J69">
        <v>332</v>
      </c>
      <c r="K69">
        <f t="shared" si="9"/>
        <v>30.451268573304613</v>
      </c>
      <c r="L69">
        <f t="shared" si="10"/>
        <v>3.0451268573304614E-9</v>
      </c>
      <c r="M69">
        <f t="shared" si="11"/>
        <v>57.487423011023232</v>
      </c>
      <c r="N69">
        <f t="shared" si="12"/>
        <v>0.6447577700662569</v>
      </c>
      <c r="O69" s="2">
        <f t="shared" si="13"/>
        <v>3.4906869049275928E-4</v>
      </c>
      <c r="P69" s="2">
        <f t="shared" si="14"/>
        <v>8.2148633925951856E-2</v>
      </c>
      <c r="Q69">
        <f t="shared" si="15"/>
        <v>7.89485406072786E-2</v>
      </c>
    </row>
    <row r="70" spans="1:17" x14ac:dyDescent="0.25">
      <c r="A70" s="1">
        <v>44653.333506944444</v>
      </c>
      <c r="B70">
        <v>363638.6733546406</v>
      </c>
      <c r="C70">
        <v>363060.07085900009</v>
      </c>
      <c r="D70">
        <v>106.40950575686293</v>
      </c>
      <c r="E70">
        <v>1090.9160200639162</v>
      </c>
      <c r="F70">
        <v>1.646879957347985E+17</v>
      </c>
      <c r="G70">
        <v>2</v>
      </c>
      <c r="H70">
        <v>2.8729675093313402E-4</v>
      </c>
      <c r="I70">
        <v>3480.7215770871767</v>
      </c>
      <c r="J70">
        <v>333</v>
      </c>
      <c r="K70">
        <f t="shared" si="9"/>
        <v>28.7296750933134</v>
      </c>
      <c r="L70">
        <f t="shared" si="10"/>
        <v>2.87296750933134E-9</v>
      </c>
      <c r="M70">
        <f t="shared" si="11"/>
        <v>59.184799204954473</v>
      </c>
      <c r="N70">
        <f t="shared" si="12"/>
        <v>0.31922851727058876</v>
      </c>
      <c r="O70" s="2">
        <f t="shared" si="13"/>
        <v>3.5937530808415052E-4</v>
      </c>
      <c r="P70" s="2">
        <f t="shared" si="14"/>
        <v>4.1873839061328008E-2</v>
      </c>
      <c r="Q70">
        <f t="shared" si="15"/>
        <v>4.1020860244031142E-2</v>
      </c>
    </row>
    <row r="71" spans="1:17" x14ac:dyDescent="0.25">
      <c r="A71" s="1">
        <v>44654.333356481482</v>
      </c>
      <c r="B71">
        <v>212601.54777339101</v>
      </c>
      <c r="C71">
        <v>212581.56528099626</v>
      </c>
      <c r="D71">
        <v>61.189110440365766</v>
      </c>
      <c r="E71">
        <v>637.80464332018164</v>
      </c>
      <c r="F71">
        <v>1.646879957347985E+17</v>
      </c>
      <c r="G71">
        <v>2</v>
      </c>
      <c r="H71">
        <v>2.8718186095669099E-4</v>
      </c>
      <c r="I71">
        <v>3482.1140745752286</v>
      </c>
      <c r="J71">
        <v>334</v>
      </c>
      <c r="K71">
        <f t="shared" si="9"/>
        <v>28.7181860956691</v>
      </c>
      <c r="L71">
        <f t="shared" si="10"/>
        <v>2.8718186095669101E-9</v>
      </c>
      <c r="M71">
        <f t="shared" si="11"/>
        <v>59.196636756643443</v>
      </c>
      <c r="N71">
        <f t="shared" si="12"/>
        <v>0.18356733132109732</v>
      </c>
      <c r="O71" s="2">
        <f t="shared" si="13"/>
        <v>3.5944718673952032E-4</v>
      </c>
      <c r="P71" s="2">
        <f t="shared" si="14"/>
        <v>2.4083707699537202E-2</v>
      </c>
      <c r="Q71">
        <f t="shared" si="15"/>
        <v>2.3798269076639546E-2</v>
      </c>
    </row>
    <row r="72" spans="1:17" x14ac:dyDescent="0.25">
      <c r="A72" s="1">
        <v>44655.333368055559</v>
      </c>
      <c r="B72">
        <v>270033.72598218173</v>
      </c>
      <c r="C72">
        <v>270114.25331300497</v>
      </c>
      <c r="D72">
        <v>76.804722017204767</v>
      </c>
      <c r="E72">
        <v>810.10117794654798</v>
      </c>
      <c r="F72">
        <v>1.646879957347985E+17</v>
      </c>
      <c r="G72">
        <v>2</v>
      </c>
      <c r="H72">
        <v>2.8815989209401245E-4</v>
      </c>
      <c r="I72">
        <v>3470.2955804611038</v>
      </c>
      <c r="J72">
        <v>335</v>
      </c>
      <c r="K72">
        <f t="shared" si="9"/>
        <v>28.815989209401245</v>
      </c>
      <c r="L72">
        <f t="shared" si="10"/>
        <v>2.8815989209401245E-9</v>
      </c>
      <c r="M72">
        <f t="shared" si="11"/>
        <v>59.096092987678539</v>
      </c>
      <c r="N72">
        <f t="shared" si="12"/>
        <v>0.2304141660516143</v>
      </c>
      <c r="O72" s="2">
        <f t="shared" si="13"/>
        <v>3.5883667612812876E-4</v>
      </c>
      <c r="P72" s="2">
        <f t="shared" si="14"/>
        <v>3.0178584519760542E-2</v>
      </c>
      <c r="Q72">
        <f t="shared" si="15"/>
        <v>2.9732170241338035E-2</v>
      </c>
    </row>
    <row r="73" spans="1:17" x14ac:dyDescent="0.25">
      <c r="A73" s="1">
        <v>44656.333368055559</v>
      </c>
      <c r="B73">
        <v>265045.87661731988</v>
      </c>
      <c r="C73">
        <v>265222.91459299624</v>
      </c>
      <c r="D73">
        <v>76.173677743518056</v>
      </c>
      <c r="E73">
        <v>795.13762985196081</v>
      </c>
      <c r="F73">
        <v>1.646879957347985E+17</v>
      </c>
      <c r="G73">
        <v>2</v>
      </c>
      <c r="H73">
        <v>2.83302818868547E-4</v>
      </c>
      <c r="I73">
        <v>3529.7919166275638</v>
      </c>
      <c r="J73">
        <v>336</v>
      </c>
      <c r="K73">
        <f t="shared" si="9"/>
        <v>28.330281886854699</v>
      </c>
      <c r="L73">
        <f t="shared" si="10"/>
        <v>2.8330281886854699E-9</v>
      </c>
      <c r="M73">
        <f t="shared" si="11"/>
        <v>59.600525357499606</v>
      </c>
      <c r="N73">
        <f t="shared" si="12"/>
        <v>0.22852103323055417</v>
      </c>
      <c r="O73" s="2">
        <f t="shared" si="13"/>
        <v>3.6189963385962836E-4</v>
      </c>
      <c r="P73" s="2">
        <f t="shared" si="14"/>
        <v>3.0186112563206954E-2</v>
      </c>
      <c r="Q73">
        <f t="shared" si="15"/>
        <v>2.9739477727684586E-2</v>
      </c>
    </row>
    <row r="74" spans="1:17" x14ac:dyDescent="0.25">
      <c r="A74" s="1">
        <v>44657.333333333336</v>
      </c>
      <c r="B74">
        <v>2510332.793783851</v>
      </c>
      <c r="C74">
        <v>2755433.1875070035</v>
      </c>
      <c r="D74">
        <v>718.87241464349427</v>
      </c>
      <c r="E74">
        <v>7530.9983813515573</v>
      </c>
      <c r="F74">
        <v>1.646879957347985E+17</v>
      </c>
      <c r="G74">
        <v>2</v>
      </c>
      <c r="H74">
        <v>3.018448631224553E-4</v>
      </c>
      <c r="I74">
        <v>3312.9601400382635</v>
      </c>
      <c r="J74">
        <v>337</v>
      </c>
      <c r="K74">
        <f t="shared" si="9"/>
        <v>30.184486312245529</v>
      </c>
      <c r="L74">
        <f t="shared" si="10"/>
        <v>3.0184486312245528E-9</v>
      </c>
      <c r="M74">
        <f t="shared" si="11"/>
        <v>57.740912265437849</v>
      </c>
      <c r="N74">
        <f t="shared" si="12"/>
        <v>2.1566172439304827</v>
      </c>
      <c r="O74" s="2">
        <f t="shared" si="13"/>
        <v>3.5060789954854753E-4</v>
      </c>
      <c r="P74" s="2">
        <f t="shared" si="14"/>
        <v>0.27598637033899509</v>
      </c>
      <c r="Q74">
        <f t="shared" si="15"/>
        <v>0.24371950331303827</v>
      </c>
    </row>
    <row r="75" spans="1:17" x14ac:dyDescent="0.25">
      <c r="A75" s="1">
        <v>44658.333506944444</v>
      </c>
      <c r="B75">
        <v>506892.19307246804</v>
      </c>
      <c r="C75">
        <v>507262.13930799812</v>
      </c>
      <c r="D75">
        <v>157.65288199043061</v>
      </c>
      <c r="E75">
        <v>1520.6765792173974</v>
      </c>
      <c r="F75">
        <v>1.646879957347985E+17</v>
      </c>
      <c r="G75">
        <v>2</v>
      </c>
      <c r="H75">
        <v>3.0967145323875742E-4</v>
      </c>
      <c r="I75">
        <v>3229.2288796442522</v>
      </c>
      <c r="J75">
        <v>338</v>
      </c>
      <c r="K75">
        <f t="shared" si="9"/>
        <v>30.967145323875741</v>
      </c>
      <c r="L75">
        <f t="shared" si="10"/>
        <v>3.0967145323875744E-9</v>
      </c>
      <c r="M75">
        <f t="shared" si="11"/>
        <v>57.006575088242919</v>
      </c>
      <c r="N75">
        <f t="shared" si="12"/>
        <v>0.47295864597129184</v>
      </c>
      <c r="O75" s="2">
        <f t="shared" si="13"/>
        <v>3.4614893959874365E-4</v>
      </c>
      <c r="P75" s="2">
        <f t="shared" si="14"/>
        <v>5.9755658828612397E-2</v>
      </c>
      <c r="Q75">
        <f t="shared" si="15"/>
        <v>5.8038371013293059E-2</v>
      </c>
    </row>
    <row r="76" spans="1:17" x14ac:dyDescent="0.25">
      <c r="A76" s="1">
        <v>44659.333437499998</v>
      </c>
      <c r="B76">
        <v>334872.94848563522</v>
      </c>
      <c r="C76">
        <v>334145.21311700344</v>
      </c>
      <c r="D76">
        <v>103.25025370422009</v>
      </c>
      <c r="E76">
        <v>1004.618845456891</v>
      </c>
      <c r="F76">
        <v>1.646879957347985E+17</v>
      </c>
      <c r="G76">
        <v>2</v>
      </c>
      <c r="H76">
        <v>3.052138358668887E-4</v>
      </c>
      <c r="I76">
        <v>3276.3914426085348</v>
      </c>
      <c r="J76">
        <v>339</v>
      </c>
      <c r="K76">
        <f t="shared" si="9"/>
        <v>30.52138358668887</v>
      </c>
      <c r="L76">
        <f t="shared" si="10"/>
        <v>3.0521383586688872E-9</v>
      </c>
      <c r="M76">
        <f t="shared" si="11"/>
        <v>57.421353775058996</v>
      </c>
      <c r="N76">
        <f t="shared" si="12"/>
        <v>0.30975076111266026</v>
      </c>
      <c r="O76" s="2">
        <f t="shared" si="13"/>
        <v>3.4866751227895291E-4</v>
      </c>
      <c r="P76" s="2">
        <f t="shared" si="14"/>
        <v>3.9420009965837166E-2</v>
      </c>
      <c r="Q76">
        <f t="shared" si="15"/>
        <v>3.8662874865274699E-2</v>
      </c>
    </row>
    <row r="77" spans="1:17" x14ac:dyDescent="0.25">
      <c r="A77" s="1">
        <v>44660.333414351851</v>
      </c>
      <c r="B77">
        <v>351191.12164124846</v>
      </c>
      <c r="C77">
        <v>351231.97429199517</v>
      </c>
      <c r="D77">
        <v>108.11173651706486</v>
      </c>
      <c r="E77">
        <v>1053.5733649237663</v>
      </c>
      <c r="F77">
        <v>1.646879957347985E+17</v>
      </c>
      <c r="G77">
        <v>2</v>
      </c>
      <c r="H77">
        <v>3.1091255755143367E-4</v>
      </c>
      <c r="I77">
        <v>3216.3384067707589</v>
      </c>
      <c r="J77">
        <v>340</v>
      </c>
      <c r="K77">
        <f t="shared" si="9"/>
        <v>31.091255755143369</v>
      </c>
      <c r="L77">
        <f t="shared" si="10"/>
        <v>3.1091255755143366E-9</v>
      </c>
      <c r="M77">
        <f t="shared" si="11"/>
        <v>56.892681564134456</v>
      </c>
      <c r="N77">
        <f t="shared" si="12"/>
        <v>0.32433520955119455</v>
      </c>
      <c r="O77" s="2">
        <f t="shared" si="13"/>
        <v>3.4545736809955639E-4</v>
      </c>
      <c r="P77" s="2">
        <f t="shared" si="14"/>
        <v>4.0896055573854423E-2</v>
      </c>
      <c r="Q77">
        <f t="shared" si="15"/>
        <v>4.0081934093979518E-2</v>
      </c>
    </row>
    <row r="78" spans="1:17" x14ac:dyDescent="0.25">
      <c r="A78" s="1">
        <v>44661.333344907405</v>
      </c>
      <c r="B78">
        <v>67947.717726528645</v>
      </c>
      <c r="C78">
        <v>68011.481633998454</v>
      </c>
      <c r="D78">
        <v>20.960679506541055</v>
      </c>
      <c r="E78">
        <v>203.84315317956498</v>
      </c>
      <c r="F78">
        <v>1.646879957347985E+17</v>
      </c>
      <c r="G78">
        <v>2</v>
      </c>
      <c r="H78">
        <v>3.0705053162630213E-4</v>
      </c>
      <c r="I78">
        <v>3256.7929281980746</v>
      </c>
      <c r="J78">
        <v>341</v>
      </c>
      <c r="K78">
        <f t="shared" si="9"/>
        <v>30.705053162630211</v>
      </c>
      <c r="L78">
        <f t="shared" si="10"/>
        <v>3.0705053162630211E-9</v>
      </c>
      <c r="M78">
        <f t="shared" si="11"/>
        <v>57.249356438453788</v>
      </c>
      <c r="N78">
        <f t="shared" si="12"/>
        <v>6.2882038519623165E-2</v>
      </c>
      <c r="O78" s="2">
        <f t="shared" si="13"/>
        <v>3.4762312931808318E-4</v>
      </c>
      <c r="P78" s="2">
        <f t="shared" si="14"/>
        <v>7.9786266179534531E-3</v>
      </c>
      <c r="Q78">
        <f t="shared" si="15"/>
        <v>7.9469656723437331E-3</v>
      </c>
    </row>
    <row r="79" spans="1:17" x14ac:dyDescent="0.25">
      <c r="A79" s="1">
        <v>44662.333391203705</v>
      </c>
      <c r="B79">
        <v>402353.86777571589</v>
      </c>
      <c r="C79">
        <v>402936.49946400523</v>
      </c>
      <c r="D79">
        <v>126.97870994073674</v>
      </c>
      <c r="E79">
        <v>1207.0616033271654</v>
      </c>
      <c r="F79">
        <v>1.646879957347985E+17</v>
      </c>
      <c r="G79">
        <v>2</v>
      </c>
      <c r="H79">
        <v>3.2734319037242053E-4</v>
      </c>
      <c r="I79">
        <v>3054.8978240918755</v>
      </c>
      <c r="J79">
        <v>342</v>
      </c>
      <c r="K79">
        <f t="shared" si="9"/>
        <v>32.734319037242052</v>
      </c>
      <c r="L79">
        <f t="shared" si="10"/>
        <v>3.2734319037242055E-9</v>
      </c>
      <c r="M79">
        <f t="shared" si="11"/>
        <v>55.446467238803564</v>
      </c>
      <c r="N79">
        <f t="shared" si="12"/>
        <v>0.3809361298222102</v>
      </c>
      <c r="O79" s="2">
        <f t="shared" si="13"/>
        <v>3.366758274725166E-4</v>
      </c>
      <c r="P79" s="2">
        <f t="shared" si="14"/>
        <v>4.6811975153555778E-2</v>
      </c>
      <c r="Q79">
        <f t="shared" si="15"/>
        <v>4.5749331380636173E-2</v>
      </c>
    </row>
    <row r="80" spans="1:17" x14ac:dyDescent="0.25">
      <c r="A80" s="1">
        <v>44663.333634259259</v>
      </c>
      <c r="B80">
        <v>397033.11695405096</v>
      </c>
      <c r="C80">
        <v>398125.3541200012</v>
      </c>
      <c r="D80">
        <v>132.41918125650773</v>
      </c>
      <c r="E80">
        <v>1191.0993508621468</v>
      </c>
      <c r="F80">
        <v>1.646879957347985E+17</v>
      </c>
      <c r="G80">
        <v>2</v>
      </c>
      <c r="H80">
        <v>3.2993931295528708E-4</v>
      </c>
      <c r="I80">
        <v>3030.8604059423456</v>
      </c>
      <c r="J80">
        <v>343</v>
      </c>
      <c r="K80">
        <f t="shared" si="9"/>
        <v>32.993931295528711</v>
      </c>
      <c r="L80">
        <f t="shared" si="10"/>
        <v>3.2993931295528706E-9</v>
      </c>
      <c r="M80">
        <f t="shared" si="11"/>
        <v>55.227896582779728</v>
      </c>
      <c r="N80">
        <f t="shared" si="12"/>
        <v>0.39725754376952321</v>
      </c>
      <c r="O80" s="2">
        <f t="shared" si="13"/>
        <v>3.3534864721843294E-4</v>
      </c>
      <c r="P80" s="2">
        <f t="shared" si="14"/>
        <v>4.8625219663655864E-2</v>
      </c>
      <c r="Q80">
        <f t="shared" si="15"/>
        <v>4.7479991662097598E-2</v>
      </c>
    </row>
    <row r="81" spans="1:17" x14ac:dyDescent="0.25">
      <c r="A81" s="1">
        <v>44664.333333333336</v>
      </c>
      <c r="B81">
        <v>311948.06751593202</v>
      </c>
      <c r="C81">
        <v>311810.01403799653</v>
      </c>
      <c r="D81">
        <v>102.93805522159528</v>
      </c>
      <c r="E81">
        <v>935.8442025477998</v>
      </c>
      <c r="F81">
        <v>1.646879957347985E+17</v>
      </c>
      <c r="G81">
        <v>2</v>
      </c>
      <c r="H81">
        <v>3.3007130847814779E-4</v>
      </c>
      <c r="I81">
        <v>3029.6483648054023</v>
      </c>
      <c r="J81">
        <v>344</v>
      </c>
      <c r="K81">
        <f t="shared" si="9"/>
        <v>33.007130847814778</v>
      </c>
      <c r="L81">
        <f t="shared" si="10"/>
        <v>3.3007130847814778E-9</v>
      </c>
      <c r="M81">
        <f t="shared" si="11"/>
        <v>55.216852660079184</v>
      </c>
      <c r="N81">
        <f t="shared" si="12"/>
        <v>0.30881416566478581</v>
      </c>
      <c r="O81" s="2">
        <f t="shared" si="13"/>
        <v>3.3528158754810743E-4</v>
      </c>
      <c r="P81" s="2">
        <f t="shared" si="14"/>
        <v>3.7791991858323278E-2</v>
      </c>
      <c r="Q81">
        <f t="shared" si="15"/>
        <v>3.7095371462222936E-2</v>
      </c>
    </row>
    <row r="82" spans="1:17" x14ac:dyDescent="0.25">
      <c r="A82" s="1">
        <v>44665.333680555559</v>
      </c>
      <c r="B82">
        <v>335266.96854382753</v>
      </c>
      <c r="C82">
        <v>334949.21746499836</v>
      </c>
      <c r="D82">
        <v>108.619953991285</v>
      </c>
      <c r="E82">
        <v>1005.8009056314768</v>
      </c>
      <c r="F82">
        <v>1.646879957347985E+17</v>
      </c>
      <c r="G82">
        <v>2</v>
      </c>
      <c r="H82">
        <v>3.2441046535035311E-4</v>
      </c>
      <c r="I82">
        <v>3082.5146128378792</v>
      </c>
      <c r="J82">
        <v>345</v>
      </c>
      <c r="K82">
        <f t="shared" si="9"/>
        <v>32.441046535035312</v>
      </c>
      <c r="L82">
        <f t="shared" si="10"/>
        <v>3.2441046535035312E-9</v>
      </c>
      <c r="M82">
        <f t="shared" si="11"/>
        <v>55.696526049015986</v>
      </c>
      <c r="N82">
        <f t="shared" si="12"/>
        <v>0.32585986197385503</v>
      </c>
      <c r="O82" s="2">
        <f t="shared" si="13"/>
        <v>3.3819420656928511E-4</v>
      </c>
      <c r="P82" s="2">
        <f t="shared" si="14"/>
        <v>4.0224429877654004E-2</v>
      </c>
      <c r="Q82">
        <f t="shared" si="15"/>
        <v>3.9436487831533605E-2</v>
      </c>
    </row>
    <row r="83" spans="1:17" x14ac:dyDescent="0.25">
      <c r="A83" s="1">
        <v>44666.333391203705</v>
      </c>
      <c r="B83">
        <v>239563.66413355619</v>
      </c>
      <c r="C83">
        <v>239438.4241290018</v>
      </c>
      <c r="D83">
        <v>78.97745821287026</v>
      </c>
      <c r="E83">
        <v>718.69099240069045</v>
      </c>
      <c r="F83">
        <v>1.646879957347985E+17</v>
      </c>
      <c r="G83">
        <v>2</v>
      </c>
      <c r="H83">
        <v>3.3050065872921393E-4</v>
      </c>
      <c r="I83">
        <v>3025.7125775332293</v>
      </c>
      <c r="J83">
        <v>346</v>
      </c>
      <c r="K83">
        <f t="shared" si="9"/>
        <v>33.050065872921394</v>
      </c>
      <c r="L83">
        <f t="shared" si="10"/>
        <v>3.3050065872921393E-9</v>
      </c>
      <c r="M83">
        <f t="shared" si="11"/>
        <v>55.180975161145469</v>
      </c>
      <c r="N83">
        <f t="shared" si="12"/>
        <v>0.23693237463861078</v>
      </c>
      <c r="O83" s="2">
        <f t="shared" si="13"/>
        <v>3.3506373621793831E-4</v>
      </c>
      <c r="P83" s="2">
        <f t="shared" si="14"/>
        <v>2.8976418037251445E-2</v>
      </c>
      <c r="Q83">
        <f t="shared" si="15"/>
        <v>2.8564539229977752E-2</v>
      </c>
    </row>
    <row r="84" spans="1:17" x14ac:dyDescent="0.25">
      <c r="A84" s="1">
        <v>44667.33357638889</v>
      </c>
      <c r="B84">
        <v>515399.99448733777</v>
      </c>
      <c r="C84">
        <v>517859.63472399861</v>
      </c>
      <c r="D84">
        <v>170.35460580945073</v>
      </c>
      <c r="E84">
        <v>1546.1999834619928</v>
      </c>
      <c r="F84">
        <v>1.646879957347985E+17</v>
      </c>
      <c r="G84">
        <v>2</v>
      </c>
      <c r="H84">
        <v>3.3030242772061092E-4</v>
      </c>
      <c r="I84">
        <v>3027.5284589971538</v>
      </c>
      <c r="J84">
        <v>347</v>
      </c>
      <c r="K84">
        <f t="shared" si="9"/>
        <v>33.030242772061094</v>
      </c>
      <c r="L84">
        <f t="shared" si="10"/>
        <v>3.303024277206109E-9</v>
      </c>
      <c r="M84">
        <f t="shared" si="11"/>
        <v>55.197531109178243</v>
      </c>
      <c r="N84">
        <f t="shared" si="12"/>
        <v>0.51106381742835216</v>
      </c>
      <c r="O84" s="2">
        <f t="shared" si="13"/>
        <v>3.3516426539105082E-4</v>
      </c>
      <c r="P84" s="2">
        <f t="shared" si="14"/>
        <v>6.252097006175672E-2</v>
      </c>
      <c r="Q84">
        <f t="shared" si="15"/>
        <v>6.0644358150384436E-2</v>
      </c>
    </row>
    <row r="85" spans="1:17" x14ac:dyDescent="0.25">
      <c r="A85" s="1">
        <v>44668.333449074074</v>
      </c>
      <c r="B85">
        <v>193976.71069933474</v>
      </c>
      <c r="C85">
        <v>193741.06852199882</v>
      </c>
      <c r="D85">
        <v>63.582193366059073</v>
      </c>
      <c r="E85">
        <v>581.9301320980303</v>
      </c>
      <c r="F85">
        <v>1.646879957347985E+17</v>
      </c>
      <c r="G85">
        <v>2</v>
      </c>
      <c r="H85">
        <v>3.2928012669411927E-4</v>
      </c>
      <c r="I85">
        <v>3036.9278888456506</v>
      </c>
      <c r="J85">
        <v>348</v>
      </c>
      <c r="K85">
        <f t="shared" si="9"/>
        <v>32.928012669411928</v>
      </c>
      <c r="L85">
        <f t="shared" si="10"/>
        <v>3.2928012669411929E-9</v>
      </c>
      <c r="M85">
        <f t="shared" si="11"/>
        <v>55.283149338544476</v>
      </c>
      <c r="N85">
        <f t="shared" si="12"/>
        <v>0.19074658009817722</v>
      </c>
      <c r="O85" s="2">
        <f t="shared" si="13"/>
        <v>3.3568414681279152E-4</v>
      </c>
      <c r="P85" s="2">
        <f t="shared" si="14"/>
        <v>2.3371170094165762E-2</v>
      </c>
      <c r="Q85">
        <f t="shared" si="15"/>
        <v>2.3102246280860019E-2</v>
      </c>
    </row>
    <row r="86" spans="1:17" x14ac:dyDescent="0.25">
      <c r="A86" s="1">
        <v>44669.333819444444</v>
      </c>
      <c r="B86">
        <v>408837.14998426288</v>
      </c>
      <c r="C86">
        <v>408617.11285699904</v>
      </c>
      <c r="D86">
        <v>136.53613315043185</v>
      </c>
      <c r="E86">
        <v>1226.5114499527554</v>
      </c>
      <c r="F86">
        <v>1.646879957347985E+17</v>
      </c>
      <c r="G86">
        <v>2</v>
      </c>
      <c r="H86">
        <v>3.4426324525503848E-4</v>
      </c>
      <c r="I86">
        <v>2904.7538875640821</v>
      </c>
      <c r="J86">
        <v>349</v>
      </c>
      <c r="K86">
        <f t="shared" ref="K86:K148" si="16">(1+$U$16)*H86</f>
        <v>34.426324525503851</v>
      </c>
      <c r="L86">
        <f t="shared" ref="L86:L148" si="17">H86/(1+$U$16)</f>
        <v>3.4426324525503849E-9</v>
      </c>
      <c r="M86">
        <f t="shared" ref="M86:M148" si="18">1/(SQRT(H86)-SQRT(L86))</f>
        <v>54.066742788131904</v>
      </c>
      <c r="N86">
        <f t="shared" ref="N86:N148" si="19">D86*0.003</f>
        <v>0.40960839945129557</v>
      </c>
      <c r="O86" s="2">
        <f t="shared" ref="O86:O148" si="20">M86/(F86/POWER(10,$U$21))</f>
        <v>3.2829801921444859E-4</v>
      </c>
      <c r="P86" s="2">
        <f t="shared" ref="P86:P148" si="21">O86*N86*365</f>
        <v>4.9082873560613249E-2</v>
      </c>
      <c r="Q86">
        <f t="shared" ref="Q86:Q148" si="22">LN(1+P86)</f>
        <v>4.7916328734635687E-2</v>
      </c>
    </row>
    <row r="87" spans="1:17" x14ac:dyDescent="0.25">
      <c r="A87" s="1">
        <v>44670.333379629628</v>
      </c>
      <c r="B87">
        <v>357233.06179778278</v>
      </c>
      <c r="C87">
        <v>356055.11832900345</v>
      </c>
      <c r="D87">
        <v>119.55149546556277</v>
      </c>
      <c r="E87">
        <v>1071.6991853933432</v>
      </c>
      <c r="F87">
        <v>1.646879957347985E+17</v>
      </c>
      <c r="G87">
        <v>2</v>
      </c>
      <c r="H87">
        <v>3.2829381583474325E-4</v>
      </c>
      <c r="I87">
        <v>3046.0518954867571</v>
      </c>
      <c r="J87">
        <v>350</v>
      </c>
      <c r="K87">
        <f t="shared" si="16"/>
        <v>32.829381583474323</v>
      </c>
      <c r="L87">
        <f t="shared" si="17"/>
        <v>3.2829381583474324E-9</v>
      </c>
      <c r="M87">
        <f t="shared" si="18"/>
        <v>55.366132135020472</v>
      </c>
      <c r="N87">
        <f t="shared" si="19"/>
        <v>0.35865448639668829</v>
      </c>
      <c r="O87" s="2">
        <f t="shared" si="20"/>
        <v>3.361880256541469E-4</v>
      </c>
      <c r="P87" s="2">
        <f t="shared" si="21"/>
        <v>4.4010000440902225E-2</v>
      </c>
      <c r="Q87">
        <f t="shared" si="22"/>
        <v>4.3069068380950495E-2</v>
      </c>
    </row>
    <row r="88" spans="1:17" x14ac:dyDescent="0.25">
      <c r="A88" s="1">
        <v>44671.333495370367</v>
      </c>
      <c r="B88">
        <v>450334.01307240874</v>
      </c>
      <c r="C88">
        <v>449044.15275599808</v>
      </c>
      <c r="D88">
        <v>145.30153468712524</v>
      </c>
      <c r="E88">
        <v>1351.0020392172446</v>
      </c>
      <c r="F88">
        <v>1.646879957347985E+17</v>
      </c>
      <c r="G88">
        <v>2</v>
      </c>
      <c r="H88">
        <v>3.1900616298518886E-4</v>
      </c>
      <c r="I88">
        <v>3134.7356760829384</v>
      </c>
      <c r="J88">
        <v>351</v>
      </c>
      <c r="K88">
        <f t="shared" si="16"/>
        <v>31.900616298518887</v>
      </c>
      <c r="L88">
        <f t="shared" si="17"/>
        <v>3.1900616298518888E-9</v>
      </c>
      <c r="M88">
        <f t="shared" si="18"/>
        <v>56.166323766477376</v>
      </c>
      <c r="N88">
        <f t="shared" si="19"/>
        <v>0.43590460406137571</v>
      </c>
      <c r="O88" s="2">
        <f t="shared" si="20"/>
        <v>3.4104685964436363E-4</v>
      </c>
      <c r="P88" s="2">
        <f t="shared" si="21"/>
        <v>5.4262322156672947E-2</v>
      </c>
      <c r="Q88">
        <f t="shared" si="22"/>
        <v>5.2841301654645845E-2</v>
      </c>
    </row>
    <row r="89" spans="1:17" x14ac:dyDescent="0.25">
      <c r="A89" s="1">
        <v>44672.333425925928</v>
      </c>
      <c r="B89">
        <v>450860.84302847832</v>
      </c>
      <c r="C89">
        <v>449596.59217099845</v>
      </c>
      <c r="D89">
        <v>145.68309164416496</v>
      </c>
      <c r="E89">
        <v>1352.5825290854264</v>
      </c>
      <c r="F89">
        <v>1.646879957347985E+17</v>
      </c>
      <c r="G89">
        <v>2</v>
      </c>
      <c r="H89">
        <v>3.1875107285874913E-4</v>
      </c>
      <c r="I89">
        <v>3137.2443425253614</v>
      </c>
      <c r="J89">
        <v>352</v>
      </c>
      <c r="K89">
        <f t="shared" si="16"/>
        <v>31.875107285874911</v>
      </c>
      <c r="L89">
        <f t="shared" si="17"/>
        <v>3.1875107285874911E-9</v>
      </c>
      <c r="M89">
        <f t="shared" si="18"/>
        <v>56.188793666188069</v>
      </c>
      <c r="N89">
        <f t="shared" si="19"/>
        <v>0.4370492749324949</v>
      </c>
      <c r="O89" s="2">
        <f t="shared" si="20"/>
        <v>3.411832988523972E-4</v>
      </c>
      <c r="P89" s="2">
        <f t="shared" si="21"/>
        <v>5.442657838461868E-2</v>
      </c>
      <c r="Q89">
        <f t="shared" si="22"/>
        <v>5.2997091565842182E-2</v>
      </c>
    </row>
    <row r="90" spans="1:17" x14ac:dyDescent="0.25">
      <c r="A90" s="1">
        <v>44673.333414351851</v>
      </c>
      <c r="B90">
        <v>513864.6873241663</v>
      </c>
      <c r="C90">
        <v>513557.81226599962</v>
      </c>
      <c r="D90">
        <v>168.55628681235976</v>
      </c>
      <c r="E90">
        <v>1541.5940619725152</v>
      </c>
      <c r="F90">
        <v>1.646879957347985E+17</v>
      </c>
      <c r="G90">
        <v>2</v>
      </c>
      <c r="H90">
        <v>3.3262253962936455E-4</v>
      </c>
      <c r="I90">
        <v>3006.4108136336235</v>
      </c>
      <c r="J90">
        <v>353</v>
      </c>
      <c r="K90">
        <f t="shared" si="16"/>
        <v>33.262253962936455</v>
      </c>
      <c r="L90">
        <f t="shared" si="17"/>
        <v>3.3262253962936454E-9</v>
      </c>
      <c r="M90">
        <f t="shared" si="18"/>
        <v>55.004687066264445</v>
      </c>
      <c r="N90">
        <f t="shared" si="19"/>
        <v>0.50566886043707926</v>
      </c>
      <c r="O90" s="2">
        <f t="shared" si="20"/>
        <v>3.3399329939530004E-4</v>
      </c>
      <c r="P90" s="2">
        <f t="shared" si="21"/>
        <v>6.164485405107719E-2</v>
      </c>
      <c r="Q90">
        <f t="shared" si="22"/>
        <v>5.9819454510174411E-2</v>
      </c>
    </row>
    <row r="91" spans="1:17" x14ac:dyDescent="0.25">
      <c r="A91" s="1">
        <v>44674.333865740744</v>
      </c>
      <c r="B91">
        <v>1099316.0885354057</v>
      </c>
      <c r="C91">
        <v>1115769.9862000048</v>
      </c>
      <c r="D91">
        <v>370.41795509714575</v>
      </c>
      <c r="E91">
        <v>3297.9482656062173</v>
      </c>
      <c r="F91">
        <v>1.646879957347985E+17</v>
      </c>
      <c r="G91">
        <v>2</v>
      </c>
      <c r="H91">
        <v>3.3937555549594313E-4</v>
      </c>
      <c r="I91">
        <v>2946.5881788058064</v>
      </c>
      <c r="J91">
        <v>354</v>
      </c>
      <c r="K91">
        <f t="shared" si="16"/>
        <v>33.937555549594315</v>
      </c>
      <c r="L91">
        <f t="shared" si="17"/>
        <v>3.3937555549594312E-9</v>
      </c>
      <c r="M91">
        <f t="shared" si="18"/>
        <v>54.454685846035169</v>
      </c>
      <c r="N91">
        <f t="shared" si="19"/>
        <v>1.1112538652914372</v>
      </c>
      <c r="O91" s="2">
        <f t="shared" si="20"/>
        <v>3.3065364359479495E-4</v>
      </c>
      <c r="P91" s="2">
        <f t="shared" si="21"/>
        <v>0.1341156509238558</v>
      </c>
      <c r="Q91">
        <f t="shared" si="22"/>
        <v>0.1258531850471214</v>
      </c>
    </row>
    <row r="92" spans="1:17" x14ac:dyDescent="0.25">
      <c r="A92" s="1">
        <v>44675.333368055559</v>
      </c>
      <c r="B92">
        <v>174511.0622439757</v>
      </c>
      <c r="C92">
        <v>174497.45289299637</v>
      </c>
      <c r="D92">
        <v>59.157801721532451</v>
      </c>
      <c r="E92">
        <v>523.53318673191825</v>
      </c>
      <c r="F92">
        <v>1.646879957347985E+17</v>
      </c>
      <c r="G92">
        <v>2</v>
      </c>
      <c r="H92">
        <v>3.390363665223644E-4</v>
      </c>
      <c r="I92">
        <v>2949.5360933029447</v>
      </c>
      <c r="J92">
        <v>355</v>
      </c>
      <c r="K92">
        <f t="shared" si="16"/>
        <v>33.903636652236443</v>
      </c>
      <c r="L92">
        <f t="shared" si="17"/>
        <v>3.3903636652236439E-9</v>
      </c>
      <c r="M92">
        <f t="shared" si="18"/>
        <v>54.481918634971336</v>
      </c>
      <c r="N92">
        <f t="shared" si="19"/>
        <v>0.17747340516459736</v>
      </c>
      <c r="O92" s="2">
        <f t="shared" si="20"/>
        <v>3.3081900348526334E-4</v>
      </c>
      <c r="P92" s="2">
        <f t="shared" si="21"/>
        <v>2.1429724890216297E-2</v>
      </c>
      <c r="Q92">
        <f t="shared" si="22"/>
        <v>2.1203336913114108E-2</v>
      </c>
    </row>
    <row r="93" spans="1:17" x14ac:dyDescent="0.25">
      <c r="A93" s="1">
        <v>44676.333333333336</v>
      </c>
      <c r="B93">
        <v>584288.86731296033</v>
      </c>
      <c r="C93">
        <v>584910.64203400165</v>
      </c>
      <c r="D93">
        <v>201.51411323083084</v>
      </c>
      <c r="E93">
        <v>1752.8666019388766</v>
      </c>
      <c r="F93">
        <v>1.646879957347985E+17</v>
      </c>
      <c r="G93">
        <v>2</v>
      </c>
      <c r="H93">
        <v>3.5125259468420707E-4</v>
      </c>
      <c r="I93">
        <v>2846.9540585146365</v>
      </c>
      <c r="J93">
        <v>356</v>
      </c>
      <c r="K93">
        <f t="shared" si="16"/>
        <v>35.125259468420708</v>
      </c>
      <c r="L93">
        <f t="shared" si="17"/>
        <v>3.5125259468420709E-9</v>
      </c>
      <c r="M93">
        <f t="shared" si="18"/>
        <v>53.526120232249163</v>
      </c>
      <c r="N93">
        <f t="shared" si="19"/>
        <v>0.60454233969249249</v>
      </c>
      <c r="O93" s="2">
        <f t="shared" si="20"/>
        <v>3.250153114890275E-4</v>
      </c>
      <c r="P93" s="2">
        <f t="shared" si="21"/>
        <v>7.1717213647863237E-2</v>
      </c>
      <c r="Q93">
        <f t="shared" si="22"/>
        <v>6.9262234610120155E-2</v>
      </c>
    </row>
    <row r="94" spans="1:17" x14ac:dyDescent="0.25">
      <c r="A94" s="1">
        <v>44677.333807870367</v>
      </c>
      <c r="B94">
        <v>388783.94770696759</v>
      </c>
      <c r="C94">
        <v>388278.30894400179</v>
      </c>
      <c r="D94">
        <v>131.9359504566637</v>
      </c>
      <c r="E94">
        <v>1166.3518431209086</v>
      </c>
      <c r="F94">
        <v>1.646879957347985E+17</v>
      </c>
      <c r="G94">
        <v>2</v>
      </c>
      <c r="H94">
        <v>3.3308851399246452E-4</v>
      </c>
      <c r="I94">
        <v>3002.2049935430168</v>
      </c>
      <c r="J94">
        <v>357</v>
      </c>
      <c r="K94">
        <f t="shared" si="16"/>
        <v>33.30885139924645</v>
      </c>
      <c r="L94">
        <f t="shared" si="17"/>
        <v>3.3308851399246452E-9</v>
      </c>
      <c r="M94">
        <f t="shared" si="18"/>
        <v>54.966199182011195</v>
      </c>
      <c r="N94">
        <f t="shared" si="19"/>
        <v>0.39580785136999114</v>
      </c>
      <c r="O94" s="2">
        <f t="shared" si="20"/>
        <v>3.3375959757579867E-4</v>
      </c>
      <c r="P94" s="2">
        <f t="shared" si="21"/>
        <v>4.8218204254565265E-2</v>
      </c>
      <c r="Q94">
        <f t="shared" si="22"/>
        <v>4.7091774392691951E-2</v>
      </c>
    </row>
    <row r="95" spans="1:17" x14ac:dyDescent="0.25">
      <c r="A95" s="1">
        <v>44678.333344907405</v>
      </c>
      <c r="B95">
        <v>641101.35352928191</v>
      </c>
      <c r="C95">
        <v>641605.48493500054</v>
      </c>
      <c r="D95">
        <v>223.7356524501738</v>
      </c>
      <c r="E95">
        <v>1923.3040605878632</v>
      </c>
      <c r="F95">
        <v>1.646879957347985E+17</v>
      </c>
      <c r="G95">
        <v>2</v>
      </c>
      <c r="H95">
        <v>3.4737544273746933E-4</v>
      </c>
      <c r="I95">
        <v>2878.7296883152299</v>
      </c>
      <c r="J95">
        <v>358</v>
      </c>
      <c r="K95">
        <f t="shared" si="16"/>
        <v>34.737544273746934</v>
      </c>
      <c r="L95">
        <f t="shared" si="17"/>
        <v>3.4737544273746934E-9</v>
      </c>
      <c r="M95">
        <f t="shared" si="18"/>
        <v>53.824001160731946</v>
      </c>
      <c r="N95">
        <f t="shared" si="19"/>
        <v>0.67120695735052138</v>
      </c>
      <c r="O95" s="2">
        <f t="shared" si="20"/>
        <v>3.2682407069551192E-4</v>
      </c>
      <c r="P95" s="2">
        <f t="shared" si="21"/>
        <v>8.0068805379362881E-2</v>
      </c>
      <c r="Q95">
        <f t="shared" si="22"/>
        <v>7.7024747791411441E-2</v>
      </c>
    </row>
    <row r="96" spans="1:17" x14ac:dyDescent="0.25">
      <c r="A96" s="1">
        <v>44679.333344907405</v>
      </c>
      <c r="B96">
        <v>378266.23038135469</v>
      </c>
      <c r="C96">
        <v>378455.35126099735</v>
      </c>
      <c r="D96">
        <v>131.23714907374961</v>
      </c>
      <c r="E96">
        <v>1134.7986911440385</v>
      </c>
      <c r="F96">
        <v>1.646879957347985E+17</v>
      </c>
      <c r="G96">
        <v>2</v>
      </c>
      <c r="H96">
        <v>3.4097429476556186E-4</v>
      </c>
      <c r="I96">
        <v>2932.7723976599282</v>
      </c>
      <c r="J96">
        <v>359</v>
      </c>
      <c r="K96">
        <f t="shared" si="16"/>
        <v>34.097429476556187</v>
      </c>
      <c r="L96">
        <f t="shared" si="17"/>
        <v>3.4097429476556187E-9</v>
      </c>
      <c r="M96">
        <f t="shared" si="18"/>
        <v>54.326873962564896</v>
      </c>
      <c r="N96">
        <f t="shared" si="19"/>
        <v>0.39371144722124884</v>
      </c>
      <c r="O96" s="2">
        <f t="shared" si="20"/>
        <v>3.2987755859297072E-4</v>
      </c>
      <c r="P96" s="2">
        <f t="shared" si="21"/>
        <v>4.7404948414799544E-2</v>
      </c>
      <c r="Q96">
        <f t="shared" si="22"/>
        <v>4.6315627326788823E-2</v>
      </c>
    </row>
    <row r="97" spans="1:17" x14ac:dyDescent="0.25">
      <c r="A97" s="1">
        <v>44680.333402777775</v>
      </c>
      <c r="B97">
        <v>606365.85039166361</v>
      </c>
      <c r="C97">
        <v>606756.15181799978</v>
      </c>
      <c r="D97">
        <v>208.09826463704303</v>
      </c>
      <c r="E97">
        <v>1819.0975511750148</v>
      </c>
      <c r="F97">
        <v>1.646879957347985E+17</v>
      </c>
      <c r="G97">
        <v>2</v>
      </c>
      <c r="H97">
        <v>3.5097171901725513E-4</v>
      </c>
      <c r="I97">
        <v>2849.2324190680338</v>
      </c>
      <c r="J97">
        <v>360</v>
      </c>
      <c r="K97">
        <f t="shared" si="16"/>
        <v>35.09717190172551</v>
      </c>
      <c r="L97">
        <f t="shared" si="17"/>
        <v>3.5097171901725514E-9</v>
      </c>
      <c r="M97">
        <f t="shared" si="18"/>
        <v>53.547533892123369</v>
      </c>
      <c r="N97">
        <f t="shared" si="19"/>
        <v>0.62429479391112908</v>
      </c>
      <c r="O97" s="2">
        <f t="shared" si="20"/>
        <v>3.251453371158418E-4</v>
      </c>
      <c r="P97" s="2">
        <f t="shared" si="21"/>
        <v>7.4090087547453151E-2</v>
      </c>
      <c r="Q97">
        <f t="shared" si="22"/>
        <v>7.147387296691006E-2</v>
      </c>
    </row>
    <row r="98" spans="1:17" x14ac:dyDescent="0.25">
      <c r="A98" s="1">
        <v>44681.333854166667</v>
      </c>
      <c r="B98">
        <v>307711.07989437133</v>
      </c>
      <c r="C98">
        <v>308074.36752799898</v>
      </c>
      <c r="D98">
        <v>108.92011785579598</v>
      </c>
      <c r="E98">
        <v>923.13323968311306</v>
      </c>
      <c r="F98">
        <v>1.646879957347985E+17</v>
      </c>
      <c r="G98">
        <v>2</v>
      </c>
      <c r="H98">
        <v>3.5181502053558084E-4</v>
      </c>
      <c r="I98">
        <v>2842.4028015565214</v>
      </c>
      <c r="J98">
        <v>361</v>
      </c>
      <c r="K98">
        <f t="shared" si="16"/>
        <v>35.181502053558084</v>
      </c>
      <c r="L98">
        <f t="shared" si="17"/>
        <v>3.5181502053558083E-9</v>
      </c>
      <c r="M98">
        <f t="shared" si="18"/>
        <v>53.483318599045276</v>
      </c>
      <c r="N98">
        <f t="shared" si="19"/>
        <v>0.32676035356738792</v>
      </c>
      <c r="O98" s="2">
        <f t="shared" si="20"/>
        <v>3.2475541620635728E-4</v>
      </c>
      <c r="P98" s="2">
        <f t="shared" si="21"/>
        <v>3.8732776037217434E-2</v>
      </c>
      <c r="Q98">
        <f t="shared" si="22"/>
        <v>3.8001485617765708E-2</v>
      </c>
    </row>
    <row r="99" spans="1:17" x14ac:dyDescent="0.25">
      <c r="A99" s="1">
        <v>44682.333796296298</v>
      </c>
      <c r="B99">
        <v>412955.78567965329</v>
      </c>
      <c r="C99">
        <v>413564.36453200132</v>
      </c>
      <c r="D99">
        <v>148.50735271252779</v>
      </c>
      <c r="E99">
        <v>1238.8673570389219</v>
      </c>
      <c r="F99">
        <v>1.646879957347985E+17</v>
      </c>
      <c r="G99">
        <v>2</v>
      </c>
      <c r="H99">
        <v>3.6137065896556432E-4</v>
      </c>
      <c r="I99">
        <v>2767.2418199710337</v>
      </c>
      <c r="J99">
        <v>362</v>
      </c>
      <c r="K99">
        <f t="shared" si="16"/>
        <v>36.137065896556429</v>
      </c>
      <c r="L99">
        <f t="shared" si="17"/>
        <v>3.6137065896556433E-9</v>
      </c>
      <c r="M99">
        <f t="shared" si="18"/>
        <v>52.771457840589925</v>
      </c>
      <c r="N99">
        <f t="shared" si="19"/>
        <v>0.44552205813758339</v>
      </c>
      <c r="O99" s="2">
        <f t="shared" si="20"/>
        <v>3.2043293504870399E-4</v>
      </c>
      <c r="P99" s="2">
        <f t="shared" si="21"/>
        <v>5.210737836205729E-2</v>
      </c>
      <c r="Q99">
        <f t="shared" si="22"/>
        <v>5.079517979302637E-2</v>
      </c>
    </row>
    <row r="100" spans="1:17" x14ac:dyDescent="0.25">
      <c r="A100" s="1">
        <v>44683.333344907405</v>
      </c>
      <c r="B100">
        <v>398929.10693514347</v>
      </c>
      <c r="C100">
        <v>399301.02627699822</v>
      </c>
      <c r="D100">
        <v>142.05079645959268</v>
      </c>
      <c r="E100">
        <v>1196.7873208054516</v>
      </c>
      <c r="F100">
        <v>1.646879957347985E+17</v>
      </c>
      <c r="G100">
        <v>2</v>
      </c>
      <c r="H100">
        <v>3.5616884875593356E-4</v>
      </c>
      <c r="I100">
        <v>2807.6571083993222</v>
      </c>
      <c r="J100">
        <v>363</v>
      </c>
      <c r="K100">
        <f t="shared" si="16"/>
        <v>35.616884875593357</v>
      </c>
      <c r="L100">
        <f t="shared" si="17"/>
        <v>3.5616884875593358E-9</v>
      </c>
      <c r="M100">
        <f t="shared" si="18"/>
        <v>53.155421900009515</v>
      </c>
      <c r="N100">
        <f t="shared" si="19"/>
        <v>0.42615238937877803</v>
      </c>
      <c r="O100" s="2">
        <f t="shared" si="20"/>
        <v>3.2276439860016949E-4</v>
      </c>
      <c r="P100" s="2">
        <f t="shared" si="21"/>
        <v>5.020458917950129E-2</v>
      </c>
      <c r="Q100">
        <f t="shared" si="22"/>
        <v>4.898499202687269E-2</v>
      </c>
    </row>
    <row r="101" spans="1:17" x14ac:dyDescent="0.25">
      <c r="A101" s="1">
        <v>44684.33388888889</v>
      </c>
      <c r="B101">
        <v>356502.23161525279</v>
      </c>
      <c r="C101">
        <v>356507.94844900072</v>
      </c>
      <c r="D101">
        <v>125.8047187202319</v>
      </c>
      <c r="E101">
        <v>1069.5066948457679</v>
      </c>
      <c r="F101">
        <v>1.646879957347985E+17</v>
      </c>
      <c r="G101">
        <v>2</v>
      </c>
      <c r="H101">
        <v>3.5195576765410352E-4</v>
      </c>
      <c r="I101">
        <v>2841.2661246193411</v>
      </c>
      <c r="J101">
        <v>364</v>
      </c>
      <c r="K101">
        <f t="shared" si="16"/>
        <v>35.195576765410351</v>
      </c>
      <c r="L101">
        <f t="shared" si="17"/>
        <v>3.5195576765410353E-9</v>
      </c>
      <c r="M101">
        <f t="shared" si="18"/>
        <v>53.472623539611121</v>
      </c>
      <c r="N101">
        <f t="shared" si="19"/>
        <v>0.37741415616069574</v>
      </c>
      <c r="O101" s="2">
        <f t="shared" si="20"/>
        <v>3.2469047486447964E-4</v>
      </c>
      <c r="P101" s="2">
        <f t="shared" si="21"/>
        <v>4.4728115278303511E-2</v>
      </c>
      <c r="Q101">
        <f t="shared" si="22"/>
        <v>4.3756674797753733E-2</v>
      </c>
    </row>
    <row r="102" spans="1:17" x14ac:dyDescent="0.25">
      <c r="A102" s="1">
        <v>44685.333495370367</v>
      </c>
      <c r="B102">
        <v>376216.47277814895</v>
      </c>
      <c r="C102">
        <v>377238.22249300033</v>
      </c>
      <c r="D102">
        <v>133.63152633557547</v>
      </c>
      <c r="E102">
        <v>1128.6494183344184</v>
      </c>
      <c r="F102">
        <v>1.646879957347985E+17</v>
      </c>
      <c r="G102">
        <v>2</v>
      </c>
      <c r="H102">
        <v>3.4810566111786502E-4</v>
      </c>
      <c r="I102">
        <v>2872.6910007401752</v>
      </c>
      <c r="J102">
        <v>365</v>
      </c>
      <c r="K102">
        <f t="shared" si="16"/>
        <v>34.8105661117865</v>
      </c>
      <c r="L102">
        <f t="shared" si="17"/>
        <v>3.48105661117865E-9</v>
      </c>
      <c r="M102">
        <f t="shared" si="18"/>
        <v>53.767518442218361</v>
      </c>
      <c r="N102">
        <f t="shared" si="19"/>
        <v>0.40089457900672643</v>
      </c>
      <c r="O102" s="2">
        <f t="shared" si="20"/>
        <v>3.2648110265912544E-4</v>
      </c>
      <c r="P102" s="2">
        <f t="shared" si="21"/>
        <v>4.7772844034526404E-2</v>
      </c>
      <c r="Q102">
        <f t="shared" si="22"/>
        <v>4.6666810529315789E-2</v>
      </c>
    </row>
    <row r="103" spans="1:17" x14ac:dyDescent="0.25">
      <c r="A103" s="1">
        <v>44686.333402777775</v>
      </c>
      <c r="B103">
        <v>339831.50746759772</v>
      </c>
      <c r="C103">
        <v>339480.8871410042</v>
      </c>
      <c r="D103">
        <v>116.4433685312506</v>
      </c>
      <c r="E103">
        <v>1019.4945224028197</v>
      </c>
      <c r="F103">
        <v>1.646879957347985E+17</v>
      </c>
      <c r="G103">
        <v>2</v>
      </c>
      <c r="H103">
        <v>3.4128129441024317E-4</v>
      </c>
      <c r="I103">
        <v>2930.1342217658507</v>
      </c>
      <c r="J103">
        <v>366</v>
      </c>
      <c r="K103">
        <f t="shared" si="16"/>
        <v>34.128129441024321</v>
      </c>
      <c r="L103">
        <f t="shared" si="17"/>
        <v>3.4128129441024318E-9</v>
      </c>
      <c r="M103">
        <f t="shared" si="18"/>
        <v>54.302433590776019</v>
      </c>
      <c r="N103">
        <f t="shared" si="19"/>
        <v>0.34933010559375183</v>
      </c>
      <c r="O103" s="2">
        <f t="shared" si="20"/>
        <v>3.2972915450510848E-4</v>
      </c>
      <c r="P103" s="2">
        <f t="shared" si="21"/>
        <v>4.2042276931621936E-2</v>
      </c>
      <c r="Q103">
        <f t="shared" si="22"/>
        <v>4.1182515379156882E-2</v>
      </c>
    </row>
    <row r="104" spans="1:17" x14ac:dyDescent="0.25">
      <c r="A104" s="1">
        <v>44687.333425925928</v>
      </c>
      <c r="B104">
        <v>636584.79626663774</v>
      </c>
      <c r="C104">
        <v>637526.43440499902</v>
      </c>
      <c r="D104">
        <v>230.12745831714346</v>
      </c>
      <c r="E104">
        <v>1909.7543887998909</v>
      </c>
      <c r="F104">
        <v>1.646879957347985E+17</v>
      </c>
      <c r="G104">
        <v>2</v>
      </c>
      <c r="H104">
        <v>3.7345687752719548E-4</v>
      </c>
      <c r="I104">
        <v>2677.6853237283844</v>
      </c>
      <c r="J104">
        <v>367</v>
      </c>
      <c r="K104">
        <f t="shared" si="16"/>
        <v>37.345687752719549</v>
      </c>
      <c r="L104">
        <f t="shared" si="17"/>
        <v>3.7345687752719549E-9</v>
      </c>
      <c r="M104">
        <f t="shared" si="18"/>
        <v>51.910511106092876</v>
      </c>
      <c r="N104">
        <f t="shared" si="19"/>
        <v>0.6903823749514304</v>
      </c>
      <c r="O104" s="2">
        <f t="shared" si="20"/>
        <v>3.1520519072735436E-4</v>
      </c>
      <c r="P104" s="2">
        <f t="shared" si="21"/>
        <v>7.9428419482549861E-2</v>
      </c>
      <c r="Q104">
        <f t="shared" si="22"/>
        <v>7.6431659818700232E-2</v>
      </c>
    </row>
    <row r="105" spans="1:17" x14ac:dyDescent="0.25">
      <c r="A105" s="1">
        <v>44688.333356481482</v>
      </c>
      <c r="B105">
        <v>487016.53870198876</v>
      </c>
      <c r="C105">
        <v>487579.88705500215</v>
      </c>
      <c r="D105">
        <v>181.55154326604315</v>
      </c>
      <c r="E105">
        <v>1461.049616106</v>
      </c>
      <c r="F105">
        <v>1.646879957347985E+17</v>
      </c>
      <c r="G105">
        <v>2</v>
      </c>
      <c r="H105">
        <v>3.7215212833517343E-4</v>
      </c>
      <c r="I105">
        <v>2687.0731721285883</v>
      </c>
      <c r="J105">
        <v>368</v>
      </c>
      <c r="K105">
        <f t="shared" si="16"/>
        <v>37.215212833517342</v>
      </c>
      <c r="L105">
        <f t="shared" si="17"/>
        <v>3.7215212833517343E-9</v>
      </c>
      <c r="M105">
        <f t="shared" si="18"/>
        <v>52.001429485064968</v>
      </c>
      <c r="N105">
        <f t="shared" si="19"/>
        <v>0.54465462979812951</v>
      </c>
      <c r="O105" s="2">
        <f t="shared" si="20"/>
        <v>3.1575725512382984E-4</v>
      </c>
      <c r="P105" s="2">
        <f t="shared" si="21"/>
        <v>6.2772207576873226E-2</v>
      </c>
      <c r="Q105">
        <f t="shared" si="22"/>
        <v>6.0880784370475068E-2</v>
      </c>
    </row>
    <row r="106" spans="1:17" x14ac:dyDescent="0.25">
      <c r="A106" s="1">
        <v>44689.333425925928</v>
      </c>
      <c r="B106">
        <v>1432963.81691847</v>
      </c>
      <c r="C106">
        <v>1456432.3636879995</v>
      </c>
      <c r="D106">
        <v>547.19096865812025</v>
      </c>
      <c r="E106">
        <v>4298.8914507553854</v>
      </c>
      <c r="F106">
        <v>1.646879957347985E+17</v>
      </c>
      <c r="G106">
        <v>2</v>
      </c>
      <c r="H106">
        <v>3.861403378455929E-4</v>
      </c>
      <c r="I106">
        <v>2589.7320274264457</v>
      </c>
      <c r="J106">
        <v>369</v>
      </c>
      <c r="K106">
        <f t="shared" si="16"/>
        <v>38.61403378455929</v>
      </c>
      <c r="L106">
        <f t="shared" si="17"/>
        <v>3.8614033784559289E-9</v>
      </c>
      <c r="M106">
        <f t="shared" si="18"/>
        <v>51.050846728898073</v>
      </c>
      <c r="N106">
        <f t="shared" si="19"/>
        <v>1.6415729059743609</v>
      </c>
      <c r="O106" s="2">
        <f t="shared" si="20"/>
        <v>3.0998523299237077E-4</v>
      </c>
      <c r="P106" s="2">
        <f t="shared" si="21"/>
        <v>0.18573512630233527</v>
      </c>
      <c r="Q106">
        <f t="shared" si="22"/>
        <v>0.17036294199233568</v>
      </c>
    </row>
    <row r="107" spans="1:17" x14ac:dyDescent="0.25">
      <c r="A107" s="1">
        <v>44690.333344907405</v>
      </c>
      <c r="B107">
        <v>824059.43493588269</v>
      </c>
      <c r="C107">
        <v>828164.84818899632</v>
      </c>
      <c r="D107">
        <v>332.91481460302384</v>
      </c>
      <c r="E107">
        <v>2472.1783048076613</v>
      </c>
      <c r="F107">
        <v>1.646879957347985E+17</v>
      </c>
      <c r="G107">
        <v>2</v>
      </c>
      <c r="H107">
        <v>4.1509078617719985E-4</v>
      </c>
      <c r="I107">
        <v>2409.1115324663115</v>
      </c>
      <c r="J107">
        <v>370</v>
      </c>
      <c r="K107">
        <f t="shared" si="16"/>
        <v>41.509078617719986</v>
      </c>
      <c r="L107">
        <f t="shared" si="17"/>
        <v>4.1509078617719984E-9</v>
      </c>
      <c r="M107">
        <f t="shared" si="18"/>
        <v>49.23840646195363</v>
      </c>
      <c r="N107">
        <f t="shared" si="19"/>
        <v>0.99874444380907157</v>
      </c>
      <c r="O107" s="2">
        <f t="shared" si="20"/>
        <v>2.9897993622585319E-4</v>
      </c>
      <c r="P107" s="2">
        <f t="shared" si="21"/>
        <v>0.10899066079232592</v>
      </c>
      <c r="Q107">
        <f t="shared" si="22"/>
        <v>0.10345028704541807</v>
      </c>
    </row>
    <row r="108" spans="1:17" x14ac:dyDescent="0.25">
      <c r="A108" s="1">
        <v>44691.333379629628</v>
      </c>
      <c r="B108">
        <v>149478217.59363872</v>
      </c>
      <c r="C108">
        <v>181737497.38258398</v>
      </c>
      <c r="D108">
        <v>64608.902476637209</v>
      </c>
      <c r="E108">
        <v>448434.65278091619</v>
      </c>
      <c r="F108">
        <v>4.0565201233713549E+17</v>
      </c>
      <c r="G108">
        <v>9</v>
      </c>
      <c r="H108">
        <v>3.8245131071107239E-4</v>
      </c>
      <c r="I108">
        <v>2614.7119175529833</v>
      </c>
      <c r="J108">
        <v>371</v>
      </c>
      <c r="K108">
        <f t="shared" si="16"/>
        <v>38.245131071107238</v>
      </c>
      <c r="L108">
        <f t="shared" si="17"/>
        <v>3.8245131071107239E-9</v>
      </c>
      <c r="M108">
        <f t="shared" si="18"/>
        <v>51.296467530717514</v>
      </c>
      <c r="N108">
        <f t="shared" si="19"/>
        <v>193.82670742991164</v>
      </c>
      <c r="O108" s="2">
        <f t="shared" si="20"/>
        <v>1.2645436475262759E-4</v>
      </c>
      <c r="P108" s="2">
        <f t="shared" si="21"/>
        <v>8.9462351034521497</v>
      </c>
      <c r="Q108">
        <f t="shared" si="22"/>
        <v>2.297194098003537</v>
      </c>
    </row>
    <row r="109" spans="1:17" x14ac:dyDescent="0.25">
      <c r="A109" s="1">
        <v>44692.333391203705</v>
      </c>
      <c r="B109">
        <v>105455573.12491754</v>
      </c>
      <c r="C109">
        <v>160987188.12570304</v>
      </c>
      <c r="D109">
        <v>44625.071991374774</v>
      </c>
      <c r="E109">
        <v>316366.71937475249</v>
      </c>
      <c r="F109">
        <v>5.746834655171356E+16</v>
      </c>
      <c r="G109">
        <v>8</v>
      </c>
      <c r="H109">
        <v>1.8037516473773724E-4</v>
      </c>
      <c r="I109">
        <v>5544.0004806314928</v>
      </c>
      <c r="J109">
        <v>372</v>
      </c>
      <c r="K109">
        <f t="shared" si="16"/>
        <v>18.037516473773724</v>
      </c>
      <c r="L109">
        <f t="shared" si="17"/>
        <v>1.8037516473773724E-9</v>
      </c>
      <c r="M109">
        <f t="shared" si="18"/>
        <v>74.694249058618638</v>
      </c>
      <c r="N109">
        <f t="shared" si="19"/>
        <v>133.87521597412433</v>
      </c>
      <c r="O109" s="2">
        <f t="shared" si="20"/>
        <v>1.2997459217206492E-3</v>
      </c>
      <c r="P109" s="2">
        <f t="shared" si="21"/>
        <v>63.511374583371307</v>
      </c>
      <c r="Q109">
        <f t="shared" si="22"/>
        <v>4.1668415583836582</v>
      </c>
    </row>
    <row r="110" spans="1:17" x14ac:dyDescent="0.25">
      <c r="A110" s="1">
        <v>44693.333414351851</v>
      </c>
      <c r="B110">
        <v>118540904.94926363</v>
      </c>
      <c r="C110">
        <v>194310079.11327803</v>
      </c>
      <c r="D110">
        <v>55395.223170267564</v>
      </c>
      <c r="E110">
        <v>355622.71484779101</v>
      </c>
      <c r="F110">
        <v>2.5317402149576392E+16</v>
      </c>
      <c r="G110">
        <v>7</v>
      </c>
      <c r="H110">
        <v>3.0344880739908314E-4</v>
      </c>
      <c r="I110">
        <v>3295.4487729617008</v>
      </c>
      <c r="J110">
        <v>373</v>
      </c>
      <c r="K110">
        <f t="shared" si="16"/>
        <v>30.344880739908312</v>
      </c>
      <c r="L110">
        <f t="shared" si="17"/>
        <v>3.0344880739908315E-9</v>
      </c>
      <c r="M110">
        <f t="shared" si="18"/>
        <v>57.588109041657056</v>
      </c>
      <c r="N110">
        <f t="shared" si="19"/>
        <v>166.18566951080268</v>
      </c>
      <c r="O110" s="2">
        <f t="shared" si="20"/>
        <v>2.2746452697407034E-3</v>
      </c>
      <c r="P110" s="2">
        <f t="shared" si="21"/>
        <v>137.97490817377528</v>
      </c>
      <c r="Q110">
        <f t="shared" si="22"/>
        <v>4.934293400100155</v>
      </c>
    </row>
    <row r="111" spans="1:17" x14ac:dyDescent="0.25">
      <c r="A111" s="1">
        <v>44694.333553240744</v>
      </c>
      <c r="B111">
        <v>47560492.246640027</v>
      </c>
      <c r="C111">
        <v>98847948.634520888</v>
      </c>
      <c r="D111">
        <v>24397.648616260674</v>
      </c>
      <c r="E111">
        <v>142681.47673992021</v>
      </c>
      <c r="F111">
        <v>5768470748781435</v>
      </c>
      <c r="G111">
        <v>5</v>
      </c>
      <c r="H111">
        <v>4.5874407274162429E-5</v>
      </c>
      <c r="I111">
        <v>21798.646771033575</v>
      </c>
      <c r="J111">
        <v>374</v>
      </c>
      <c r="K111">
        <f t="shared" si="16"/>
        <v>4.5874407274162428</v>
      </c>
      <c r="L111">
        <f t="shared" si="17"/>
        <v>4.5874407274162427E-10</v>
      </c>
      <c r="M111">
        <f t="shared" si="18"/>
        <v>148.11201924936535</v>
      </c>
      <c r="N111">
        <f t="shared" si="19"/>
        <v>73.192945848782031</v>
      </c>
      <c r="O111" s="2">
        <f t="shared" si="20"/>
        <v>2.56761324967546E-2</v>
      </c>
      <c r="P111" s="2">
        <f t="shared" si="21"/>
        <v>685.94879803600588</v>
      </c>
      <c r="Q111">
        <f t="shared" si="22"/>
        <v>6.5322597596573937</v>
      </c>
    </row>
    <row r="112" spans="1:17" x14ac:dyDescent="0.25">
      <c r="A112" s="1">
        <v>44695.333657407406</v>
      </c>
      <c r="B112">
        <v>6413161.1527258754</v>
      </c>
      <c r="C112">
        <v>41993404.818373084</v>
      </c>
      <c r="D112">
        <v>3115.3213666399242</v>
      </c>
      <c r="E112">
        <v>19239.483458177652</v>
      </c>
      <c r="F112">
        <v>1.2722797749480748E+16</v>
      </c>
      <c r="G112">
        <v>4</v>
      </c>
      <c r="H112">
        <v>8.2308810695017883E-5</v>
      </c>
      <c r="I112">
        <v>12149.36762608975</v>
      </c>
      <c r="J112">
        <v>375</v>
      </c>
      <c r="K112">
        <f t="shared" si="16"/>
        <v>8.2308810695017876</v>
      </c>
      <c r="L112">
        <f t="shared" si="17"/>
        <v>8.2308810695017883E-10</v>
      </c>
      <c r="M112">
        <f t="shared" si="18"/>
        <v>110.57383504998649</v>
      </c>
      <c r="N112">
        <f t="shared" si="19"/>
        <v>9.3459640999197724</v>
      </c>
      <c r="O112" s="2">
        <f t="shared" si="20"/>
        <v>8.6909999850071744E-3</v>
      </c>
      <c r="P112" s="2">
        <f t="shared" si="21"/>
        <v>29.64740745608232</v>
      </c>
      <c r="Q112">
        <f t="shared" si="22"/>
        <v>3.4225480733587421</v>
      </c>
    </row>
    <row r="113" spans="1:17" x14ac:dyDescent="0.25">
      <c r="A113" s="1">
        <v>44696.333425925928</v>
      </c>
      <c r="B113">
        <v>2765043.3636850119</v>
      </c>
      <c r="C113">
        <v>15157591.493623018</v>
      </c>
      <c r="D113">
        <v>1370.8799907719076</v>
      </c>
      <c r="E113">
        <v>8295.1300910548307</v>
      </c>
      <c r="F113">
        <v>1.3354509309268052E+16</v>
      </c>
      <c r="G113">
        <v>5</v>
      </c>
      <c r="H113">
        <v>8.5411120411523132E-5</v>
      </c>
      <c r="I113">
        <v>11708.077299324203</v>
      </c>
      <c r="J113">
        <v>376</v>
      </c>
      <c r="K113">
        <f t="shared" si="16"/>
        <v>8.5411120411523136</v>
      </c>
      <c r="L113">
        <f t="shared" si="17"/>
        <v>8.5411120411523133E-10</v>
      </c>
      <c r="M113">
        <f t="shared" si="18"/>
        <v>108.54712530077212</v>
      </c>
      <c r="N113">
        <f t="shared" si="19"/>
        <v>4.1126399723157228</v>
      </c>
      <c r="O113" s="2">
        <f t="shared" si="20"/>
        <v>8.1281253235894052E-3</v>
      </c>
      <c r="P113" s="2">
        <f t="shared" si="21"/>
        <v>12.201239383611691</v>
      </c>
      <c r="Q113">
        <f t="shared" si="22"/>
        <v>2.5803107178825373</v>
      </c>
    </row>
    <row r="114" spans="1:17" x14ac:dyDescent="0.25">
      <c r="A114" s="1">
        <v>44697.333460648151</v>
      </c>
      <c r="B114">
        <v>2042545.1784585714</v>
      </c>
      <c r="C114">
        <v>9126269.2537620068</v>
      </c>
      <c r="D114">
        <v>985.9740764175076</v>
      </c>
      <c r="E114">
        <v>6127.6355353759136</v>
      </c>
      <c r="F114">
        <v>3531650989637616</v>
      </c>
      <c r="G114">
        <v>5</v>
      </c>
      <c r="H114">
        <v>4.1704629862503841E-5</v>
      </c>
      <c r="I114">
        <v>23978.153104269331</v>
      </c>
      <c r="J114">
        <v>377</v>
      </c>
      <c r="K114">
        <f t="shared" si="16"/>
        <v>4.1704629862503841</v>
      </c>
      <c r="L114">
        <f t="shared" si="17"/>
        <v>4.1704629862503839E-10</v>
      </c>
      <c r="M114">
        <f t="shared" si="18"/>
        <v>155.34003556619837</v>
      </c>
      <c r="N114">
        <f t="shared" si="19"/>
        <v>2.9579222292525227</v>
      </c>
      <c r="O114" s="2">
        <f t="shared" si="20"/>
        <v>4.3985103857088058E-2</v>
      </c>
      <c r="P114" s="2">
        <f t="shared" si="21"/>
        <v>47.488148506024501</v>
      </c>
      <c r="Q114">
        <f t="shared" si="22"/>
        <v>3.8813194073819712</v>
      </c>
    </row>
    <row r="115" spans="1:17" x14ac:dyDescent="0.25">
      <c r="A115" s="1">
        <v>44698.333460648151</v>
      </c>
      <c r="B115">
        <v>589451.82185411453</v>
      </c>
      <c r="C115">
        <v>4215429.6208409071</v>
      </c>
      <c r="D115">
        <v>289.83147823082982</v>
      </c>
      <c r="E115">
        <v>1768.3554655620828</v>
      </c>
      <c r="F115">
        <v>0</v>
      </c>
      <c r="G115">
        <v>4</v>
      </c>
      <c r="H115">
        <v>4.3363158609981314E-5</v>
      </c>
      <c r="I115">
        <v>23061.050718058632</v>
      </c>
      <c r="J115">
        <v>378</v>
      </c>
      <c r="K115">
        <f t="shared" si="16"/>
        <v>4.3363158609981314</v>
      </c>
      <c r="L115">
        <f t="shared" si="17"/>
        <v>4.3363158609981315E-10</v>
      </c>
      <c r="M115">
        <f t="shared" si="18"/>
        <v>152.34039637989619</v>
      </c>
      <c r="N115">
        <f t="shared" si="19"/>
        <v>0.86949443469248944</v>
      </c>
      <c r="O115" s="2" t="e">
        <f t="shared" si="20"/>
        <v>#DIV/0!</v>
      </c>
      <c r="P115" s="2" t="e">
        <f t="shared" si="21"/>
        <v>#DIV/0!</v>
      </c>
      <c r="Q115" t="e">
        <f t="shared" si="22"/>
        <v>#DIV/0!</v>
      </c>
    </row>
    <row r="116" spans="1:17" x14ac:dyDescent="0.25">
      <c r="A116" s="1">
        <v>44699.333645833336</v>
      </c>
      <c r="B116">
        <v>79400.550457596779</v>
      </c>
      <c r="C116">
        <v>856177.75489509106</v>
      </c>
      <c r="D116">
        <v>38.752305629837792</v>
      </c>
      <c r="E116">
        <v>238.2016513729468</v>
      </c>
      <c r="F116">
        <v>6643525177802502</v>
      </c>
      <c r="G116">
        <v>2</v>
      </c>
      <c r="H116">
        <v>4.6918228199441779E-5</v>
      </c>
      <c r="I116">
        <v>21313.677825794319</v>
      </c>
      <c r="J116">
        <v>379</v>
      </c>
      <c r="K116">
        <f t="shared" si="16"/>
        <v>4.6918228199441776</v>
      </c>
      <c r="L116">
        <f t="shared" si="17"/>
        <v>4.6918228199441781E-10</v>
      </c>
      <c r="M116">
        <f t="shared" si="18"/>
        <v>146.45517907300609</v>
      </c>
      <c r="N116">
        <f t="shared" si="19"/>
        <v>0.11625691688951338</v>
      </c>
      <c r="O116" s="2">
        <f t="shared" si="20"/>
        <v>2.2044799282517281E-2</v>
      </c>
      <c r="P116" s="2">
        <f t="shared" si="21"/>
        <v>0.93544404528226976</v>
      </c>
      <c r="Q116">
        <f t="shared" si="22"/>
        <v>0.6603367809210926</v>
      </c>
    </row>
    <row r="117" spans="1:17" x14ac:dyDescent="0.25">
      <c r="A117" s="1">
        <v>44700.333796296298</v>
      </c>
      <c r="B117">
        <v>22255.976135015488</v>
      </c>
      <c r="C117">
        <v>216170.44088590145</v>
      </c>
      <c r="D117">
        <v>11.07252933550626</v>
      </c>
      <c r="E117">
        <v>66.767928404966369</v>
      </c>
      <c r="F117">
        <v>171029171972886</v>
      </c>
      <c r="G117">
        <v>1</v>
      </c>
      <c r="H117">
        <v>4.3480391469828352E-5</v>
      </c>
      <c r="I117">
        <v>22998.872967689673</v>
      </c>
      <c r="J117">
        <v>380</v>
      </c>
      <c r="K117">
        <f t="shared" si="16"/>
        <v>4.3480391469828357</v>
      </c>
      <c r="L117">
        <f t="shared" si="17"/>
        <v>4.348039146982835E-10</v>
      </c>
      <c r="M117">
        <f t="shared" si="18"/>
        <v>152.13488587094145</v>
      </c>
      <c r="N117">
        <f t="shared" si="19"/>
        <v>3.3217588006518785E-2</v>
      </c>
      <c r="O117" s="2">
        <f t="shared" si="20"/>
        <v>0.88952594528762652</v>
      </c>
      <c r="P117" s="2">
        <f t="shared" si="21"/>
        <v>10.784985825660845</v>
      </c>
      <c r="Q117">
        <f t="shared" si="22"/>
        <v>2.4668263336432767</v>
      </c>
    </row>
    <row r="118" spans="1:17" x14ac:dyDescent="0.25">
      <c r="A118" s="1">
        <v>44701.333414351851</v>
      </c>
      <c r="B118">
        <v>0</v>
      </c>
      <c r="C118">
        <v>0</v>
      </c>
      <c r="D118">
        <v>0</v>
      </c>
      <c r="E118">
        <v>0</v>
      </c>
      <c r="F118">
        <v>171029171972886</v>
      </c>
      <c r="G118">
        <v>1</v>
      </c>
      <c r="H118">
        <v>4.3480391469828352E-5</v>
      </c>
      <c r="I118">
        <v>22998.872967689673</v>
      </c>
      <c r="J118">
        <v>381</v>
      </c>
      <c r="K118">
        <f t="shared" si="16"/>
        <v>4.3480391469828357</v>
      </c>
      <c r="L118">
        <f t="shared" si="17"/>
        <v>4.348039146982835E-10</v>
      </c>
      <c r="M118">
        <f t="shared" si="18"/>
        <v>152.13488587094145</v>
      </c>
      <c r="N118">
        <f t="shared" si="19"/>
        <v>0</v>
      </c>
      <c r="O118" s="2">
        <f t="shared" si="20"/>
        <v>0.88952594528762652</v>
      </c>
      <c r="P118" s="2">
        <f t="shared" si="21"/>
        <v>0</v>
      </c>
      <c r="Q118">
        <f t="shared" si="22"/>
        <v>0</v>
      </c>
    </row>
    <row r="119" spans="1:17" x14ac:dyDescent="0.25">
      <c r="A119" s="1">
        <v>44702.333402777775</v>
      </c>
      <c r="B119">
        <v>0</v>
      </c>
      <c r="C119">
        <v>0</v>
      </c>
      <c r="D119">
        <v>0</v>
      </c>
      <c r="E119">
        <v>0</v>
      </c>
      <c r="F119">
        <v>171029171972886</v>
      </c>
      <c r="G119">
        <v>1</v>
      </c>
      <c r="H119">
        <v>4.3480391469828352E-5</v>
      </c>
      <c r="I119">
        <v>22998.872967689673</v>
      </c>
      <c r="J119">
        <v>382</v>
      </c>
      <c r="K119">
        <f t="shared" si="16"/>
        <v>4.3480391469828357</v>
      </c>
      <c r="L119">
        <f t="shared" si="17"/>
        <v>4.348039146982835E-10</v>
      </c>
      <c r="M119">
        <f t="shared" si="18"/>
        <v>152.13488587094145</v>
      </c>
      <c r="N119">
        <f t="shared" si="19"/>
        <v>0</v>
      </c>
      <c r="O119" s="2">
        <f t="shared" si="20"/>
        <v>0.88952594528762652</v>
      </c>
      <c r="P119" s="2">
        <f t="shared" si="21"/>
        <v>0</v>
      </c>
      <c r="Q119">
        <f t="shared" si="22"/>
        <v>0</v>
      </c>
    </row>
    <row r="120" spans="1:17" x14ac:dyDescent="0.25">
      <c r="A120" s="1">
        <v>44703.333472222221</v>
      </c>
      <c r="B120">
        <v>1.7004548907279968</v>
      </c>
      <c r="C120">
        <v>20</v>
      </c>
      <c r="D120">
        <v>8.664168999530375E-4</v>
      </c>
      <c r="E120">
        <v>5.1013648044317961E-3</v>
      </c>
      <c r="F120">
        <v>171029171972886</v>
      </c>
      <c r="G120">
        <v>1</v>
      </c>
      <c r="H120">
        <v>4.341522302954001E-5</v>
      </c>
      <c r="I120">
        <v>23033.39543642545</v>
      </c>
      <c r="J120">
        <v>383</v>
      </c>
      <c r="K120">
        <f t="shared" si="16"/>
        <v>4.3415223029540009</v>
      </c>
      <c r="L120">
        <f t="shared" si="17"/>
        <v>4.3415223029540011E-10</v>
      </c>
      <c r="M120">
        <f t="shared" si="18"/>
        <v>152.24902412502237</v>
      </c>
      <c r="N120">
        <f t="shared" si="19"/>
        <v>2.5992506998591127E-6</v>
      </c>
      <c r="O120" s="2">
        <f t="shared" si="20"/>
        <v>0.89019330660829654</v>
      </c>
      <c r="P120" s="2">
        <f t="shared" si="21"/>
        <v>8.4454998495220204E-4</v>
      </c>
      <c r="Q120">
        <f t="shared" si="22"/>
        <v>8.4419355328234087E-4</v>
      </c>
    </row>
    <row r="121" spans="1:17" x14ac:dyDescent="0.25">
      <c r="A121" s="1">
        <v>44704.333368055559</v>
      </c>
      <c r="B121">
        <v>0</v>
      </c>
      <c r="C121">
        <v>0</v>
      </c>
      <c r="D121">
        <v>0</v>
      </c>
      <c r="E121">
        <v>0</v>
      </c>
      <c r="F121">
        <v>171029171972886</v>
      </c>
      <c r="G121">
        <v>1</v>
      </c>
      <c r="H121">
        <v>4.341522302954001E-5</v>
      </c>
      <c r="I121">
        <v>23033.39543642545</v>
      </c>
      <c r="J121">
        <v>384</v>
      </c>
      <c r="K121">
        <f t="shared" si="16"/>
        <v>4.3415223029540009</v>
      </c>
      <c r="L121">
        <f t="shared" si="17"/>
        <v>4.3415223029540011E-10</v>
      </c>
      <c r="M121">
        <f t="shared" si="18"/>
        <v>152.24902412502237</v>
      </c>
      <c r="N121">
        <f t="shared" si="19"/>
        <v>0</v>
      </c>
      <c r="O121" s="2">
        <f t="shared" si="20"/>
        <v>0.89019330660829654</v>
      </c>
      <c r="P121" s="2">
        <f t="shared" si="21"/>
        <v>0</v>
      </c>
      <c r="Q121">
        <f t="shared" si="22"/>
        <v>0</v>
      </c>
    </row>
    <row r="122" spans="1:17" x14ac:dyDescent="0.25">
      <c r="A122" s="1">
        <v>44705.33353009259</v>
      </c>
      <c r="B122">
        <v>0</v>
      </c>
      <c r="C122">
        <v>0</v>
      </c>
      <c r="D122">
        <v>0</v>
      </c>
      <c r="E122">
        <v>0</v>
      </c>
      <c r="F122">
        <v>171029171972886</v>
      </c>
      <c r="G122">
        <v>1</v>
      </c>
      <c r="H122">
        <v>4.341522302954001E-5</v>
      </c>
      <c r="I122">
        <v>23033.39543642545</v>
      </c>
      <c r="J122">
        <v>385</v>
      </c>
      <c r="K122">
        <f t="shared" si="16"/>
        <v>4.3415223029540009</v>
      </c>
      <c r="L122">
        <f t="shared" si="17"/>
        <v>4.3415223029540011E-10</v>
      </c>
      <c r="M122">
        <f t="shared" si="18"/>
        <v>152.24902412502237</v>
      </c>
      <c r="N122">
        <f t="shared" si="19"/>
        <v>0</v>
      </c>
      <c r="O122" s="2">
        <f t="shared" si="20"/>
        <v>0.89019330660829654</v>
      </c>
      <c r="P122" s="2">
        <f t="shared" si="21"/>
        <v>0</v>
      </c>
      <c r="Q122">
        <f t="shared" si="22"/>
        <v>0</v>
      </c>
    </row>
    <row r="123" spans="1:17" x14ac:dyDescent="0.25">
      <c r="A123" s="1">
        <v>44706.333622685182</v>
      </c>
      <c r="B123">
        <v>0</v>
      </c>
      <c r="C123">
        <v>0</v>
      </c>
      <c r="D123">
        <v>0</v>
      </c>
      <c r="E123">
        <v>0</v>
      </c>
      <c r="F123">
        <v>1.646879957347985E+17</v>
      </c>
      <c r="G123">
        <v>2</v>
      </c>
      <c r="H123">
        <v>3.4128129441024317E-4</v>
      </c>
      <c r="I123">
        <v>2930.1342217658507</v>
      </c>
      <c r="J123">
        <v>386</v>
      </c>
      <c r="K123">
        <f t="shared" si="16"/>
        <v>34.128129441024321</v>
      </c>
      <c r="L123">
        <f t="shared" si="17"/>
        <v>3.4128129441024318E-9</v>
      </c>
      <c r="M123">
        <f t="shared" si="18"/>
        <v>54.302433590776019</v>
      </c>
      <c r="N123">
        <f t="shared" si="19"/>
        <v>0</v>
      </c>
      <c r="O123" s="2">
        <f t="shared" si="20"/>
        <v>3.2972915450510848E-4</v>
      </c>
      <c r="P123" s="2">
        <f t="shared" si="21"/>
        <v>0</v>
      </c>
      <c r="Q123">
        <f t="shared" si="22"/>
        <v>0</v>
      </c>
    </row>
    <row r="124" spans="1:17" x14ac:dyDescent="0.25">
      <c r="A124" s="1">
        <v>44707.333634259259</v>
      </c>
      <c r="B124">
        <v>1859.4167366623878</v>
      </c>
      <c r="C124">
        <v>21264.397132992744</v>
      </c>
      <c r="D124">
        <v>1.0231102957623079</v>
      </c>
      <c r="E124">
        <v>5.578250209800899</v>
      </c>
      <c r="F124">
        <v>1.646879957347985E+17</v>
      </c>
      <c r="G124">
        <v>2</v>
      </c>
      <c r="H124">
        <v>3.7345687752719548E-4</v>
      </c>
      <c r="I124">
        <v>2677.6853237283844</v>
      </c>
      <c r="J124">
        <v>387</v>
      </c>
      <c r="K124">
        <f t="shared" si="16"/>
        <v>37.345687752719549</v>
      </c>
      <c r="L124">
        <f t="shared" si="17"/>
        <v>3.7345687752719549E-9</v>
      </c>
      <c r="M124">
        <f t="shared" si="18"/>
        <v>51.910511106092876</v>
      </c>
      <c r="N124">
        <f t="shared" si="19"/>
        <v>3.0693308872869239E-3</v>
      </c>
      <c r="O124" s="2">
        <f t="shared" si="20"/>
        <v>3.1520519072735436E-4</v>
      </c>
      <c r="P124" s="2">
        <f t="shared" si="21"/>
        <v>3.5312619512241166E-4</v>
      </c>
      <c r="Q124">
        <f t="shared" si="22"/>
        <v>3.5306386074172885E-4</v>
      </c>
    </row>
    <row r="125" spans="1:17" x14ac:dyDescent="0.25">
      <c r="A125" s="1">
        <v>44708.33353009259</v>
      </c>
      <c r="B125">
        <v>54344.519208073616</v>
      </c>
      <c r="C125">
        <v>1031102.5270650387</v>
      </c>
      <c r="D125">
        <v>29.329203599103494</v>
      </c>
      <c r="E125">
        <v>163.03355762432329</v>
      </c>
      <c r="F125">
        <v>1.646879957347985E+17</v>
      </c>
      <c r="G125">
        <v>2</v>
      </c>
      <c r="H125">
        <v>3.7215212833517343E-4</v>
      </c>
      <c r="I125">
        <v>2687.0731721285883</v>
      </c>
      <c r="J125">
        <v>388</v>
      </c>
      <c r="K125">
        <f t="shared" si="16"/>
        <v>37.215212833517342</v>
      </c>
      <c r="L125">
        <f t="shared" si="17"/>
        <v>3.7215212833517343E-9</v>
      </c>
      <c r="M125">
        <f t="shared" si="18"/>
        <v>52.001429485064968</v>
      </c>
      <c r="N125">
        <f t="shared" si="19"/>
        <v>8.7987610797310489E-2</v>
      </c>
      <c r="O125" s="2">
        <f t="shared" si="20"/>
        <v>3.1575725512382984E-4</v>
      </c>
      <c r="P125" s="2">
        <f t="shared" si="21"/>
        <v>1.0140695161645855E-2</v>
      </c>
      <c r="Q125">
        <f t="shared" si="22"/>
        <v>1.0089623291769314E-2</v>
      </c>
    </row>
    <row r="126" spans="1:17" x14ac:dyDescent="0.25">
      <c r="A126" s="1">
        <v>44709.333587962959</v>
      </c>
      <c r="B126">
        <v>0</v>
      </c>
      <c r="C126">
        <v>0</v>
      </c>
      <c r="D126">
        <v>0</v>
      </c>
      <c r="E126">
        <v>0</v>
      </c>
      <c r="F126">
        <v>1.646879957347985E+17</v>
      </c>
      <c r="G126">
        <v>2</v>
      </c>
      <c r="H126">
        <v>3.861403378455929E-4</v>
      </c>
      <c r="I126">
        <v>2589.7320274264457</v>
      </c>
      <c r="J126">
        <v>389</v>
      </c>
      <c r="K126">
        <f t="shared" si="16"/>
        <v>38.61403378455929</v>
      </c>
      <c r="L126">
        <f t="shared" si="17"/>
        <v>3.8614033784559289E-9</v>
      </c>
      <c r="M126">
        <f t="shared" si="18"/>
        <v>51.050846728898073</v>
      </c>
      <c r="N126">
        <f t="shared" si="19"/>
        <v>0</v>
      </c>
      <c r="O126" s="2">
        <f t="shared" si="20"/>
        <v>3.0998523299237077E-4</v>
      </c>
      <c r="P126" s="2">
        <f t="shared" si="21"/>
        <v>0</v>
      </c>
      <c r="Q126">
        <f t="shared" si="22"/>
        <v>0</v>
      </c>
    </row>
    <row r="127" spans="1:17" x14ac:dyDescent="0.25">
      <c r="A127" s="1">
        <v>44710.333414351851</v>
      </c>
      <c r="B127">
        <v>0</v>
      </c>
      <c r="C127">
        <v>0</v>
      </c>
      <c r="D127">
        <v>0</v>
      </c>
      <c r="E127">
        <v>0</v>
      </c>
      <c r="F127">
        <v>1.646879957347985E+17</v>
      </c>
      <c r="G127">
        <v>2</v>
      </c>
      <c r="H127">
        <v>4.1509078617719985E-4</v>
      </c>
      <c r="I127">
        <v>2409.1115324663115</v>
      </c>
      <c r="J127">
        <v>390</v>
      </c>
      <c r="K127">
        <f t="shared" si="16"/>
        <v>41.509078617719986</v>
      </c>
      <c r="L127">
        <f t="shared" si="17"/>
        <v>4.1509078617719984E-9</v>
      </c>
      <c r="M127">
        <f t="shared" si="18"/>
        <v>49.23840646195363</v>
      </c>
      <c r="N127">
        <f t="shared" si="19"/>
        <v>0</v>
      </c>
      <c r="O127" s="2">
        <f t="shared" si="20"/>
        <v>2.9897993622585319E-4</v>
      </c>
      <c r="P127" s="2">
        <f t="shared" si="21"/>
        <v>0</v>
      </c>
      <c r="Q127">
        <f t="shared" si="22"/>
        <v>0</v>
      </c>
    </row>
    <row r="128" spans="1:17" x14ac:dyDescent="0.25">
      <c r="A128" s="1">
        <v>44711.333506944444</v>
      </c>
      <c r="B128">
        <v>114.35893499851227</v>
      </c>
      <c r="C128">
        <v>2917.7343850135803</v>
      </c>
      <c r="D128">
        <v>6.2980772374430671E-2</v>
      </c>
      <c r="E128">
        <v>0.34307680488564074</v>
      </c>
      <c r="F128">
        <v>4.0565201233713549E+17</v>
      </c>
      <c r="G128">
        <v>9</v>
      </c>
      <c r="H128">
        <v>3.8245131071107239E-4</v>
      </c>
      <c r="I128">
        <v>2614.7119175529833</v>
      </c>
      <c r="J128">
        <v>391</v>
      </c>
      <c r="K128">
        <f t="shared" si="16"/>
        <v>38.245131071107238</v>
      </c>
      <c r="L128">
        <f t="shared" si="17"/>
        <v>3.8245131071107239E-9</v>
      </c>
      <c r="M128">
        <f t="shared" si="18"/>
        <v>51.296467530717514</v>
      </c>
      <c r="N128">
        <f t="shared" si="19"/>
        <v>1.8894231712329203E-4</v>
      </c>
      <c r="O128" s="2">
        <f t="shared" si="20"/>
        <v>1.2645436475262759E-4</v>
      </c>
      <c r="P128" s="2">
        <f t="shared" si="21"/>
        <v>8.7207919506511229E-6</v>
      </c>
      <c r="Q128">
        <f t="shared" si="22"/>
        <v>8.720753924693242E-6</v>
      </c>
    </row>
    <row r="129" spans="1:17" x14ac:dyDescent="0.25">
      <c r="A129" s="1">
        <v>44692.333391203705</v>
      </c>
      <c r="B129">
        <v>105455573.12491754</v>
      </c>
      <c r="C129">
        <v>160987188.12570304</v>
      </c>
      <c r="D129">
        <v>44625.071991374774</v>
      </c>
      <c r="E129">
        <v>316366.71937475249</v>
      </c>
      <c r="F129">
        <v>5.746834655171356E+16</v>
      </c>
      <c r="G129">
        <v>8</v>
      </c>
      <c r="H129">
        <v>1.8037516473773724E-4</v>
      </c>
      <c r="I129">
        <v>5544.0004806314928</v>
      </c>
      <c r="J129">
        <v>372</v>
      </c>
      <c r="K129">
        <f t="shared" si="16"/>
        <v>18.037516473773724</v>
      </c>
      <c r="L129">
        <f t="shared" si="17"/>
        <v>1.8037516473773724E-9</v>
      </c>
      <c r="M129">
        <f t="shared" si="18"/>
        <v>74.694249058618638</v>
      </c>
      <c r="N129">
        <f t="shared" si="19"/>
        <v>133.87521597412433</v>
      </c>
      <c r="O129" s="2">
        <f t="shared" si="20"/>
        <v>1.2997459217206492E-3</v>
      </c>
      <c r="P129" s="2">
        <f t="shared" si="21"/>
        <v>63.511374583371307</v>
      </c>
      <c r="Q129">
        <f t="shared" si="22"/>
        <v>4.1668415583836582</v>
      </c>
    </row>
    <row r="130" spans="1:17" x14ac:dyDescent="0.25">
      <c r="A130" s="1">
        <v>44693.333414351851</v>
      </c>
      <c r="B130">
        <v>118540904.94926363</v>
      </c>
      <c r="C130">
        <v>194310079.11327803</v>
      </c>
      <c r="D130">
        <v>55395.223170267564</v>
      </c>
      <c r="E130">
        <v>355622.71484779101</v>
      </c>
      <c r="F130">
        <v>2.5317402149576392E+16</v>
      </c>
      <c r="G130">
        <v>7</v>
      </c>
      <c r="H130">
        <v>3.0344880739908314E-4</v>
      </c>
      <c r="I130">
        <v>3295.4487729617008</v>
      </c>
      <c r="J130">
        <v>373</v>
      </c>
      <c r="K130">
        <f t="shared" si="16"/>
        <v>30.344880739908312</v>
      </c>
      <c r="L130">
        <f t="shared" si="17"/>
        <v>3.0344880739908315E-9</v>
      </c>
      <c r="M130">
        <f t="shared" si="18"/>
        <v>57.588109041657056</v>
      </c>
      <c r="N130">
        <f t="shared" si="19"/>
        <v>166.18566951080268</v>
      </c>
      <c r="O130" s="2">
        <f t="shared" si="20"/>
        <v>2.2746452697407034E-3</v>
      </c>
      <c r="P130" s="2">
        <f t="shared" si="21"/>
        <v>137.97490817377528</v>
      </c>
      <c r="Q130">
        <f t="shared" si="22"/>
        <v>4.934293400100155</v>
      </c>
    </row>
    <row r="131" spans="1:17" x14ac:dyDescent="0.25">
      <c r="A131" s="1">
        <v>44694.333553240744</v>
      </c>
      <c r="B131">
        <v>47560492.246640027</v>
      </c>
      <c r="C131">
        <v>98847948.634520888</v>
      </c>
      <c r="D131">
        <v>24397.648616260674</v>
      </c>
      <c r="E131">
        <v>142681.47673992021</v>
      </c>
      <c r="F131">
        <v>5768470748781435</v>
      </c>
      <c r="G131">
        <v>5</v>
      </c>
      <c r="H131">
        <v>4.5874407274162429E-5</v>
      </c>
      <c r="I131">
        <v>21798.646771033575</v>
      </c>
      <c r="J131">
        <v>374</v>
      </c>
      <c r="K131">
        <f t="shared" si="16"/>
        <v>4.5874407274162428</v>
      </c>
      <c r="L131">
        <f t="shared" si="17"/>
        <v>4.5874407274162427E-10</v>
      </c>
      <c r="M131">
        <f t="shared" si="18"/>
        <v>148.11201924936535</v>
      </c>
      <c r="N131">
        <f t="shared" si="19"/>
        <v>73.192945848782031</v>
      </c>
      <c r="O131" s="2">
        <f t="shared" si="20"/>
        <v>2.56761324967546E-2</v>
      </c>
      <c r="P131" s="2">
        <f t="shared" si="21"/>
        <v>685.94879803600588</v>
      </c>
      <c r="Q131">
        <f t="shared" si="22"/>
        <v>6.5322597596573937</v>
      </c>
    </row>
    <row r="132" spans="1:17" x14ac:dyDescent="0.25">
      <c r="A132" s="1">
        <v>44695.333657407406</v>
      </c>
      <c r="B132">
        <v>6413161.1527258754</v>
      </c>
      <c r="C132">
        <v>41993404.818373084</v>
      </c>
      <c r="D132">
        <v>3115.3213666399242</v>
      </c>
      <c r="E132">
        <v>19239.483458177652</v>
      </c>
      <c r="F132">
        <v>1.2722797749480748E+16</v>
      </c>
      <c r="G132">
        <v>4</v>
      </c>
      <c r="H132">
        <v>8.2308810695017883E-5</v>
      </c>
      <c r="I132">
        <v>12149.36762608975</v>
      </c>
      <c r="J132">
        <v>375</v>
      </c>
      <c r="K132">
        <f t="shared" si="16"/>
        <v>8.2308810695017876</v>
      </c>
      <c r="L132">
        <f t="shared" si="17"/>
        <v>8.2308810695017883E-10</v>
      </c>
      <c r="M132">
        <f t="shared" si="18"/>
        <v>110.57383504998649</v>
      </c>
      <c r="N132">
        <f t="shared" si="19"/>
        <v>9.3459640999197724</v>
      </c>
      <c r="O132" s="2">
        <f t="shared" si="20"/>
        <v>8.6909999850071744E-3</v>
      </c>
      <c r="P132" s="2">
        <f t="shared" si="21"/>
        <v>29.64740745608232</v>
      </c>
      <c r="Q132">
        <f t="shared" si="22"/>
        <v>3.4225480733587421</v>
      </c>
    </row>
    <row r="133" spans="1:17" x14ac:dyDescent="0.25">
      <c r="A133" s="1">
        <v>44696.333425925928</v>
      </c>
      <c r="B133">
        <v>2765043.3636850119</v>
      </c>
      <c r="C133">
        <v>15157591.493623018</v>
      </c>
      <c r="D133">
        <v>1370.8799907719076</v>
      </c>
      <c r="E133">
        <v>8295.1300910548307</v>
      </c>
      <c r="F133">
        <v>1.3354509309268052E+16</v>
      </c>
      <c r="G133">
        <v>5</v>
      </c>
      <c r="H133">
        <v>8.5411120411523132E-5</v>
      </c>
      <c r="I133">
        <v>11708.077299324203</v>
      </c>
      <c r="J133">
        <v>376</v>
      </c>
      <c r="K133">
        <f t="shared" si="16"/>
        <v>8.5411120411523136</v>
      </c>
      <c r="L133">
        <f t="shared" si="17"/>
        <v>8.5411120411523133E-10</v>
      </c>
      <c r="M133">
        <f t="shared" si="18"/>
        <v>108.54712530077212</v>
      </c>
      <c r="N133">
        <f t="shared" si="19"/>
        <v>4.1126399723157228</v>
      </c>
      <c r="O133" s="2">
        <f t="shared" si="20"/>
        <v>8.1281253235894052E-3</v>
      </c>
      <c r="P133" s="2">
        <f t="shared" si="21"/>
        <v>12.201239383611691</v>
      </c>
      <c r="Q133">
        <f t="shared" si="22"/>
        <v>2.5803107178825373</v>
      </c>
    </row>
    <row r="134" spans="1:17" x14ac:dyDescent="0.25">
      <c r="A134" s="1">
        <v>44697.333460648151</v>
      </c>
      <c r="B134">
        <v>2042545.1784585714</v>
      </c>
      <c r="C134">
        <v>9126269.2537620068</v>
      </c>
      <c r="D134">
        <v>985.9740764175076</v>
      </c>
      <c r="E134">
        <v>6127.6355353759136</v>
      </c>
      <c r="F134">
        <v>3531650989637616</v>
      </c>
      <c r="G134">
        <v>5</v>
      </c>
      <c r="H134">
        <v>4.1704629862503841E-5</v>
      </c>
      <c r="I134">
        <v>23978.153104269331</v>
      </c>
      <c r="J134">
        <v>377</v>
      </c>
      <c r="K134">
        <f t="shared" si="16"/>
        <v>4.1704629862503841</v>
      </c>
      <c r="L134">
        <f t="shared" si="17"/>
        <v>4.1704629862503839E-10</v>
      </c>
      <c r="M134">
        <f t="shared" si="18"/>
        <v>155.34003556619837</v>
      </c>
      <c r="N134">
        <f t="shared" si="19"/>
        <v>2.9579222292525227</v>
      </c>
      <c r="O134" s="2">
        <f t="shared" si="20"/>
        <v>4.3985103857088058E-2</v>
      </c>
      <c r="P134" s="2">
        <f t="shared" si="21"/>
        <v>47.488148506024501</v>
      </c>
      <c r="Q134">
        <f t="shared" si="22"/>
        <v>3.8813194073819712</v>
      </c>
    </row>
    <row r="135" spans="1:17" x14ac:dyDescent="0.25">
      <c r="A135" s="1">
        <v>44698.333460648151</v>
      </c>
      <c r="B135">
        <v>589451.82185411453</v>
      </c>
      <c r="C135">
        <v>4215429.6208409071</v>
      </c>
      <c r="D135">
        <v>289.83147823082982</v>
      </c>
      <c r="E135">
        <v>1768.3554655620828</v>
      </c>
      <c r="F135">
        <v>0</v>
      </c>
      <c r="G135">
        <v>4</v>
      </c>
      <c r="H135">
        <v>4.3363158609981314E-5</v>
      </c>
      <c r="I135">
        <v>23061.050718058632</v>
      </c>
      <c r="J135">
        <v>378</v>
      </c>
      <c r="K135">
        <f t="shared" si="16"/>
        <v>4.3363158609981314</v>
      </c>
      <c r="L135">
        <f t="shared" si="17"/>
        <v>4.3363158609981315E-10</v>
      </c>
      <c r="M135">
        <f t="shared" si="18"/>
        <v>152.34039637989619</v>
      </c>
      <c r="N135">
        <f t="shared" si="19"/>
        <v>0.86949443469248944</v>
      </c>
      <c r="O135" s="2" t="e">
        <f t="shared" si="20"/>
        <v>#DIV/0!</v>
      </c>
      <c r="P135" s="2" t="e">
        <f t="shared" si="21"/>
        <v>#DIV/0!</v>
      </c>
      <c r="Q135" t="e">
        <f t="shared" si="22"/>
        <v>#DIV/0!</v>
      </c>
    </row>
    <row r="136" spans="1:17" x14ac:dyDescent="0.25">
      <c r="A136" s="1">
        <v>44699.333645833336</v>
      </c>
      <c r="B136">
        <v>79400.550457596779</v>
      </c>
      <c r="C136">
        <v>856177.75489509106</v>
      </c>
      <c r="D136">
        <v>38.752305629837792</v>
      </c>
      <c r="E136">
        <v>238.2016513729468</v>
      </c>
      <c r="F136">
        <v>6643525177802502</v>
      </c>
      <c r="G136">
        <v>2</v>
      </c>
      <c r="H136">
        <v>4.6918228199441779E-5</v>
      </c>
      <c r="I136">
        <v>21313.677825794319</v>
      </c>
      <c r="J136">
        <v>379</v>
      </c>
      <c r="K136">
        <f t="shared" si="16"/>
        <v>4.6918228199441776</v>
      </c>
      <c r="L136">
        <f t="shared" si="17"/>
        <v>4.6918228199441781E-10</v>
      </c>
      <c r="M136">
        <f t="shared" si="18"/>
        <v>146.45517907300609</v>
      </c>
      <c r="N136">
        <f t="shared" si="19"/>
        <v>0.11625691688951338</v>
      </c>
      <c r="O136" s="2">
        <f t="shared" si="20"/>
        <v>2.2044799282517281E-2</v>
      </c>
      <c r="P136" s="2">
        <f t="shared" si="21"/>
        <v>0.93544404528226976</v>
      </c>
      <c r="Q136">
        <f t="shared" si="22"/>
        <v>0.6603367809210926</v>
      </c>
    </row>
    <row r="137" spans="1:17" x14ac:dyDescent="0.25">
      <c r="A137" s="1">
        <v>44700.333796296298</v>
      </c>
      <c r="B137">
        <v>22255.976135015488</v>
      </c>
      <c r="C137">
        <v>216170.44088590145</v>
      </c>
      <c r="D137">
        <v>11.07252933550626</v>
      </c>
      <c r="E137">
        <v>66.767928404966369</v>
      </c>
      <c r="F137">
        <v>171029171972886</v>
      </c>
      <c r="G137">
        <v>1</v>
      </c>
      <c r="H137">
        <v>4.3480391469828352E-5</v>
      </c>
      <c r="I137">
        <v>22998.872967689673</v>
      </c>
      <c r="J137">
        <v>380</v>
      </c>
      <c r="K137">
        <f t="shared" si="16"/>
        <v>4.3480391469828357</v>
      </c>
      <c r="L137">
        <f t="shared" si="17"/>
        <v>4.348039146982835E-10</v>
      </c>
      <c r="M137">
        <f t="shared" si="18"/>
        <v>152.13488587094145</v>
      </c>
      <c r="N137">
        <f t="shared" si="19"/>
        <v>3.3217588006518785E-2</v>
      </c>
      <c r="O137" s="2">
        <f t="shared" si="20"/>
        <v>0.88952594528762652</v>
      </c>
      <c r="P137" s="2">
        <f t="shared" si="21"/>
        <v>10.784985825660845</v>
      </c>
      <c r="Q137">
        <f t="shared" si="22"/>
        <v>2.4668263336432767</v>
      </c>
    </row>
    <row r="138" spans="1:17" x14ac:dyDescent="0.25">
      <c r="A138" s="1">
        <v>44701.333414351851</v>
      </c>
      <c r="B138">
        <v>0</v>
      </c>
      <c r="C138">
        <v>0</v>
      </c>
      <c r="D138">
        <v>0</v>
      </c>
      <c r="E138">
        <v>0</v>
      </c>
      <c r="F138">
        <v>171029171972886</v>
      </c>
      <c r="G138">
        <v>1</v>
      </c>
      <c r="H138">
        <v>4.3480391469828352E-5</v>
      </c>
      <c r="I138">
        <v>22998.872967689673</v>
      </c>
      <c r="J138">
        <v>381</v>
      </c>
      <c r="K138">
        <f t="shared" si="16"/>
        <v>4.3480391469828357</v>
      </c>
      <c r="L138">
        <f t="shared" si="17"/>
        <v>4.348039146982835E-10</v>
      </c>
      <c r="M138">
        <f t="shared" si="18"/>
        <v>152.13488587094145</v>
      </c>
      <c r="N138">
        <f t="shared" si="19"/>
        <v>0</v>
      </c>
      <c r="O138" s="2">
        <f t="shared" si="20"/>
        <v>0.88952594528762652</v>
      </c>
      <c r="P138" s="2">
        <f t="shared" si="21"/>
        <v>0</v>
      </c>
      <c r="Q138">
        <f t="shared" si="22"/>
        <v>0</v>
      </c>
    </row>
    <row r="139" spans="1:17" x14ac:dyDescent="0.25">
      <c r="A139" s="1">
        <v>44702.333402777775</v>
      </c>
      <c r="B139">
        <v>0</v>
      </c>
      <c r="C139">
        <v>0</v>
      </c>
      <c r="D139">
        <v>0</v>
      </c>
      <c r="E139">
        <v>0</v>
      </c>
      <c r="F139">
        <v>171029171972886</v>
      </c>
      <c r="G139">
        <v>1</v>
      </c>
      <c r="H139">
        <v>4.3480391469828352E-5</v>
      </c>
      <c r="I139">
        <v>22998.872967689673</v>
      </c>
      <c r="J139">
        <v>382</v>
      </c>
      <c r="K139">
        <f t="shared" si="16"/>
        <v>4.3480391469828357</v>
      </c>
      <c r="L139">
        <f t="shared" si="17"/>
        <v>4.348039146982835E-10</v>
      </c>
      <c r="M139">
        <f t="shared" si="18"/>
        <v>152.13488587094145</v>
      </c>
      <c r="N139">
        <f t="shared" si="19"/>
        <v>0</v>
      </c>
      <c r="O139" s="2">
        <f t="shared" si="20"/>
        <v>0.88952594528762652</v>
      </c>
      <c r="P139" s="2">
        <f t="shared" si="21"/>
        <v>0</v>
      </c>
      <c r="Q139">
        <f t="shared" si="22"/>
        <v>0</v>
      </c>
    </row>
    <row r="140" spans="1:17" x14ac:dyDescent="0.25">
      <c r="A140" s="1">
        <v>44703.333472222221</v>
      </c>
      <c r="B140">
        <v>1.7004548907279968</v>
      </c>
      <c r="C140">
        <v>20</v>
      </c>
      <c r="D140">
        <v>8.664168999530375E-4</v>
      </c>
      <c r="E140">
        <v>5.1013648044317961E-3</v>
      </c>
      <c r="F140">
        <v>171029171972886</v>
      </c>
      <c r="G140">
        <v>1</v>
      </c>
      <c r="H140">
        <v>4.341522302954001E-5</v>
      </c>
      <c r="I140">
        <v>23033.39543642545</v>
      </c>
      <c r="J140">
        <v>383</v>
      </c>
      <c r="K140">
        <f t="shared" si="16"/>
        <v>4.3415223029540009</v>
      </c>
      <c r="L140">
        <f t="shared" si="17"/>
        <v>4.3415223029540011E-10</v>
      </c>
      <c r="M140">
        <f t="shared" si="18"/>
        <v>152.24902412502237</v>
      </c>
      <c r="N140">
        <f t="shared" si="19"/>
        <v>2.5992506998591127E-6</v>
      </c>
      <c r="O140" s="2">
        <f t="shared" si="20"/>
        <v>0.89019330660829654</v>
      </c>
      <c r="P140" s="2">
        <f t="shared" si="21"/>
        <v>8.4454998495220204E-4</v>
      </c>
      <c r="Q140">
        <f t="shared" si="22"/>
        <v>8.4419355328234087E-4</v>
      </c>
    </row>
    <row r="141" spans="1:17" x14ac:dyDescent="0.25">
      <c r="A141" s="1">
        <v>44704.333368055559</v>
      </c>
      <c r="B141">
        <v>0</v>
      </c>
      <c r="C141">
        <v>0</v>
      </c>
      <c r="D141">
        <v>0</v>
      </c>
      <c r="E141">
        <v>0</v>
      </c>
      <c r="F141">
        <v>171029171972886</v>
      </c>
      <c r="G141">
        <v>1</v>
      </c>
      <c r="H141">
        <v>4.341522302954001E-5</v>
      </c>
      <c r="I141">
        <v>23033.39543642545</v>
      </c>
      <c r="J141">
        <v>384</v>
      </c>
      <c r="K141">
        <f t="shared" si="16"/>
        <v>4.3415223029540009</v>
      </c>
      <c r="L141">
        <f t="shared" si="17"/>
        <v>4.3415223029540011E-10</v>
      </c>
      <c r="M141">
        <f t="shared" si="18"/>
        <v>152.24902412502237</v>
      </c>
      <c r="N141">
        <f t="shared" si="19"/>
        <v>0</v>
      </c>
      <c r="O141" s="2">
        <f t="shared" si="20"/>
        <v>0.89019330660829654</v>
      </c>
      <c r="P141" s="2">
        <f t="shared" si="21"/>
        <v>0</v>
      </c>
      <c r="Q141">
        <f t="shared" si="22"/>
        <v>0</v>
      </c>
    </row>
    <row r="142" spans="1:17" x14ac:dyDescent="0.25">
      <c r="A142" s="1">
        <v>44705.33353009259</v>
      </c>
      <c r="B142">
        <v>0</v>
      </c>
      <c r="C142">
        <v>0</v>
      </c>
      <c r="D142">
        <v>0</v>
      </c>
      <c r="E142">
        <v>0</v>
      </c>
      <c r="F142">
        <v>171029171972886</v>
      </c>
      <c r="G142">
        <v>1</v>
      </c>
      <c r="H142">
        <v>4.341522302954001E-5</v>
      </c>
      <c r="I142">
        <v>23033.39543642545</v>
      </c>
      <c r="J142">
        <v>385</v>
      </c>
      <c r="K142">
        <f t="shared" si="16"/>
        <v>4.3415223029540009</v>
      </c>
      <c r="L142">
        <f t="shared" si="17"/>
        <v>4.3415223029540011E-10</v>
      </c>
      <c r="M142">
        <f t="shared" si="18"/>
        <v>152.24902412502237</v>
      </c>
      <c r="N142">
        <f t="shared" si="19"/>
        <v>0</v>
      </c>
      <c r="O142" s="2">
        <f t="shared" si="20"/>
        <v>0.89019330660829654</v>
      </c>
      <c r="P142" s="2">
        <f t="shared" si="21"/>
        <v>0</v>
      </c>
      <c r="Q142">
        <f t="shared" si="22"/>
        <v>0</v>
      </c>
    </row>
    <row r="143" spans="1:17" x14ac:dyDescent="0.25">
      <c r="A143" s="1">
        <v>44706.333622685182</v>
      </c>
      <c r="B143">
        <v>0</v>
      </c>
      <c r="C143">
        <v>0</v>
      </c>
      <c r="D143">
        <v>0</v>
      </c>
      <c r="E143">
        <v>0</v>
      </c>
      <c r="J143">
        <v>386</v>
      </c>
      <c r="K143">
        <f t="shared" si="16"/>
        <v>0</v>
      </c>
      <c r="L143">
        <f t="shared" si="17"/>
        <v>0</v>
      </c>
      <c r="M143" t="e">
        <f t="shared" si="18"/>
        <v>#DIV/0!</v>
      </c>
      <c r="N143">
        <f t="shared" si="19"/>
        <v>0</v>
      </c>
      <c r="O143" s="2" t="e">
        <f t="shared" si="20"/>
        <v>#DIV/0!</v>
      </c>
      <c r="P143" s="2" t="e">
        <f t="shared" si="21"/>
        <v>#DIV/0!</v>
      </c>
      <c r="Q143" t="e">
        <f t="shared" si="22"/>
        <v>#DIV/0!</v>
      </c>
    </row>
    <row r="144" spans="1:17" x14ac:dyDescent="0.25">
      <c r="A144" s="1">
        <v>44707.333634259259</v>
      </c>
      <c r="B144">
        <v>1859.4167366623878</v>
      </c>
      <c r="C144">
        <v>21264.397132992744</v>
      </c>
      <c r="D144">
        <v>1.0231102957623079</v>
      </c>
      <c r="E144">
        <v>5.578250209800899</v>
      </c>
      <c r="J144">
        <v>387</v>
      </c>
      <c r="K144">
        <f t="shared" si="16"/>
        <v>0</v>
      </c>
      <c r="L144">
        <f t="shared" si="17"/>
        <v>0</v>
      </c>
      <c r="M144" t="e">
        <f t="shared" si="18"/>
        <v>#DIV/0!</v>
      </c>
      <c r="N144">
        <f t="shared" si="19"/>
        <v>3.0693308872869239E-3</v>
      </c>
      <c r="O144" s="2" t="e">
        <f t="shared" si="20"/>
        <v>#DIV/0!</v>
      </c>
      <c r="P144" s="2" t="e">
        <f t="shared" si="21"/>
        <v>#DIV/0!</v>
      </c>
      <c r="Q144" t="e">
        <f t="shared" si="22"/>
        <v>#DIV/0!</v>
      </c>
    </row>
    <row r="145" spans="1:17" x14ac:dyDescent="0.25">
      <c r="A145" s="1">
        <v>44708.33353009259</v>
      </c>
      <c r="B145">
        <v>54344.519208073616</v>
      </c>
      <c r="C145">
        <v>1031102.5270650387</v>
      </c>
      <c r="D145">
        <v>29.329203599103494</v>
      </c>
      <c r="E145">
        <v>163.03355762432329</v>
      </c>
      <c r="J145">
        <v>388</v>
      </c>
      <c r="K145">
        <f t="shared" si="16"/>
        <v>0</v>
      </c>
      <c r="L145">
        <f t="shared" si="17"/>
        <v>0</v>
      </c>
      <c r="M145" t="e">
        <f t="shared" si="18"/>
        <v>#DIV/0!</v>
      </c>
      <c r="N145">
        <f t="shared" si="19"/>
        <v>8.7987610797310489E-2</v>
      </c>
      <c r="O145" s="2" t="e">
        <f t="shared" si="20"/>
        <v>#DIV/0!</v>
      </c>
      <c r="P145" s="2" t="e">
        <f t="shared" si="21"/>
        <v>#DIV/0!</v>
      </c>
      <c r="Q145" t="e">
        <f t="shared" si="22"/>
        <v>#DIV/0!</v>
      </c>
    </row>
    <row r="146" spans="1:17" x14ac:dyDescent="0.25">
      <c r="A146" s="1">
        <v>44709.333587962959</v>
      </c>
      <c r="B146">
        <v>0</v>
      </c>
      <c r="C146">
        <v>0</v>
      </c>
      <c r="D146">
        <v>0</v>
      </c>
      <c r="E146">
        <v>0</v>
      </c>
      <c r="J146">
        <v>389</v>
      </c>
      <c r="K146">
        <f t="shared" si="16"/>
        <v>0</v>
      </c>
      <c r="L146">
        <f t="shared" si="17"/>
        <v>0</v>
      </c>
      <c r="M146" t="e">
        <f t="shared" si="18"/>
        <v>#DIV/0!</v>
      </c>
      <c r="N146">
        <f t="shared" si="19"/>
        <v>0</v>
      </c>
      <c r="O146" s="2" t="e">
        <f t="shared" si="20"/>
        <v>#DIV/0!</v>
      </c>
      <c r="P146" s="2" t="e">
        <f t="shared" si="21"/>
        <v>#DIV/0!</v>
      </c>
      <c r="Q146" t="e">
        <f t="shared" si="22"/>
        <v>#DIV/0!</v>
      </c>
    </row>
    <row r="147" spans="1:17" x14ac:dyDescent="0.25">
      <c r="A147" s="1">
        <v>44710.333414351851</v>
      </c>
      <c r="B147">
        <v>0</v>
      </c>
      <c r="C147">
        <v>0</v>
      </c>
      <c r="D147">
        <v>0</v>
      </c>
      <c r="E147">
        <v>0</v>
      </c>
      <c r="J147">
        <v>390</v>
      </c>
      <c r="K147">
        <f t="shared" si="16"/>
        <v>0</v>
      </c>
      <c r="L147">
        <f t="shared" si="17"/>
        <v>0</v>
      </c>
      <c r="M147" t="e">
        <f t="shared" si="18"/>
        <v>#DIV/0!</v>
      </c>
      <c r="N147">
        <f t="shared" si="19"/>
        <v>0</v>
      </c>
      <c r="O147" s="2" t="e">
        <f t="shared" si="20"/>
        <v>#DIV/0!</v>
      </c>
      <c r="P147" s="2" t="e">
        <f t="shared" si="21"/>
        <v>#DIV/0!</v>
      </c>
      <c r="Q147" t="e">
        <f t="shared" si="22"/>
        <v>#DIV/0!</v>
      </c>
    </row>
    <row r="148" spans="1:17" x14ac:dyDescent="0.25">
      <c r="A148" s="1">
        <v>44711.333506944444</v>
      </c>
      <c r="B148">
        <v>114.35893499851227</v>
      </c>
      <c r="C148">
        <v>2917.7343850135803</v>
      </c>
      <c r="D148">
        <v>6.2980772374430671E-2</v>
      </c>
      <c r="E148">
        <v>0.34307680488564074</v>
      </c>
      <c r="J148">
        <v>391</v>
      </c>
      <c r="K148">
        <f t="shared" si="16"/>
        <v>0</v>
      </c>
      <c r="L148">
        <f t="shared" si="17"/>
        <v>0</v>
      </c>
      <c r="M148" t="e">
        <f t="shared" si="18"/>
        <v>#DIV/0!</v>
      </c>
      <c r="N148">
        <f t="shared" si="19"/>
        <v>1.8894231712329203E-4</v>
      </c>
      <c r="O148" s="2" t="e">
        <f t="shared" si="20"/>
        <v>#DIV/0!</v>
      </c>
      <c r="P148" s="2" t="e">
        <f t="shared" si="21"/>
        <v>#DIV/0!</v>
      </c>
      <c r="Q148" t="e">
        <f t="shared" si="22"/>
        <v>#DIV/0!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HistoricalActiveLiquidity">
                <anchor moveWithCells="1" sizeWithCells="1">
                  <from>
                    <xdr:col>21</xdr:col>
                    <xdr:colOff>85725</xdr:colOff>
                    <xdr:row>1</xdr:row>
                    <xdr:rowOff>57150</xdr:rowOff>
                  </from>
                  <to>
                    <xdr:col>22</xdr:col>
                    <xdr:colOff>466725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130"/>
  <sheetViews>
    <sheetView workbookViewId="0">
      <selection activeCell="U111" sqref="U111"/>
    </sheetView>
  </sheetViews>
  <sheetFormatPr defaultRowHeight="15" x14ac:dyDescent="0.25"/>
  <cols>
    <col min="1" max="1" width="14.140625" style="6" bestFit="1" customWidth="1"/>
    <col min="2" max="4" width="14.140625" style="7" customWidth="1"/>
    <col min="5" max="5" width="11.7109375" style="8" bestFit="1" customWidth="1"/>
    <col min="6" max="6" width="12.140625" bestFit="1" customWidth="1"/>
    <col min="7" max="7" width="9.42578125" bestFit="1" customWidth="1"/>
    <col min="8" max="8" width="12" bestFit="1" customWidth="1"/>
    <col min="9" max="9" width="9.42578125" bestFit="1" customWidth="1"/>
    <col min="10" max="11" width="9.42578125" hidden="1" customWidth="1"/>
    <col min="12" max="12" width="12.140625" hidden="1" customWidth="1"/>
    <col min="13" max="15" width="9.42578125" bestFit="1" customWidth="1"/>
    <col min="16" max="16" width="12.42578125" bestFit="1" customWidth="1"/>
    <col min="17" max="20" width="9.42578125" bestFit="1" customWidth="1"/>
    <col min="21" max="25" width="9.28515625" bestFit="1" customWidth="1"/>
    <col min="26" max="27" width="12" bestFit="1" customWidth="1"/>
  </cols>
  <sheetData>
    <row r="1" spans="1:29" x14ac:dyDescent="0.25">
      <c r="A1" s="6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54</v>
      </c>
      <c r="Y1" t="s">
        <v>55</v>
      </c>
      <c r="Z1" t="s">
        <v>56</v>
      </c>
    </row>
    <row r="2" spans="1:29" x14ac:dyDescent="0.25">
      <c r="A2" s="6">
        <v>44587.333379629628</v>
      </c>
      <c r="B2" s="7">
        <v>931982.94436022732</v>
      </c>
      <c r="C2" s="7">
        <v>936078.5934620006</v>
      </c>
      <c r="D2" s="7">
        <v>381.87527641292854</v>
      </c>
      <c r="E2" s="8">
        <v>2795.948833080678</v>
      </c>
      <c r="F2">
        <v>1.646879957347985E+17</v>
      </c>
      <c r="G2">
        <v>3</v>
      </c>
      <c r="H2">
        <v>3.9750178435760542E-4</v>
      </c>
      <c r="I2">
        <v>2515.7119775350939</v>
      </c>
      <c r="J2">
        <v>167</v>
      </c>
      <c r="K2">
        <f t="shared" ref="K2:K65" si="0">(1+$AC$16)*H2</f>
        <v>3.9750178435760505E+22</v>
      </c>
      <c r="L2">
        <f t="shared" ref="L2:L65" si="1">H2/(1+$AC$16)</f>
        <v>3.975017843576058E-30</v>
      </c>
      <c r="M2">
        <f>1/(SQRT(H2)-SQRT(L2))</f>
        <v>50.156873681835449</v>
      </c>
      <c r="N2">
        <f t="shared" ref="N2:N65" si="2">D2*0.003</f>
        <v>1.1456258292387858</v>
      </c>
      <c r="O2" s="2">
        <f>M2/(F2/POWER(10,$AC$21))</f>
        <v>3.0455694999533792E-4</v>
      </c>
      <c r="P2" s="2">
        <f>O2*N2*365</f>
        <v>0.12735153256192822</v>
      </c>
      <c r="Q2">
        <f>LN(1+P2/365)</f>
        <v>3.4884745403955596E-4</v>
      </c>
      <c r="R2">
        <f>Q2</f>
        <v>3.4884745403955596E-4</v>
      </c>
      <c r="S2">
        <f>H2/$H$2</f>
        <v>1</v>
      </c>
      <c r="T2">
        <f>2*SQRT(S2)*EXP(R2)/(1+S2)-1</f>
        <v>3.489083083887401E-4</v>
      </c>
      <c r="U2">
        <f>SQRT(S2)*EXP(R2)-1</f>
        <v>3.489083083887401E-4</v>
      </c>
      <c r="V2">
        <f>2*1*SQRT(S2)*EXP(R2)</f>
        <v>2.0006978166167775</v>
      </c>
      <c r="W2">
        <f>I2/$I$2</f>
        <v>1</v>
      </c>
      <c r="X2">
        <f>2*SQRT(W2)*EXP(R2)/(1+W2)-1</f>
        <v>3.489083083887401E-4</v>
      </c>
      <c r="Y2">
        <f>SQRT(W2)*EXP(R2)-1</f>
        <v>3.489083083887401E-4</v>
      </c>
      <c r="Z2">
        <f>2*1*SQRT(W2)*EXP(R2)</f>
        <v>2.0006978166167775</v>
      </c>
    </row>
    <row r="3" spans="1:29" x14ac:dyDescent="0.25">
      <c r="A3" s="6">
        <v>44588.333333333336</v>
      </c>
      <c r="B3" s="7">
        <v>1345338.5186996479</v>
      </c>
      <c r="C3" s="7">
        <v>1344423.175255999</v>
      </c>
      <c r="D3" s="7">
        <v>534.37838911307836</v>
      </c>
      <c r="E3" s="8">
        <v>4036.0155560989479</v>
      </c>
      <c r="F3">
        <v>1.646879957347985E+17</v>
      </c>
      <c r="G3">
        <v>3</v>
      </c>
      <c r="H3">
        <v>4.0968882705243496E-4</v>
      </c>
      <c r="I3">
        <v>2440.8769143026025</v>
      </c>
      <c r="J3">
        <v>168</v>
      </c>
      <c r="K3">
        <f t="shared" si="0"/>
        <v>4.0968882705243453E+22</v>
      </c>
      <c r="L3">
        <f t="shared" si="1"/>
        <v>4.0968882705243536E-30</v>
      </c>
      <c r="M3">
        <f>1/(SQRT(H3)-SQRT(L3))</f>
        <v>49.405231649118797</v>
      </c>
      <c r="N3">
        <f t="shared" si="2"/>
        <v>1.6031351673392351</v>
      </c>
      <c r="O3" s="2">
        <f t="shared" ref="O3:O66" si="3">M3/(F3/POWER(10,$AC$21))</f>
        <v>2.9999291344025687E-4</v>
      </c>
      <c r="P3" s="2">
        <f t="shared" ref="P3:P14" si="4">O3*N3*365</f>
        <v>0.17553915416335028</v>
      </c>
      <c r="Q3">
        <f t="shared" ref="Q3:Q66" si="5">LN(1+P3/365)</f>
        <v>4.8081358011120117E-4</v>
      </c>
      <c r="R3">
        <f>Q3+R2</f>
        <v>8.2966103415075708E-4</v>
      </c>
      <c r="S3">
        <f t="shared" ref="S3:S66" si="6">H3/$H$2</f>
        <v>1.0306590892781142</v>
      </c>
      <c r="T3">
        <f t="shared" ref="T3:T66" si="7">2*SQRT(S3)*EXP(R3)/(1+S3)-1</f>
        <v>7.1592791899743879E-4</v>
      </c>
      <c r="U3">
        <f t="shared" ref="U3:U66" si="8">SQRT(S3)*EXP(R3)-1</f>
        <v>1.6056447407047258E-2</v>
      </c>
      <c r="V3">
        <f t="shared" ref="V3:V66" si="9">2*1*SQRT(S3)*EXP(R3)</f>
        <v>2.0321128948140945</v>
      </c>
      <c r="W3">
        <f t="shared" ref="W3:W66" si="10">I3/$I$2</f>
        <v>0.97025292883257042</v>
      </c>
      <c r="X3">
        <f t="shared" ref="X3:X66" si="11">2*SQRT(W3)*EXP(R3)/(1+W3)-1</f>
        <v>7.1592791899743879E-4</v>
      </c>
      <c r="Y3">
        <f t="shared" ref="Y3:Y66" si="12">SQRT(W3)*EXP(R3)-1</f>
        <v>-1.4168256044095884E-2</v>
      </c>
      <c r="Z3">
        <f t="shared" ref="Z3:Z66" si="13">2*1*SQRT(W3)*EXP(R3)</f>
        <v>1.9716634879118082</v>
      </c>
    </row>
    <row r="4" spans="1:29" x14ac:dyDescent="0.25">
      <c r="A4" s="6">
        <v>44589.333344907405</v>
      </c>
      <c r="B4" s="7">
        <v>1294620.9577400591</v>
      </c>
      <c r="C4" s="7">
        <v>1315370.4758950006</v>
      </c>
      <c r="D4" s="7">
        <v>535.79597351500342</v>
      </c>
      <c r="E4" s="8">
        <v>3883.862873220176</v>
      </c>
      <c r="F4">
        <v>1.646879957347985E+17</v>
      </c>
      <c r="G4">
        <v>3</v>
      </c>
      <c r="H4">
        <v>4.1563072808878897E-4</v>
      </c>
      <c r="I4">
        <v>2405.9818786698929</v>
      </c>
      <c r="J4">
        <v>169</v>
      </c>
      <c r="K4">
        <f t="shared" si="0"/>
        <v>4.156307280887886E+22</v>
      </c>
      <c r="L4">
        <f t="shared" si="1"/>
        <v>4.1563072808878936E-30</v>
      </c>
      <c r="M4">
        <f t="shared" ref="M4:M15" si="14">1/(SQRT(H4)-SQRT(L4))</f>
        <v>49.050809154084043</v>
      </c>
      <c r="N4">
        <f t="shared" si="2"/>
        <v>1.6073879205450103</v>
      </c>
      <c r="O4" s="2">
        <f t="shared" si="3"/>
        <v>2.9784082886691923E-4</v>
      </c>
      <c r="P4" s="2">
        <f t="shared" si="4"/>
        <v>0.17474219895651685</v>
      </c>
      <c r="Q4">
        <f t="shared" si="5"/>
        <v>4.7863118838152851E-4</v>
      </c>
      <c r="R4">
        <f t="shared" ref="R4:R67" si="15">Q4+R3</f>
        <v>1.3082922225322855E-3</v>
      </c>
      <c r="S4">
        <f t="shared" si="6"/>
        <v>1.0456072008845982</v>
      </c>
      <c r="T4">
        <f t="shared" si="7"/>
        <v>1.0602543586897273E-3</v>
      </c>
      <c r="U4">
        <f t="shared" si="8"/>
        <v>2.3888032417751504E-2</v>
      </c>
      <c r="V4">
        <f t="shared" si="9"/>
        <v>2.047776064835503</v>
      </c>
      <c r="W4">
        <f t="shared" si="10"/>
        <v>0.95638208990334617</v>
      </c>
      <c r="X4">
        <f t="shared" si="11"/>
        <v>1.0602543586897273E-3</v>
      </c>
      <c r="Y4">
        <f t="shared" si="12"/>
        <v>-2.0771823729285654E-2</v>
      </c>
      <c r="Z4">
        <f t="shared" si="13"/>
        <v>1.9584563525414287</v>
      </c>
    </row>
    <row r="5" spans="1:29" x14ac:dyDescent="0.25">
      <c r="A5" s="6">
        <v>44590.333356481482</v>
      </c>
      <c r="B5" s="7">
        <v>516130.52846415713</v>
      </c>
      <c r="C5" s="7">
        <v>520242.72192200087</v>
      </c>
      <c r="D5" s="7">
        <v>209.27455436373702</v>
      </c>
      <c r="E5" s="8">
        <v>1548.39158539247</v>
      </c>
      <c r="F5">
        <v>1.646879957347985E+17</v>
      </c>
      <c r="G5">
        <v>3</v>
      </c>
      <c r="H5">
        <v>3.8990393488339692E-4</v>
      </c>
      <c r="I5">
        <v>2564.7343115402409</v>
      </c>
      <c r="J5">
        <v>170</v>
      </c>
      <c r="K5">
        <f t="shared" si="0"/>
        <v>3.8990393488339657E+22</v>
      </c>
      <c r="L5">
        <f t="shared" si="1"/>
        <v>3.8990393488339729E-30</v>
      </c>
      <c r="M5">
        <f t="shared" si="14"/>
        <v>50.64320597613024</v>
      </c>
      <c r="N5">
        <f t="shared" si="2"/>
        <v>0.62782366309121107</v>
      </c>
      <c r="O5" s="2">
        <f t="shared" si="3"/>
        <v>3.0751000247572605E-4</v>
      </c>
      <c r="P5" s="2">
        <f t="shared" si="4"/>
        <v>7.0467650509896673E-2</v>
      </c>
      <c r="Q5">
        <f t="shared" si="5"/>
        <v>1.930434221109534E-4</v>
      </c>
      <c r="R5">
        <f t="shared" si="15"/>
        <v>1.5013356446432389E-3</v>
      </c>
      <c r="S5">
        <f t="shared" si="6"/>
        <v>0.98088599907422491</v>
      </c>
      <c r="T5">
        <f t="shared" si="7"/>
        <v>1.4558384782550338E-3</v>
      </c>
      <c r="U5">
        <f t="shared" si="8"/>
        <v>-8.115075433643093E-3</v>
      </c>
      <c r="V5">
        <f t="shared" si="9"/>
        <v>1.9837698491327138</v>
      </c>
      <c r="W5">
        <f t="shared" si="10"/>
        <v>1.0194864652404205</v>
      </c>
      <c r="X5">
        <f t="shared" si="11"/>
        <v>1.4558384782548117E-3</v>
      </c>
      <c r="Y5">
        <f t="shared" si="12"/>
        <v>1.1213255671416178E-2</v>
      </c>
      <c r="Z5">
        <f t="shared" si="13"/>
        <v>2.0224265113428324</v>
      </c>
    </row>
    <row r="6" spans="1:29" x14ac:dyDescent="0.25">
      <c r="A6" s="6">
        <v>44591.333379629628</v>
      </c>
      <c r="B6" s="7">
        <v>337604.61027519964</v>
      </c>
      <c r="C6" s="7">
        <v>337679.37381599844</v>
      </c>
      <c r="D6" s="7">
        <v>130.43173150628627</v>
      </c>
      <c r="E6" s="8">
        <v>1012.8138308255984</v>
      </c>
      <c r="F6">
        <v>1.646879957347985E+17</v>
      </c>
      <c r="G6">
        <v>3</v>
      </c>
      <c r="H6">
        <v>3.8268083887284525E-4</v>
      </c>
      <c r="I6">
        <v>2613.1436393455633</v>
      </c>
      <c r="J6">
        <v>171</v>
      </c>
      <c r="K6">
        <f t="shared" si="0"/>
        <v>3.8268083887284488E+22</v>
      </c>
      <c r="L6">
        <f t="shared" si="1"/>
        <v>3.8268083887284561E-30</v>
      </c>
      <c r="M6">
        <f t="shared" si="14"/>
        <v>51.118916648791441</v>
      </c>
      <c r="N6">
        <f t="shared" si="2"/>
        <v>0.3912951945188588</v>
      </c>
      <c r="O6" s="2">
        <f t="shared" si="3"/>
        <v>3.1039855953502284E-4</v>
      </c>
      <c r="P6" s="2">
        <f t="shared" si="4"/>
        <v>4.4331974627045072E-2</v>
      </c>
      <c r="Q6">
        <f t="shared" si="5"/>
        <v>1.2145008937100856E-4</v>
      </c>
      <c r="R6">
        <f t="shared" si="15"/>
        <v>1.6227857340142475E-3</v>
      </c>
      <c r="S6">
        <f t="shared" si="6"/>
        <v>0.96271476992559413</v>
      </c>
      <c r="T6">
        <f t="shared" si="7"/>
        <v>1.4433552752339818E-3</v>
      </c>
      <c r="U6">
        <f t="shared" si="8"/>
        <v>-1.72261676787272E-2</v>
      </c>
      <c r="V6">
        <f t="shared" si="9"/>
        <v>1.9655476646425456</v>
      </c>
      <c r="W6">
        <f t="shared" si="10"/>
        <v>1.0387292594225883</v>
      </c>
      <c r="X6">
        <f t="shared" si="11"/>
        <v>1.4433552752339818E-3</v>
      </c>
      <c r="Y6">
        <f t="shared" si="12"/>
        <v>2.0835935026974894E-2</v>
      </c>
      <c r="Z6">
        <f t="shared" si="13"/>
        <v>2.0416718700539498</v>
      </c>
    </row>
    <row r="7" spans="1:29" x14ac:dyDescent="0.25">
      <c r="A7" s="6">
        <v>44592.333611111113</v>
      </c>
      <c r="B7" s="7">
        <v>480523.42749903537</v>
      </c>
      <c r="C7" s="7">
        <v>480878.27818700112</v>
      </c>
      <c r="D7" s="7">
        <v>188.11147198770959</v>
      </c>
      <c r="E7" s="8">
        <v>1441.5702824971086</v>
      </c>
      <c r="F7">
        <v>1.646879957347985E+17</v>
      </c>
      <c r="G7">
        <v>3</v>
      </c>
      <c r="H7">
        <v>3.9413750584011103E-4</v>
      </c>
      <c r="I7">
        <v>2537.1855892488143</v>
      </c>
      <c r="J7">
        <v>172</v>
      </c>
      <c r="K7">
        <f t="shared" si="0"/>
        <v>3.9413750584011068E+22</v>
      </c>
      <c r="L7">
        <f t="shared" si="1"/>
        <v>3.9413750584011141E-30</v>
      </c>
      <c r="M7">
        <f t="shared" si="14"/>
        <v>50.370483313636385</v>
      </c>
      <c r="N7">
        <f t="shared" si="2"/>
        <v>0.56433441596312883</v>
      </c>
      <c r="O7" s="2">
        <f t="shared" si="3"/>
        <v>3.0585400647384966E-4</v>
      </c>
      <c r="P7" s="2">
        <f t="shared" si="4"/>
        <v>6.3000438871392089E-2</v>
      </c>
      <c r="Q7">
        <f t="shared" si="5"/>
        <v>1.7258904776693248E-4</v>
      </c>
      <c r="R7">
        <f t="shared" si="15"/>
        <v>1.7953747817811799E-3</v>
      </c>
      <c r="S7">
        <f t="shared" si="6"/>
        <v>0.99153644423777532</v>
      </c>
      <c r="T7">
        <f t="shared" si="7"/>
        <v>1.7879409257439693E-3</v>
      </c>
      <c r="U7">
        <f t="shared" si="8"/>
        <v>-2.4514031242305334E-3</v>
      </c>
      <c r="V7">
        <f t="shared" si="9"/>
        <v>1.9950971937515389</v>
      </c>
      <c r="W7">
        <f t="shared" si="10"/>
        <v>1.0085357989728063</v>
      </c>
      <c r="X7">
        <f t="shared" si="11"/>
        <v>1.7879409257441914E-3</v>
      </c>
      <c r="Y7">
        <f t="shared" si="12"/>
        <v>6.0634711643059447E-3</v>
      </c>
      <c r="Z7">
        <f t="shared" si="13"/>
        <v>2.0121269423286119</v>
      </c>
    </row>
    <row r="8" spans="1:29" x14ac:dyDescent="0.25">
      <c r="A8" s="6">
        <v>44593.333356481482</v>
      </c>
      <c r="B8" s="7">
        <v>602251.4889326077</v>
      </c>
      <c r="C8" s="7">
        <v>601446.3946739994</v>
      </c>
      <c r="D8" s="7">
        <v>223.05165314828355</v>
      </c>
      <c r="E8" s="8">
        <v>1806.7544667978218</v>
      </c>
      <c r="F8">
        <v>1.646879957347985E+17</v>
      </c>
      <c r="G8">
        <v>3</v>
      </c>
      <c r="H8">
        <v>3.6097338964202129E-4</v>
      </c>
      <c r="I8">
        <v>2770.2873084126891</v>
      </c>
      <c r="J8">
        <v>173</v>
      </c>
      <c r="K8">
        <f t="shared" si="0"/>
        <v>3.6097338964202094E+22</v>
      </c>
      <c r="L8">
        <f t="shared" si="1"/>
        <v>3.6097338964202162E-30</v>
      </c>
      <c r="M8">
        <f>1/(SQRT(H8)-SQRT(L8))</f>
        <v>52.633518867858754</v>
      </c>
      <c r="N8">
        <f t="shared" si="2"/>
        <v>0.66915495944485071</v>
      </c>
      <c r="O8" s="2">
        <f t="shared" si="3"/>
        <v>3.1959535746986636E-4</v>
      </c>
      <c r="P8" s="2">
        <f t="shared" si="4"/>
        <v>7.8058468740276513E-2</v>
      </c>
      <c r="Q8">
        <f t="shared" si="5"/>
        <v>2.1383595392926273E-4</v>
      </c>
      <c r="R8">
        <f t="shared" si="15"/>
        <v>2.0092107357104426E-3</v>
      </c>
      <c r="S8">
        <f t="shared" si="6"/>
        <v>0.90810507989387534</v>
      </c>
      <c r="T8">
        <f t="shared" si="7"/>
        <v>8.4851609202063472E-4</v>
      </c>
      <c r="U8">
        <f t="shared" si="8"/>
        <v>-4.513793112028408E-2</v>
      </c>
      <c r="V8">
        <f t="shared" si="9"/>
        <v>1.9097241377594318</v>
      </c>
      <c r="W8">
        <f t="shared" si="10"/>
        <v>1.1011941482772718</v>
      </c>
      <c r="X8">
        <f t="shared" si="11"/>
        <v>8.4851609202063472E-4</v>
      </c>
      <c r="Y8">
        <f t="shared" si="12"/>
        <v>5.1488522662272329E-2</v>
      </c>
      <c r="Z8">
        <f t="shared" si="13"/>
        <v>2.1029770453245447</v>
      </c>
    </row>
    <row r="9" spans="1:29" x14ac:dyDescent="0.25">
      <c r="A9" s="6">
        <v>44594.333553240744</v>
      </c>
      <c r="B9" s="7">
        <v>191089.00874544866</v>
      </c>
      <c r="C9" s="7">
        <v>190684.67100300081</v>
      </c>
      <c r="D9" s="7">
        <v>68.746068155565808</v>
      </c>
      <c r="E9" s="8">
        <v>573.26702623634628</v>
      </c>
      <c r="F9">
        <v>1.646879957347985E+17</v>
      </c>
      <c r="G9">
        <v>3</v>
      </c>
      <c r="H9">
        <v>3.5992813542502631E-4</v>
      </c>
      <c r="I9">
        <v>2778.3323991027701</v>
      </c>
      <c r="J9">
        <v>174</v>
      </c>
      <c r="K9">
        <f t="shared" si="0"/>
        <v>3.5992813542502595E+22</v>
      </c>
      <c r="L9">
        <f t="shared" si="1"/>
        <v>3.5992813542502669E-30</v>
      </c>
      <c r="M9">
        <f t="shared" si="14"/>
        <v>52.709889006744511</v>
      </c>
      <c r="N9">
        <f t="shared" si="2"/>
        <v>0.20623820446669744</v>
      </c>
      <c r="O9" s="2">
        <f t="shared" si="3"/>
        <v>3.2005908367252624E-4</v>
      </c>
      <c r="P9" s="2">
        <f t="shared" si="4"/>
        <v>2.4093069920055575E-2</v>
      </c>
      <c r="Q9">
        <f t="shared" si="5"/>
        <v>6.6006232280501506E-5</v>
      </c>
      <c r="R9">
        <f t="shared" si="15"/>
        <v>2.0752169679909443E-3</v>
      </c>
      <c r="S9">
        <f t="shared" si="6"/>
        <v>0.90547552134061204</v>
      </c>
      <c r="T9">
        <f t="shared" si="7"/>
        <v>8.436405961276261E-4</v>
      </c>
      <c r="U9">
        <f t="shared" si="8"/>
        <v>-4.6458471077328811E-2</v>
      </c>
      <c r="V9">
        <f t="shared" si="9"/>
        <v>1.9070830578453424</v>
      </c>
      <c r="W9">
        <f t="shared" si="10"/>
        <v>1.1043920861818979</v>
      </c>
      <c r="X9">
        <f t="shared" si="11"/>
        <v>8.4364059612740405E-4</v>
      </c>
      <c r="Y9">
        <f t="shared" si="12"/>
        <v>5.308371838798509E-2</v>
      </c>
      <c r="Z9">
        <f t="shared" si="13"/>
        <v>2.1061674367759702</v>
      </c>
    </row>
    <row r="10" spans="1:29" x14ac:dyDescent="0.25">
      <c r="A10" s="6">
        <v>44595.333460648151</v>
      </c>
      <c r="B10" s="7">
        <v>566203.14403608255</v>
      </c>
      <c r="C10" s="7">
        <v>567371.57925899886</v>
      </c>
      <c r="D10" s="7">
        <v>212.36978881251071</v>
      </c>
      <c r="E10" s="8">
        <v>1698.6094321082492</v>
      </c>
      <c r="F10">
        <v>1.646879957347985E+17</v>
      </c>
      <c r="G10">
        <v>3</v>
      </c>
      <c r="H10">
        <v>3.8386893066060678E-4</v>
      </c>
      <c r="I10">
        <v>2605.0558410108429</v>
      </c>
      <c r="J10">
        <v>175</v>
      </c>
      <c r="K10">
        <f t="shared" si="0"/>
        <v>3.8386893066060641E+22</v>
      </c>
      <c r="L10">
        <f t="shared" si="1"/>
        <v>3.8386893066060718E-30</v>
      </c>
      <c r="M10">
        <f t="shared" si="14"/>
        <v>51.039747658186599</v>
      </c>
      <c r="N10">
        <f t="shared" si="2"/>
        <v>0.63710936643753213</v>
      </c>
      <c r="O10" s="2">
        <f t="shared" si="3"/>
        <v>3.0991783845847078E-4</v>
      </c>
      <c r="P10" s="2">
        <f t="shared" si="4"/>
        <v>7.2069818563407495E-2</v>
      </c>
      <c r="Q10">
        <f t="shared" si="5"/>
        <v>1.974320667147168E-4</v>
      </c>
      <c r="R10">
        <f t="shared" si="15"/>
        <v>2.2726490347056609E-3</v>
      </c>
      <c r="S10">
        <f t="shared" si="6"/>
        <v>0.96570366666647689</v>
      </c>
      <c r="T10">
        <f t="shared" si="7"/>
        <v>2.1226704149297504E-3</v>
      </c>
      <c r="U10">
        <f t="shared" si="8"/>
        <v>-1.5061896157885668E-2</v>
      </c>
      <c r="V10">
        <f t="shared" si="9"/>
        <v>1.9698762076842287</v>
      </c>
      <c r="W10">
        <f t="shared" si="10"/>
        <v>1.0355143451530124</v>
      </c>
      <c r="X10">
        <f t="shared" si="11"/>
        <v>2.1226704149297504E-3</v>
      </c>
      <c r="Y10">
        <f t="shared" si="12"/>
        <v>1.9917535616316817E-2</v>
      </c>
      <c r="Z10">
        <f t="shared" si="13"/>
        <v>2.0398350712326336</v>
      </c>
    </row>
    <row r="11" spans="1:29" x14ac:dyDescent="0.25">
      <c r="A11" s="6">
        <v>44596.333402777775</v>
      </c>
      <c r="B11" s="7">
        <v>500375.04900320619</v>
      </c>
      <c r="C11" s="7">
        <v>499024.53709200025</v>
      </c>
      <c r="D11" s="7">
        <v>184.88353449351416</v>
      </c>
      <c r="E11" s="8">
        <v>1501.1251470096176</v>
      </c>
      <c r="F11">
        <v>1.646879957347985E+17</v>
      </c>
      <c r="G11">
        <v>3</v>
      </c>
      <c r="H11">
        <v>3.5220221061449229E-4</v>
      </c>
      <c r="I11">
        <v>2839.2780336480159</v>
      </c>
      <c r="J11">
        <v>176</v>
      </c>
      <c r="K11">
        <f t="shared" si="0"/>
        <v>3.5220221061449193E+22</v>
      </c>
      <c r="L11">
        <f t="shared" si="1"/>
        <v>3.522022106144926E-30</v>
      </c>
      <c r="M11">
        <f>1/(SQRT(H11)-SQRT(L11))</f>
        <v>53.284876218760083</v>
      </c>
      <c r="N11">
        <f t="shared" si="2"/>
        <v>0.55465060348054251</v>
      </c>
      <c r="O11" s="2">
        <f t="shared" si="3"/>
        <v>3.2355045661352361E-4</v>
      </c>
      <c r="P11" s="2">
        <f>O11*N11*365</f>
        <v>6.5501971446240023E-2</v>
      </c>
      <c r="Q11">
        <f t="shared" si="5"/>
        <v>1.7944135545395112E-4</v>
      </c>
      <c r="R11">
        <f t="shared" si="15"/>
        <v>2.4520903901596122E-3</v>
      </c>
      <c r="S11">
        <f t="shared" si="6"/>
        <v>0.88603931975721606</v>
      </c>
      <c r="T11">
        <f t="shared" si="7"/>
        <v>6.234577960055887E-4</v>
      </c>
      <c r="U11">
        <f t="shared" si="8"/>
        <v>-5.6392407162654035E-2</v>
      </c>
      <c r="V11">
        <f t="shared" si="9"/>
        <v>1.8872151856746919</v>
      </c>
      <c r="W11">
        <f t="shared" si="10"/>
        <v>1.1286180846624396</v>
      </c>
      <c r="X11">
        <f t="shared" si="11"/>
        <v>6.2345779600581075E-4</v>
      </c>
      <c r="Y11">
        <f t="shared" si="12"/>
        <v>6.4972594101020631E-2</v>
      </c>
      <c r="Z11">
        <f t="shared" si="13"/>
        <v>2.1299451882020413</v>
      </c>
    </row>
    <row r="12" spans="1:29" x14ac:dyDescent="0.25">
      <c r="A12" s="6">
        <v>44597.333344907405</v>
      </c>
      <c r="B12" s="7">
        <v>524212.60876077041</v>
      </c>
      <c r="C12" s="7">
        <v>522773.55185100064</v>
      </c>
      <c r="D12" s="7">
        <v>179.56146800270471</v>
      </c>
      <c r="E12" s="8">
        <v>1572.6378262823127</v>
      </c>
      <c r="F12">
        <v>1.646879957347985E+17</v>
      </c>
      <c r="G12">
        <v>3</v>
      </c>
      <c r="H12">
        <v>3.3112917545730905E-4</v>
      </c>
      <c r="I12">
        <v>3019.9694684678288</v>
      </c>
      <c r="J12">
        <v>177</v>
      </c>
      <c r="K12">
        <f t="shared" si="0"/>
        <v>3.3112917545730873E+22</v>
      </c>
      <c r="L12">
        <f t="shared" si="1"/>
        <v>3.311291754573094E-30</v>
      </c>
      <c r="M12">
        <f t="shared" si="14"/>
        <v>54.954248866383686</v>
      </c>
      <c r="N12">
        <f t="shared" si="2"/>
        <v>0.53868440400811413</v>
      </c>
      <c r="O12" s="2">
        <f t="shared" si="3"/>
        <v>3.3368703420787264E-4</v>
      </c>
      <c r="P12" s="2">
        <f t="shared" si="4"/>
        <v>6.5609480418838614E-2</v>
      </c>
      <c r="Q12">
        <f t="shared" si="5"/>
        <v>1.7973584769226069E-4</v>
      </c>
      <c r="R12">
        <f t="shared" si="15"/>
        <v>2.6318262378518731E-3</v>
      </c>
      <c r="S12">
        <f>H12/$H$2</f>
        <v>0.833025632809272</v>
      </c>
      <c r="T12">
        <f t="shared" si="7"/>
        <v>-1.5332022839750215E-3</v>
      </c>
      <c r="U12">
        <f t="shared" si="8"/>
        <v>-8.4892383138768013E-2</v>
      </c>
      <c r="V12">
        <f t="shared" si="9"/>
        <v>1.830215233722464</v>
      </c>
      <c r="W12">
        <f t="shared" si="10"/>
        <v>1.2004432524214512</v>
      </c>
      <c r="X12">
        <f t="shared" si="11"/>
        <v>-1.5332022839749104E-3</v>
      </c>
      <c r="Y12">
        <f t="shared" si="12"/>
        <v>9.8534763900540723E-2</v>
      </c>
      <c r="Z12">
        <f t="shared" si="13"/>
        <v>2.1970695278010814</v>
      </c>
    </row>
    <row r="13" spans="1:29" x14ac:dyDescent="0.25">
      <c r="A13" s="6">
        <v>44598.333425925928</v>
      </c>
      <c r="B13" s="7">
        <v>375394.88844878972</v>
      </c>
      <c r="C13" s="7">
        <v>376376.8261849992</v>
      </c>
      <c r="D13" s="7">
        <v>124.68692726310746</v>
      </c>
      <c r="E13" s="8">
        <v>1126.1846653463654</v>
      </c>
      <c r="F13">
        <v>1.646879957347985E+17</v>
      </c>
      <c r="G13">
        <v>3</v>
      </c>
      <c r="H13">
        <v>3.3195799254549482E-4</v>
      </c>
      <c r="I13">
        <v>3012.4293508702012</v>
      </c>
      <c r="J13">
        <v>178</v>
      </c>
      <c r="K13">
        <f t="shared" si="0"/>
        <v>3.3195799254549448E+22</v>
      </c>
      <c r="L13">
        <f t="shared" si="1"/>
        <v>3.3195799254549516E-30</v>
      </c>
      <c r="M13">
        <f t="shared" si="14"/>
        <v>54.885602400545842</v>
      </c>
      <c r="N13">
        <f t="shared" si="2"/>
        <v>0.37406078178932239</v>
      </c>
      <c r="O13" s="2">
        <f t="shared" si="3"/>
        <v>3.3327020682751891E-4</v>
      </c>
      <c r="P13" s="2">
        <f t="shared" si="4"/>
        <v>4.5502109651241678E-2</v>
      </c>
      <c r="Q13">
        <f t="shared" si="5"/>
        <v>1.2465554428777462E-4</v>
      </c>
      <c r="R13">
        <f t="shared" si="15"/>
        <v>2.7564817821396476E-3</v>
      </c>
      <c r="S13">
        <f t="shared" si="6"/>
        <v>0.83511069788520675</v>
      </c>
      <c r="T13">
        <f t="shared" si="7"/>
        <v>-1.2957981957784082E-3</v>
      </c>
      <c r="U13">
        <f t="shared" si="8"/>
        <v>-8.3633617623083301E-2</v>
      </c>
      <c r="V13">
        <f t="shared" si="9"/>
        <v>1.8327327647538334</v>
      </c>
      <c r="W13">
        <f t="shared" si="10"/>
        <v>1.197446042222128</v>
      </c>
      <c r="X13">
        <f t="shared" si="11"/>
        <v>-1.2957981957785192E-3</v>
      </c>
      <c r="Y13">
        <f t="shared" si="12"/>
        <v>9.7299297802648121E-2</v>
      </c>
      <c r="Z13">
        <f t="shared" si="13"/>
        <v>2.1945985956052962</v>
      </c>
    </row>
    <row r="14" spans="1:29" x14ac:dyDescent="0.25">
      <c r="A14" s="6">
        <v>44599.333402777775</v>
      </c>
      <c r="B14" s="7">
        <v>462797.00548176654</v>
      </c>
      <c r="C14" s="7">
        <v>463753.12812700123</v>
      </c>
      <c r="D14" s="7">
        <v>153.15454100907664</v>
      </c>
      <c r="E14" s="8">
        <v>1388.3910164452973</v>
      </c>
      <c r="F14">
        <v>1.646879957347985E+17</v>
      </c>
      <c r="G14">
        <v>2</v>
      </c>
      <c r="H14">
        <v>3.2626479209895527E-4</v>
      </c>
      <c r="I14">
        <v>3064.9951334519192</v>
      </c>
      <c r="J14">
        <v>179</v>
      </c>
      <c r="K14">
        <f t="shared" si="0"/>
        <v>3.2626479209895493E+22</v>
      </c>
      <c r="L14">
        <f t="shared" si="1"/>
        <v>3.2626479209895562E-30</v>
      </c>
      <c r="M14">
        <f t="shared" si="14"/>
        <v>55.36239819094304</v>
      </c>
      <c r="N14">
        <f t="shared" si="2"/>
        <v>0.45946362302722993</v>
      </c>
      <c r="O14" s="2">
        <f t="shared" si="3"/>
        <v>3.3616535281718164E-4</v>
      </c>
      <c r="P14" s="2">
        <f t="shared" si="4"/>
        <v>5.637634909368739E-2</v>
      </c>
      <c r="Q14">
        <f>LN(1+P14/365)</f>
        <v>1.544438238802602E-4</v>
      </c>
      <c r="R14">
        <f>Q14+R13</f>
        <v>2.9109256060199078E-3</v>
      </c>
      <c r="S14">
        <f t="shared" si="6"/>
        <v>0.82078824533133898</v>
      </c>
      <c r="T14">
        <f t="shared" si="7"/>
        <v>-1.9545531890319268E-3</v>
      </c>
      <c r="U14">
        <f t="shared" si="8"/>
        <v>-9.1385291070062546E-2</v>
      </c>
      <c r="V14">
        <f t="shared" si="9"/>
        <v>1.8172294178598749</v>
      </c>
      <c r="W14">
        <f t="shared" si="10"/>
        <v>1.2183410345945149</v>
      </c>
      <c r="X14">
        <f t="shared" si="11"/>
        <v>-1.9545531890318157E-3</v>
      </c>
      <c r="Y14">
        <f t="shared" si="12"/>
        <v>0.10700258452549405</v>
      </c>
      <c r="Z14">
        <f t="shared" si="13"/>
        <v>2.2140051690509881</v>
      </c>
    </row>
    <row r="15" spans="1:29" x14ac:dyDescent="0.25">
      <c r="A15" s="6">
        <v>44600.333564814813</v>
      </c>
      <c r="B15" s="7">
        <v>504634.37890068442</v>
      </c>
      <c r="C15" s="7">
        <v>505369.9531069994</v>
      </c>
      <c r="D15" s="7">
        <v>161.09849262869557</v>
      </c>
      <c r="E15" s="8">
        <v>1513.903136702058</v>
      </c>
      <c r="F15">
        <v>1.646879957347985E+17</v>
      </c>
      <c r="G15">
        <v>2</v>
      </c>
      <c r="H15">
        <v>3.2428073359877247E-4</v>
      </c>
      <c r="I15">
        <v>3083.7478036462212</v>
      </c>
      <c r="J15">
        <v>180</v>
      </c>
      <c r="K15">
        <f t="shared" si="0"/>
        <v>3.2428073359877217E+22</v>
      </c>
      <c r="L15">
        <f t="shared" si="1"/>
        <v>3.2428073359877279E-30</v>
      </c>
      <c r="M15">
        <f t="shared" si="14"/>
        <v>55.531502803785507</v>
      </c>
      <c r="N15">
        <f t="shared" si="2"/>
        <v>0.48329547788608673</v>
      </c>
      <c r="O15" s="2">
        <f t="shared" si="3"/>
        <v>3.3719217090485076E-4</v>
      </c>
      <c r="P15" s="2">
        <f>O15*N15*365</f>
        <v>5.9481659752571005E-2</v>
      </c>
      <c r="Q15">
        <f t="shared" si="5"/>
        <v>1.6295017427608914E-4</v>
      </c>
      <c r="R15">
        <f t="shared" si="15"/>
        <v>3.0738757802959969E-3</v>
      </c>
      <c r="S15">
        <f t="shared" si="6"/>
        <v>0.81579692559829886</v>
      </c>
      <c r="T15">
        <f t="shared" si="7"/>
        <v>-2.0961029157974265E-3</v>
      </c>
      <c r="U15">
        <f t="shared" si="8"/>
        <v>-9.400458581597182E-2</v>
      </c>
      <c r="V15">
        <f t="shared" si="9"/>
        <v>1.8119908283680564</v>
      </c>
      <c r="W15">
        <f t="shared" si="10"/>
        <v>1.2257952544582196</v>
      </c>
      <c r="X15">
        <f t="shared" si="11"/>
        <v>-2.0961029157974265E-3</v>
      </c>
      <c r="Y15">
        <f t="shared" si="12"/>
        <v>0.11056487926769076</v>
      </c>
      <c r="Z15">
        <f t="shared" si="13"/>
        <v>2.2211297585353815</v>
      </c>
    </row>
    <row r="16" spans="1:29" x14ac:dyDescent="0.25">
      <c r="A16" s="6">
        <v>44601.333391203705</v>
      </c>
      <c r="B16" s="7">
        <v>680375.56156957522</v>
      </c>
      <c r="C16" s="7">
        <v>684759.33769799955</v>
      </c>
      <c r="D16" s="7">
        <v>218.61501488301201</v>
      </c>
      <c r="E16" s="8">
        <v>2041.1266847087245</v>
      </c>
      <c r="F16">
        <v>1.646879957347985E+17</v>
      </c>
      <c r="G16">
        <v>2</v>
      </c>
      <c r="H16">
        <v>3.1617974566595453E-4</v>
      </c>
      <c r="I16">
        <v>3162.7579366089594</v>
      </c>
      <c r="J16">
        <v>181</v>
      </c>
      <c r="K16">
        <f t="shared" si="0"/>
        <v>3.1617974566595422E+22</v>
      </c>
      <c r="L16">
        <f t="shared" si="1"/>
        <v>3.1617974566595487E-30</v>
      </c>
      <c r="M16">
        <f>1/(SQRT(H16)-SQRT(L16))</f>
        <v>56.238402685438999</v>
      </c>
      <c r="N16">
        <f t="shared" si="2"/>
        <v>0.65584504464903604</v>
      </c>
      <c r="O16" s="2">
        <f t="shared" si="3"/>
        <v>3.4148452918208571E-4</v>
      </c>
      <c r="P16" s="2">
        <f>O16*N16*365</f>
        <v>8.1745741745258713E-2</v>
      </c>
      <c r="Q16">
        <f t="shared" si="5"/>
        <v>2.239358607817977E-4</v>
      </c>
      <c r="R16">
        <f t="shared" si="15"/>
        <v>3.2978116410777945E-3</v>
      </c>
      <c r="S16">
        <f t="shared" si="6"/>
        <v>0.79541717322584149</v>
      </c>
      <c r="T16">
        <f t="shared" si="7"/>
        <v>-3.2314566689805035E-3</v>
      </c>
      <c r="U16">
        <f t="shared" si="8"/>
        <v>-0.10519231978609067</v>
      </c>
      <c r="V16">
        <f t="shared" si="9"/>
        <v>1.7896153604278187</v>
      </c>
      <c r="W16">
        <f t="shared" si="10"/>
        <v>1.2572019232932397</v>
      </c>
      <c r="X16">
        <f t="shared" si="11"/>
        <v>-3.2314566689802815E-3</v>
      </c>
      <c r="Y16">
        <f t="shared" si="12"/>
        <v>0.12495393654248921</v>
      </c>
      <c r="Z16">
        <f t="shared" si="13"/>
        <v>2.2499078730849784</v>
      </c>
      <c r="AB16" t="s">
        <v>45</v>
      </c>
      <c r="AC16">
        <v>9.9999999999999902E+25</v>
      </c>
    </row>
    <row r="17" spans="1:29" x14ac:dyDescent="0.25">
      <c r="A17" s="6">
        <v>44602.333495370367</v>
      </c>
      <c r="B17" s="7">
        <v>387748.20573546737</v>
      </c>
      <c r="C17" s="7">
        <v>387299.61128699966</v>
      </c>
      <c r="D17" s="7">
        <v>120.73245246068473</v>
      </c>
      <c r="E17" s="8">
        <v>1163.244617206401</v>
      </c>
      <c r="F17">
        <v>1.646879957347985E+17</v>
      </c>
      <c r="G17">
        <v>2</v>
      </c>
      <c r="H17">
        <v>3.0714265599761294E-4</v>
      </c>
      <c r="I17">
        <v>3255.8160856946288</v>
      </c>
      <c r="J17">
        <v>182</v>
      </c>
      <c r="K17">
        <f t="shared" si="0"/>
        <v>3.0714265599761264E+22</v>
      </c>
      <c r="L17">
        <f t="shared" si="1"/>
        <v>3.0714265599761324E-30</v>
      </c>
      <c r="M17">
        <f t="shared" ref="M17:M80" si="16">1/(SQRT(H17)-SQRT(L17))</f>
        <v>57.059758899729673</v>
      </c>
      <c r="N17">
        <f t="shared" si="2"/>
        <v>0.36219735738205416</v>
      </c>
      <c r="O17" s="2">
        <f t="shared" si="3"/>
        <v>3.4647187638141237E-4</v>
      </c>
      <c r="P17" s="2">
        <f t="shared" ref="P17:P80" si="17">O17*N17*365</f>
        <v>4.580428728188049E-2</v>
      </c>
      <c r="Q17">
        <f t="shared" si="5"/>
        <v>1.2548332467091644E-4</v>
      </c>
      <c r="R17">
        <f t="shared" si="15"/>
        <v>3.4232949657487109E-3</v>
      </c>
      <c r="S17">
        <f t="shared" si="6"/>
        <v>0.77268245850513595</v>
      </c>
      <c r="T17">
        <f t="shared" si="7"/>
        <v>-4.8551654334407779E-3</v>
      </c>
      <c r="U17">
        <f t="shared" si="8"/>
        <v>-0.11796210404593255</v>
      </c>
      <c r="V17">
        <f t="shared" si="9"/>
        <v>1.7640757919081349</v>
      </c>
      <c r="W17">
        <f t="shared" si="10"/>
        <v>1.2941927036038092</v>
      </c>
      <c r="X17">
        <f t="shared" si="11"/>
        <v>-4.8551654334408889E-3</v>
      </c>
      <c r="Y17">
        <f t="shared" si="12"/>
        <v>0.14152700924580985</v>
      </c>
      <c r="Z17">
        <f t="shared" si="13"/>
        <v>2.2830540184916197</v>
      </c>
      <c r="AB17" t="s">
        <v>46</v>
      </c>
      <c r="AC17">
        <v>2.3E-3</v>
      </c>
    </row>
    <row r="18" spans="1:29" x14ac:dyDescent="0.25">
      <c r="A18" s="6">
        <v>44603.333460648151</v>
      </c>
      <c r="B18" s="7">
        <v>954027.98553299531</v>
      </c>
      <c r="C18" s="7">
        <v>956816.26236099936</v>
      </c>
      <c r="D18" s="7">
        <v>304.42398214233981</v>
      </c>
      <c r="E18" s="8">
        <v>2862.0839565989809</v>
      </c>
      <c r="F18">
        <v>1.646879957347985E+17</v>
      </c>
      <c r="G18">
        <v>2</v>
      </c>
      <c r="H18">
        <v>3.2176130837706292E-4</v>
      </c>
      <c r="I18">
        <v>3107.8938765009261</v>
      </c>
      <c r="J18">
        <v>183</v>
      </c>
      <c r="K18">
        <f t="shared" si="0"/>
        <v>3.2176130837706262E+22</v>
      </c>
      <c r="L18">
        <f t="shared" si="1"/>
        <v>3.2176130837706328E-30</v>
      </c>
      <c r="M18">
        <f t="shared" si="16"/>
        <v>55.748487661115504</v>
      </c>
      <c r="N18">
        <f t="shared" si="2"/>
        <v>0.91327194642701948</v>
      </c>
      <c r="O18" s="2">
        <f t="shared" si="3"/>
        <v>3.385097220497406E-4</v>
      </c>
      <c r="P18" s="2">
        <f t="shared" si="17"/>
        <v>0.11284027295040513</v>
      </c>
      <c r="Q18">
        <f t="shared" si="5"/>
        <v>3.0910365528344927E-4</v>
      </c>
      <c r="R18">
        <f t="shared" si="15"/>
        <v>3.7323986210321602E-3</v>
      </c>
      <c r="S18">
        <f t="shared" si="6"/>
        <v>0.80945877739154015</v>
      </c>
      <c r="T18">
        <f t="shared" si="7"/>
        <v>-1.8412215865450943E-3</v>
      </c>
      <c r="U18">
        <f t="shared" si="8"/>
        <v>-9.6936418584678274E-2</v>
      </c>
      <c r="V18">
        <f t="shared" si="9"/>
        <v>1.8061271628306435</v>
      </c>
      <c r="W18">
        <f t="shared" si="10"/>
        <v>1.2353933615031936</v>
      </c>
      <c r="X18">
        <f t="shared" si="11"/>
        <v>-1.8412215865450943E-3</v>
      </c>
      <c r="Y18">
        <f t="shared" si="12"/>
        <v>0.11563875349578723</v>
      </c>
      <c r="Z18">
        <f t="shared" si="13"/>
        <v>2.2312775069915745</v>
      </c>
    </row>
    <row r="19" spans="1:29" x14ac:dyDescent="0.25">
      <c r="A19" s="6">
        <v>44604.333483796298</v>
      </c>
      <c r="B19" s="7">
        <v>538264.11523037776</v>
      </c>
      <c r="C19" s="7">
        <v>539312.98236500099</v>
      </c>
      <c r="D19" s="7">
        <v>181.87882379432813</v>
      </c>
      <c r="E19" s="8">
        <v>1614.7923456911376</v>
      </c>
      <c r="F19">
        <v>1.646879957347985E+17</v>
      </c>
      <c r="G19">
        <v>2</v>
      </c>
      <c r="H19">
        <v>3.4234085491606758E-4</v>
      </c>
      <c r="I19">
        <v>2921.0653231708852</v>
      </c>
      <c r="J19">
        <v>184</v>
      </c>
      <c r="K19">
        <f t="shared" si="0"/>
        <v>3.4234085491606725E+22</v>
      </c>
      <c r="L19">
        <f t="shared" si="1"/>
        <v>3.4234085491606792E-30</v>
      </c>
      <c r="M19">
        <f t="shared" si="16"/>
        <v>54.046880790397779</v>
      </c>
      <c r="N19">
        <f t="shared" si="2"/>
        <v>0.54563647138298443</v>
      </c>
      <c r="O19" s="2">
        <f t="shared" si="3"/>
        <v>3.2817741541667022E-4</v>
      </c>
      <c r="P19" s="2">
        <f t="shared" si="17"/>
        <v>6.535893193147202E-2</v>
      </c>
      <c r="Q19">
        <f t="shared" si="5"/>
        <v>1.7904953661058114E-4</v>
      </c>
      <c r="R19">
        <f t="shared" si="15"/>
        <v>3.9114481576427414E-3</v>
      </c>
      <c r="S19">
        <f t="shared" si="6"/>
        <v>0.86123098911195506</v>
      </c>
      <c r="T19">
        <f t="shared" si="7"/>
        <v>1.1249047792638578E-3</v>
      </c>
      <c r="U19">
        <f t="shared" si="8"/>
        <v>-6.8337651626539486E-2</v>
      </c>
      <c r="V19">
        <f t="shared" si="9"/>
        <v>1.863324696746921</v>
      </c>
      <c r="W19">
        <f t="shared" si="10"/>
        <v>1.1611286781855523</v>
      </c>
      <c r="X19">
        <f t="shared" si="11"/>
        <v>1.1249047792638578E-3</v>
      </c>
      <c r="Y19">
        <f t="shared" si="12"/>
        <v>8.1779871082123812E-2</v>
      </c>
      <c r="Z19">
        <f t="shared" si="13"/>
        <v>2.1635597421642476</v>
      </c>
      <c r="AB19" t="s">
        <v>47</v>
      </c>
      <c r="AC19">
        <v>6</v>
      </c>
    </row>
    <row r="20" spans="1:29" x14ac:dyDescent="0.25">
      <c r="A20" s="6">
        <v>44605.333356481482</v>
      </c>
      <c r="B20" s="7">
        <v>428319.93624703214</v>
      </c>
      <c r="C20" s="7">
        <v>428377.14511600137</v>
      </c>
      <c r="D20" s="7">
        <v>146.7815688336068</v>
      </c>
      <c r="E20" s="8">
        <v>1284.9598087410996</v>
      </c>
      <c r="F20">
        <v>1.646879957347985E+17</v>
      </c>
      <c r="G20">
        <v>2</v>
      </c>
      <c r="H20">
        <v>3.4111070494328977E-4</v>
      </c>
      <c r="I20">
        <v>2931.5995819194582</v>
      </c>
      <c r="J20">
        <v>185</v>
      </c>
      <c r="K20">
        <f t="shared" si="0"/>
        <v>3.4111070494328944E+22</v>
      </c>
      <c r="L20">
        <f t="shared" si="1"/>
        <v>3.4111070494329013E-30</v>
      </c>
      <c r="M20">
        <f t="shared" si="16"/>
        <v>54.144247911666895</v>
      </c>
      <c r="N20">
        <f t="shared" si="2"/>
        <v>0.44034470650082042</v>
      </c>
      <c r="O20" s="2">
        <f t="shared" si="3"/>
        <v>3.2876863714375898E-4</v>
      </c>
      <c r="P20" s="2">
        <f t="shared" si="17"/>
        <v>5.2841608095856293E-2</v>
      </c>
      <c r="Q20">
        <f t="shared" si="5"/>
        <v>1.447610506431906E-4</v>
      </c>
      <c r="R20">
        <f t="shared" si="15"/>
        <v>4.0562092082859318E-3</v>
      </c>
      <c r="S20">
        <f t="shared" si="6"/>
        <v>0.85813628609127346</v>
      </c>
      <c r="T20">
        <f t="shared" si="7"/>
        <v>1.1338681906032377E-3</v>
      </c>
      <c r="U20">
        <f t="shared" si="8"/>
        <v>-6.9878416140060962E-2</v>
      </c>
      <c r="V20">
        <f t="shared" si="9"/>
        <v>1.8602431677198781</v>
      </c>
      <c r="W20">
        <f t="shared" si="10"/>
        <v>1.1653160648349947</v>
      </c>
      <c r="X20">
        <f t="shared" si="11"/>
        <v>1.1338681906030157E-3</v>
      </c>
      <c r="Y20">
        <f t="shared" si="12"/>
        <v>8.3885623921756469E-2</v>
      </c>
      <c r="Z20">
        <f t="shared" si="13"/>
        <v>2.1677712478435129</v>
      </c>
      <c r="AB20" t="s">
        <v>48</v>
      </c>
      <c r="AC20">
        <v>18</v>
      </c>
    </row>
    <row r="21" spans="1:29" x14ac:dyDescent="0.25">
      <c r="A21" s="6">
        <v>44606.333472222221</v>
      </c>
      <c r="B21" s="7">
        <v>414440.09952915832</v>
      </c>
      <c r="C21" s="7">
        <v>414652.98139400035</v>
      </c>
      <c r="D21" s="7">
        <v>143.59434627727478</v>
      </c>
      <c r="E21" s="8">
        <v>1243.3202985874814</v>
      </c>
      <c r="F21">
        <v>1.646879957347985E+17</v>
      </c>
      <c r="G21">
        <v>2</v>
      </c>
      <c r="H21">
        <v>3.4278616515125924E-4</v>
      </c>
      <c r="I21">
        <v>2917.2705950916538</v>
      </c>
      <c r="J21">
        <v>186</v>
      </c>
      <c r="K21">
        <f t="shared" si="0"/>
        <v>3.4278616515125891E+22</v>
      </c>
      <c r="L21">
        <f t="shared" si="1"/>
        <v>3.4278616515125955E-30</v>
      </c>
      <c r="M21">
        <f t="shared" si="16"/>
        <v>54.011763488079502</v>
      </c>
      <c r="N21">
        <f t="shared" si="2"/>
        <v>0.43078303883182434</v>
      </c>
      <c r="O21" s="2">
        <f t="shared" si="3"/>
        <v>3.2796418006723514E-4</v>
      </c>
      <c r="P21" s="2">
        <f t="shared" si="17"/>
        <v>5.1567713232833184E-2</v>
      </c>
      <c r="Q21">
        <f t="shared" si="5"/>
        <v>1.4127142683930004E-4</v>
      </c>
      <c r="R21">
        <f t="shared" si="15"/>
        <v>4.1974806351252319E-3</v>
      </c>
      <c r="S21">
        <f t="shared" si="6"/>
        <v>0.8623512614043457</v>
      </c>
      <c r="T21">
        <f t="shared" si="7"/>
        <v>1.4596192230156291E-3</v>
      </c>
      <c r="U21">
        <f t="shared" si="8"/>
        <v>-6.7465207447250708E-2</v>
      </c>
      <c r="V21">
        <f t="shared" si="9"/>
        <v>1.8650695851054986</v>
      </c>
      <c r="W21">
        <f t="shared" si="10"/>
        <v>1.1596202670029059</v>
      </c>
      <c r="X21">
        <f t="shared" si="11"/>
        <v>1.4596192230156291E-3</v>
      </c>
      <c r="Y21">
        <f t="shared" si="12"/>
        <v>8.1386245129518642E-2</v>
      </c>
      <c r="Z21">
        <f t="shared" si="13"/>
        <v>2.1627724902590373</v>
      </c>
      <c r="AB21" t="s">
        <v>49</v>
      </c>
      <c r="AC21">
        <f>AVERAGE(AC19:AC20)</f>
        <v>12</v>
      </c>
    </row>
    <row r="22" spans="1:29" x14ac:dyDescent="0.25">
      <c r="A22" s="6">
        <v>44607.333472222221</v>
      </c>
      <c r="B22" s="7">
        <v>486907.07600603253</v>
      </c>
      <c r="C22" s="7">
        <v>486267.53786699846</v>
      </c>
      <c r="D22" s="7">
        <v>163.84514911517817</v>
      </c>
      <c r="E22" s="8">
        <v>1460.7212280180829</v>
      </c>
      <c r="F22">
        <v>1.646879957347985E+17</v>
      </c>
      <c r="G22">
        <v>2</v>
      </c>
      <c r="H22">
        <v>3.2295397065058357E-4</v>
      </c>
      <c r="I22">
        <v>3096.4164892771632</v>
      </c>
      <c r="J22">
        <v>187</v>
      </c>
      <c r="K22">
        <f t="shared" si="0"/>
        <v>3.2295397065058326E+22</v>
      </c>
      <c r="L22">
        <f t="shared" si="1"/>
        <v>3.2295397065058386E-30</v>
      </c>
      <c r="M22">
        <f t="shared" si="16"/>
        <v>55.645453446600492</v>
      </c>
      <c r="N22">
        <f t="shared" si="2"/>
        <v>0.4915354473455345</v>
      </c>
      <c r="O22" s="2">
        <f t="shared" si="3"/>
        <v>3.3788408923384958E-4</v>
      </c>
      <c r="P22" s="2">
        <f t="shared" si="17"/>
        <v>6.0619932537662048E-2</v>
      </c>
      <c r="Q22">
        <f t="shared" si="5"/>
        <v>1.6606821686276983E-4</v>
      </c>
      <c r="R22">
        <f t="shared" si="15"/>
        <v>4.3635488519880019E-3</v>
      </c>
      <c r="S22">
        <f t="shared" si="6"/>
        <v>0.8124591721581903</v>
      </c>
      <c r="T22">
        <f t="shared" si="7"/>
        <v>-1.0181415631590474E-3</v>
      </c>
      <c r="U22">
        <f t="shared" si="8"/>
        <v>-9.4693083928256372E-2</v>
      </c>
      <c r="V22">
        <f t="shared" si="9"/>
        <v>1.8106138321434873</v>
      </c>
      <c r="W22">
        <f t="shared" si="10"/>
        <v>1.2308310796019846</v>
      </c>
      <c r="X22">
        <f t="shared" si="11"/>
        <v>-1.0181415631591584E-3</v>
      </c>
      <c r="Y22">
        <f t="shared" si="12"/>
        <v>0.1142798888797274</v>
      </c>
      <c r="Z22">
        <f t="shared" si="13"/>
        <v>2.2285597777594548</v>
      </c>
    </row>
    <row r="23" spans="1:29" x14ac:dyDescent="0.25">
      <c r="A23" s="6">
        <v>44608.333599537036</v>
      </c>
      <c r="B23" s="7">
        <v>330485.03426475078</v>
      </c>
      <c r="C23" s="7">
        <v>329832.02842300013</v>
      </c>
      <c r="D23" s="7">
        <v>105.17692479103607</v>
      </c>
      <c r="E23" s="8">
        <v>991.45510279426526</v>
      </c>
      <c r="F23">
        <v>1.646879957347985E+17</v>
      </c>
      <c r="G23">
        <v>2</v>
      </c>
      <c r="H23">
        <v>3.1900616298518886E-4</v>
      </c>
      <c r="I23">
        <v>3134.7356760829384</v>
      </c>
      <c r="J23">
        <v>188</v>
      </c>
      <c r="K23">
        <f t="shared" si="0"/>
        <v>3.1900616298518857E+22</v>
      </c>
      <c r="L23">
        <f t="shared" si="1"/>
        <v>3.1900616298518915E-30</v>
      </c>
      <c r="M23">
        <f t="shared" si="16"/>
        <v>55.988710255582468</v>
      </c>
      <c r="N23">
        <f t="shared" si="2"/>
        <v>0.31553077437310822</v>
      </c>
      <c r="O23" s="2">
        <f t="shared" si="3"/>
        <v>3.3996837477907372E-4</v>
      </c>
      <c r="P23" s="2">
        <f t="shared" si="17"/>
        <v>3.9153726863088996E-2</v>
      </c>
      <c r="Q23">
        <f t="shared" si="5"/>
        <v>1.0726473148937836E-4</v>
      </c>
      <c r="R23">
        <f t="shared" si="15"/>
        <v>4.4708135834773807E-3</v>
      </c>
      <c r="S23">
        <f t="shared" si="6"/>
        <v>0.80252762512935194</v>
      </c>
      <c r="T23">
        <f t="shared" si="7"/>
        <v>-1.5651960916273078E-3</v>
      </c>
      <c r="U23">
        <f t="shared" si="8"/>
        <v>-0.10014684203227542</v>
      </c>
      <c r="V23">
        <f t="shared" si="9"/>
        <v>1.7997063159354492</v>
      </c>
      <c r="W23">
        <f t="shared" si="10"/>
        <v>1.2460630247324127</v>
      </c>
      <c r="X23">
        <f t="shared" si="11"/>
        <v>-1.5651960916273078E-3</v>
      </c>
      <c r="Y23">
        <f t="shared" si="12"/>
        <v>0.12127374783227651</v>
      </c>
      <c r="Z23">
        <f t="shared" si="13"/>
        <v>2.242547495664553</v>
      </c>
    </row>
    <row r="24" spans="1:29" x14ac:dyDescent="0.25">
      <c r="A24" s="6">
        <v>44609.333368055559</v>
      </c>
      <c r="B24" s="7">
        <v>489104.12667866796</v>
      </c>
      <c r="C24" s="7">
        <v>489108.77915899828</v>
      </c>
      <c r="D24" s="7">
        <v>157.48857857618896</v>
      </c>
      <c r="E24" s="8">
        <v>1467.3123800359972</v>
      </c>
      <c r="F24">
        <v>1.646879957347985E+17</v>
      </c>
      <c r="G24">
        <v>2</v>
      </c>
      <c r="H24">
        <v>3.2538510924992435E-4</v>
      </c>
      <c r="I24">
        <v>3073.2813874156491</v>
      </c>
      <c r="J24">
        <v>189</v>
      </c>
      <c r="K24">
        <f t="shared" si="0"/>
        <v>3.2538510924992404E+22</v>
      </c>
      <c r="L24">
        <f t="shared" si="1"/>
        <v>3.2538510924992469E-30</v>
      </c>
      <c r="M24">
        <f t="shared" si="16"/>
        <v>55.437184158435251</v>
      </c>
      <c r="N24">
        <f t="shared" si="2"/>
        <v>0.47246573572856687</v>
      </c>
      <c r="O24" s="2">
        <f t="shared" si="3"/>
        <v>3.3661945979175824E-4</v>
      </c>
      <c r="P24" s="2">
        <f t="shared" si="17"/>
        <v>5.8050023666839014E-2</v>
      </c>
      <c r="Q24">
        <f t="shared" si="5"/>
        <v>1.5902851502643659E-4</v>
      </c>
      <c r="R24">
        <f t="shared" si="15"/>
        <v>4.6298420985038174E-3</v>
      </c>
      <c r="S24">
        <f t="shared" si="6"/>
        <v>0.81857521665159971</v>
      </c>
      <c r="T24">
        <f t="shared" si="7"/>
        <v>-3.7125025431494763E-4</v>
      </c>
      <c r="U24">
        <f t="shared" si="8"/>
        <v>-9.1049964930036476E-2</v>
      </c>
      <c r="V24">
        <f t="shared" si="9"/>
        <v>1.817900070139927</v>
      </c>
      <c r="W24">
        <f t="shared" si="10"/>
        <v>1.2216348353307378</v>
      </c>
      <c r="X24">
        <f t="shared" si="11"/>
        <v>-3.7125025431505865E-4</v>
      </c>
      <c r="Y24">
        <f t="shared" si="12"/>
        <v>0.11040502641656302</v>
      </c>
      <c r="Z24">
        <f t="shared" si="13"/>
        <v>2.220810052833126</v>
      </c>
    </row>
    <row r="25" spans="1:29" x14ac:dyDescent="0.25">
      <c r="A25" s="6">
        <v>44610.333553240744</v>
      </c>
      <c r="B25" s="7">
        <v>379632.23033555597</v>
      </c>
      <c r="C25" s="7">
        <v>380145.19562800229</v>
      </c>
      <c r="D25" s="7">
        <v>128.7766319661996</v>
      </c>
      <c r="E25" s="8">
        <v>1138.8966910066665</v>
      </c>
      <c r="F25">
        <v>1.646879957347985E+17</v>
      </c>
      <c r="G25">
        <v>2</v>
      </c>
      <c r="H25">
        <v>3.4574669015954423E-4</v>
      </c>
      <c r="I25">
        <v>2892.2908836482329</v>
      </c>
      <c r="J25">
        <v>190</v>
      </c>
      <c r="K25">
        <f t="shared" si="0"/>
        <v>3.4574669015954387E+22</v>
      </c>
      <c r="L25">
        <f t="shared" si="1"/>
        <v>3.4574669015954458E-30</v>
      </c>
      <c r="M25">
        <f t="shared" si="16"/>
        <v>53.780023090817018</v>
      </c>
      <c r="N25">
        <f t="shared" si="2"/>
        <v>0.38632989589859884</v>
      </c>
      <c r="O25" s="2">
        <f t="shared" si="3"/>
        <v>3.265570319856247E-4</v>
      </c>
      <c r="P25" s="2">
        <f t="shared" si="17"/>
        <v>4.6047941622766063E-2</v>
      </c>
      <c r="Q25">
        <f t="shared" si="5"/>
        <v>1.2615078682676466E-4</v>
      </c>
      <c r="R25">
        <f t="shared" si="15"/>
        <v>4.755992885330582E-3</v>
      </c>
      <c r="S25">
        <f t="shared" si="6"/>
        <v>0.86979908962748043</v>
      </c>
      <c r="T25">
        <f t="shared" si="7"/>
        <v>2.32838079838249E-3</v>
      </c>
      <c r="U25">
        <f t="shared" si="8"/>
        <v>-6.2923653037698868E-2</v>
      </c>
      <c r="V25">
        <f t="shared" si="9"/>
        <v>1.8741526939246023</v>
      </c>
      <c r="W25">
        <f t="shared" si="10"/>
        <v>1.1496907871314079</v>
      </c>
      <c r="X25">
        <f t="shared" si="11"/>
        <v>2.3283807983827121E-3</v>
      </c>
      <c r="Y25">
        <f t="shared" si="12"/>
        <v>7.7348042941312256E-2</v>
      </c>
      <c r="Z25">
        <f t="shared" si="13"/>
        <v>2.1546960858826245</v>
      </c>
    </row>
    <row r="26" spans="1:29" x14ac:dyDescent="0.25">
      <c r="A26" s="6">
        <v>44611.333460648151</v>
      </c>
      <c r="B26" s="7">
        <v>540182.85503286496</v>
      </c>
      <c r="C26" s="7">
        <v>541489.98642800003</v>
      </c>
      <c r="D26" s="7">
        <v>193.17060286098604</v>
      </c>
      <c r="E26" s="8">
        <v>1620.5485650985938</v>
      </c>
      <c r="F26">
        <v>1.646879957347985E+17</v>
      </c>
      <c r="G26">
        <v>2</v>
      </c>
      <c r="H26">
        <v>3.6797068798319896E-4</v>
      </c>
      <c r="I26">
        <v>2717.6077678384499</v>
      </c>
      <c r="J26">
        <v>191</v>
      </c>
      <c r="K26">
        <f t="shared" si="0"/>
        <v>3.679706879831986E+22</v>
      </c>
      <c r="L26">
        <f t="shared" si="1"/>
        <v>3.6797068798319931E-30</v>
      </c>
      <c r="M26">
        <f t="shared" si="16"/>
        <v>52.130679717791843</v>
      </c>
      <c r="N26">
        <f t="shared" si="2"/>
        <v>0.57951180858295814</v>
      </c>
      <c r="O26" s="2">
        <f t="shared" si="3"/>
        <v>3.1654207390889182E-4</v>
      </c>
      <c r="P26" s="2">
        <f t="shared" si="17"/>
        <v>6.6955552456392939E-2</v>
      </c>
      <c r="Q26">
        <f t="shared" si="5"/>
        <v>1.8342304670796884E-4</v>
      </c>
      <c r="R26">
        <f t="shared" si="15"/>
        <v>4.9394159320385505E-3</v>
      </c>
      <c r="S26">
        <f t="shared" si="6"/>
        <v>0.9257082671411625</v>
      </c>
      <c r="T26">
        <f t="shared" si="7"/>
        <v>4.2035053597264671E-3</v>
      </c>
      <c r="U26">
        <f t="shared" si="8"/>
        <v>-3.3098503918319921E-2</v>
      </c>
      <c r="V26">
        <f t="shared" si="9"/>
        <v>1.9338029921633602</v>
      </c>
      <c r="W26">
        <f t="shared" si="10"/>
        <v>1.0802539368998729</v>
      </c>
      <c r="X26">
        <f t="shared" si="11"/>
        <v>4.2035053597264671E-3</v>
      </c>
      <c r="Y26">
        <f t="shared" si="12"/>
        <v>4.4499147736611899E-2</v>
      </c>
      <c r="Z26">
        <f t="shared" si="13"/>
        <v>2.0889982954732238</v>
      </c>
    </row>
    <row r="27" spans="1:29" x14ac:dyDescent="0.25">
      <c r="A27" s="6">
        <v>44612.333495370367</v>
      </c>
      <c r="B27" s="7">
        <v>464996.91371292621</v>
      </c>
      <c r="C27" s="7">
        <v>464537.47272199765</v>
      </c>
      <c r="D27" s="7">
        <v>172.74379568300628</v>
      </c>
      <c r="E27" s="8">
        <v>1394.9907411387831</v>
      </c>
      <c r="F27">
        <v>1.646879957347985E+17</v>
      </c>
      <c r="G27">
        <v>2</v>
      </c>
      <c r="H27">
        <v>3.7940405784812523E-4</v>
      </c>
      <c r="I27">
        <v>2635.7124530288979</v>
      </c>
      <c r="J27">
        <v>192</v>
      </c>
      <c r="K27">
        <f t="shared" si="0"/>
        <v>3.794040578481249E+22</v>
      </c>
      <c r="L27">
        <f t="shared" si="1"/>
        <v>3.7940405784812561E-30</v>
      </c>
      <c r="M27">
        <f t="shared" si="16"/>
        <v>51.339190225688448</v>
      </c>
      <c r="N27">
        <f t="shared" si="2"/>
        <v>0.51823138704901883</v>
      </c>
      <c r="O27" s="2">
        <f t="shared" si="3"/>
        <v>3.1173608007447809E-4</v>
      </c>
      <c r="P27" s="2">
        <f t="shared" si="17"/>
        <v>5.8966268727130587E-2</v>
      </c>
      <c r="Q27">
        <f t="shared" si="5"/>
        <v>1.6153837314456106E-4</v>
      </c>
      <c r="R27">
        <f t="shared" si="15"/>
        <v>5.1009543051831118E-3</v>
      </c>
      <c r="S27">
        <f t="shared" si="6"/>
        <v>0.95447133265394624</v>
      </c>
      <c r="T27">
        <f t="shared" si="7"/>
        <v>4.8412421265842109E-3</v>
      </c>
      <c r="U27">
        <f t="shared" si="8"/>
        <v>-1.8033299197604102E-2</v>
      </c>
      <c r="V27">
        <f t="shared" si="9"/>
        <v>1.9639334016047918</v>
      </c>
      <c r="W27">
        <f t="shared" si="10"/>
        <v>1.0477004031325483</v>
      </c>
      <c r="X27">
        <f t="shared" si="11"/>
        <v>4.8412421265842109E-3</v>
      </c>
      <c r="Y27">
        <f t="shared" si="12"/>
        <v>2.8806908293408595E-2</v>
      </c>
      <c r="Z27">
        <f t="shared" si="13"/>
        <v>2.0576138165868172</v>
      </c>
    </row>
    <row r="28" spans="1:29" x14ac:dyDescent="0.25">
      <c r="A28" s="6">
        <v>44613.333379629628</v>
      </c>
      <c r="B28" s="7">
        <v>926612.8106402196</v>
      </c>
      <c r="C28" s="7">
        <v>924665.72268600017</v>
      </c>
      <c r="D28" s="7">
        <v>348.19031949392775</v>
      </c>
      <c r="E28" s="8">
        <v>2779.8384319206598</v>
      </c>
      <c r="F28">
        <v>1.646879957347985E+17</v>
      </c>
      <c r="G28">
        <v>2</v>
      </c>
      <c r="H28">
        <v>3.8264257461538369E-4</v>
      </c>
      <c r="I28">
        <v>2613.4049537094979</v>
      </c>
      <c r="J28">
        <v>193</v>
      </c>
      <c r="K28">
        <f t="shared" si="0"/>
        <v>3.8264257461538332E+22</v>
      </c>
      <c r="L28">
        <f t="shared" si="1"/>
        <v>3.8264257461538406E-30</v>
      </c>
      <c r="M28">
        <f t="shared" si="16"/>
        <v>51.121472530728425</v>
      </c>
      <c r="N28">
        <f t="shared" si="2"/>
        <v>1.0445709584817833</v>
      </c>
      <c r="O28" s="2">
        <f t="shared" si="3"/>
        <v>3.104140790750208E-4</v>
      </c>
      <c r="P28" s="2">
        <f t="shared" si="17"/>
        <v>0.11835107921855662</v>
      </c>
      <c r="Q28">
        <f t="shared" si="5"/>
        <v>3.2419697458696095E-4</v>
      </c>
      <c r="R28">
        <f t="shared" si="15"/>
        <v>5.425151279770073E-3</v>
      </c>
      <c r="S28">
        <f t="shared" si="6"/>
        <v>0.96261850807478666</v>
      </c>
      <c r="T28">
        <f t="shared" si="7"/>
        <v>5.2575015549063409E-3</v>
      </c>
      <c r="U28">
        <f t="shared" si="8"/>
        <v>-1.3531511033661126E-2</v>
      </c>
      <c r="V28">
        <f t="shared" si="9"/>
        <v>1.9729369779326777</v>
      </c>
      <c r="W28">
        <f t="shared" si="10"/>
        <v>1.0388331323485307</v>
      </c>
      <c r="X28">
        <f t="shared" si="11"/>
        <v>5.2575015549063409E-3</v>
      </c>
      <c r="Y28">
        <f t="shared" si="12"/>
        <v>2.4776150356023763E-2</v>
      </c>
      <c r="Z28">
        <f t="shared" si="13"/>
        <v>2.0495523007120475</v>
      </c>
    </row>
    <row r="29" spans="1:29" x14ac:dyDescent="0.25">
      <c r="A29" s="6">
        <v>44614.333391203705</v>
      </c>
      <c r="B29" s="7">
        <v>1032397.278098207</v>
      </c>
      <c r="C29" s="7">
        <v>1030856.4358920008</v>
      </c>
      <c r="D29" s="7">
        <v>394.19614689069567</v>
      </c>
      <c r="E29" s="8">
        <v>3097.1918342946155</v>
      </c>
      <c r="F29">
        <v>1.646879957347985E+17</v>
      </c>
      <c r="G29">
        <v>2</v>
      </c>
      <c r="H29">
        <v>3.8590873471073753E-4</v>
      </c>
      <c r="I29">
        <v>2591.286255154504</v>
      </c>
      <c r="J29">
        <v>194</v>
      </c>
      <c r="K29">
        <f t="shared" si="0"/>
        <v>3.8590873471073714E+22</v>
      </c>
      <c r="L29">
        <f t="shared" si="1"/>
        <v>3.8590873471073787E-30</v>
      </c>
      <c r="M29">
        <f t="shared" si="16"/>
        <v>50.904678126425885</v>
      </c>
      <c r="N29">
        <f t="shared" si="2"/>
        <v>1.182588440672087</v>
      </c>
      <c r="O29" s="2">
        <f t="shared" si="3"/>
        <v>3.0909768437767046E-4</v>
      </c>
      <c r="P29" s="2">
        <f t="shared" si="17"/>
        <v>0.13342040223299292</v>
      </c>
      <c r="Q29">
        <f t="shared" si="5"/>
        <v>3.6546855681410842E-4</v>
      </c>
      <c r="R29">
        <f t="shared" si="15"/>
        <v>5.7906198365841816E-3</v>
      </c>
      <c r="S29">
        <f t="shared" si="6"/>
        <v>0.9708352261472154</v>
      </c>
      <c r="T29">
        <f t="shared" si="7"/>
        <v>5.6972829205341746E-3</v>
      </c>
      <c r="U29">
        <f t="shared" si="8"/>
        <v>-8.9681839898345661E-3</v>
      </c>
      <c r="V29">
        <f t="shared" si="9"/>
        <v>1.9820636320203309</v>
      </c>
      <c r="W29">
        <f t="shared" si="10"/>
        <v>1.0300409102052526</v>
      </c>
      <c r="X29">
        <f t="shared" si="11"/>
        <v>5.6972829205339526E-3</v>
      </c>
      <c r="Y29">
        <f t="shared" si="12"/>
        <v>2.0803313805475065E-2</v>
      </c>
      <c r="Z29">
        <f t="shared" si="13"/>
        <v>2.0416066276109501</v>
      </c>
    </row>
    <row r="30" spans="1:29" x14ac:dyDescent="0.25">
      <c r="A30" s="6">
        <v>44615.333518518521</v>
      </c>
      <c r="B30" s="7">
        <v>494278.51232337952</v>
      </c>
      <c r="C30" s="7">
        <v>492098.8398450017</v>
      </c>
      <c r="D30" s="7">
        <v>186.92789849347719</v>
      </c>
      <c r="E30" s="8">
        <v>1482.8355369701458</v>
      </c>
      <c r="F30">
        <v>1.646879957347985E+17</v>
      </c>
      <c r="G30">
        <v>2</v>
      </c>
      <c r="H30">
        <v>3.6763967989012679E-4</v>
      </c>
      <c r="I30">
        <v>2720.0545933966137</v>
      </c>
      <c r="J30">
        <v>195</v>
      </c>
      <c r="K30">
        <f t="shared" si="0"/>
        <v>3.6763967989012641E+22</v>
      </c>
      <c r="L30">
        <f t="shared" si="1"/>
        <v>3.6763967989012718E-30</v>
      </c>
      <c r="M30">
        <f t="shared" si="16"/>
        <v>52.154142629297993</v>
      </c>
      <c r="N30">
        <f t="shared" si="2"/>
        <v>0.56078369548043161</v>
      </c>
      <c r="O30" s="2">
        <f t="shared" si="3"/>
        <v>3.1668454277191652E-4</v>
      </c>
      <c r="P30" s="2">
        <f t="shared" si="17"/>
        <v>6.4820907791965643E-2</v>
      </c>
      <c r="Q30">
        <f t="shared" si="5"/>
        <v>1.7757576068849781E-4</v>
      </c>
      <c r="R30">
        <f t="shared" si="15"/>
        <v>5.9681955972726792E-3</v>
      </c>
      <c r="S30">
        <f t="shared" si="6"/>
        <v>0.92487554611675982</v>
      </c>
      <c r="T30">
        <f t="shared" si="7"/>
        <v>5.2195890840966985E-3</v>
      </c>
      <c r="U30">
        <f t="shared" si="8"/>
        <v>-3.2538697247242121E-2</v>
      </c>
      <c r="V30">
        <f t="shared" si="9"/>
        <v>1.9349226055055158</v>
      </c>
      <c r="W30">
        <f t="shared" si="10"/>
        <v>1.0812265544252548</v>
      </c>
      <c r="X30">
        <f t="shared" si="11"/>
        <v>5.2195890840969206E-3</v>
      </c>
      <c r="Y30">
        <f t="shared" si="12"/>
        <v>4.6044850915132773E-2</v>
      </c>
      <c r="Z30">
        <f t="shared" si="13"/>
        <v>2.0920897018302655</v>
      </c>
    </row>
    <row r="31" spans="1:29" x14ac:dyDescent="0.25">
      <c r="A31" s="6">
        <v>44616.333333333336</v>
      </c>
      <c r="B31" s="7">
        <v>1372413.7509687357</v>
      </c>
      <c r="C31" s="7">
        <v>1367370.7005809993</v>
      </c>
      <c r="D31" s="7">
        <v>560.90517712963629</v>
      </c>
      <c r="E31" s="8">
        <v>4117.241252906213</v>
      </c>
      <c r="F31">
        <v>1.646879957347985E+17</v>
      </c>
      <c r="G31">
        <v>2</v>
      </c>
      <c r="H31">
        <v>4.2250292643118052E-4</v>
      </c>
      <c r="I31">
        <v>2366.8475114405751</v>
      </c>
      <c r="J31">
        <v>196</v>
      </c>
      <c r="K31">
        <f t="shared" si="0"/>
        <v>4.2250292643118012E+22</v>
      </c>
      <c r="L31">
        <f t="shared" si="1"/>
        <v>4.2250292643118093E-30</v>
      </c>
      <c r="M31">
        <f t="shared" si="16"/>
        <v>48.650257054213476</v>
      </c>
      <c r="N31">
        <f t="shared" si="2"/>
        <v>1.6827155313889088</v>
      </c>
      <c r="O31" s="2">
        <f t="shared" si="3"/>
        <v>2.954086412743543E-4</v>
      </c>
      <c r="P31" s="2">
        <f t="shared" si="17"/>
        <v>0.18143737870428048</v>
      </c>
      <c r="Q31">
        <f t="shared" si="5"/>
        <v>4.9696520111457631E-4</v>
      </c>
      <c r="R31">
        <f t="shared" si="15"/>
        <v>6.4651607983872558E-3</v>
      </c>
      <c r="S31">
        <f t="shared" si="6"/>
        <v>1.0628956725665495</v>
      </c>
      <c r="T31">
        <f t="shared" si="7"/>
        <v>6.0181913712697988E-3</v>
      </c>
      <c r="U31">
        <f t="shared" si="8"/>
        <v>3.7655286751509642E-2</v>
      </c>
      <c r="V31">
        <f t="shared" si="9"/>
        <v>2.0753105735030193</v>
      </c>
      <c r="W31">
        <f t="shared" si="10"/>
        <v>0.94082610909998654</v>
      </c>
      <c r="X31">
        <f t="shared" si="11"/>
        <v>6.0181913712700208E-3</v>
      </c>
      <c r="Y31">
        <f t="shared" si="12"/>
        <v>-2.3746813978546166E-2</v>
      </c>
      <c r="Z31">
        <f t="shared" si="13"/>
        <v>1.9525063720429077</v>
      </c>
    </row>
    <row r="32" spans="1:29" x14ac:dyDescent="0.25">
      <c r="A32" s="6">
        <v>44617.333368055559</v>
      </c>
      <c r="B32" s="7">
        <v>1245174.8367324546</v>
      </c>
      <c r="C32" s="7">
        <v>1238533.1825099997</v>
      </c>
      <c r="D32" s="7">
        <v>485.47633129278984</v>
      </c>
      <c r="E32" s="8">
        <v>3735.524510197356</v>
      </c>
      <c r="F32">
        <v>1.646879957347985E+17</v>
      </c>
      <c r="G32">
        <v>2</v>
      </c>
      <c r="H32">
        <v>3.7300902043463998E-4</v>
      </c>
      <c r="I32">
        <v>2680.9003139783954</v>
      </c>
      <c r="J32">
        <v>197</v>
      </c>
      <c r="K32">
        <f t="shared" si="0"/>
        <v>3.7300902043463962E+22</v>
      </c>
      <c r="L32">
        <f t="shared" si="1"/>
        <v>3.7300902043464036E-30</v>
      </c>
      <c r="M32">
        <f t="shared" si="16"/>
        <v>51.777411232881583</v>
      </c>
      <c r="N32">
        <f t="shared" si="2"/>
        <v>1.4564289938783694</v>
      </c>
      <c r="O32" s="2">
        <f t="shared" si="3"/>
        <v>3.1439699658656446E-4</v>
      </c>
      <c r="P32" s="2">
        <f t="shared" si="17"/>
        <v>0.1671323690171872</v>
      </c>
      <c r="Q32">
        <f t="shared" si="5"/>
        <v>4.5779209862204255E-4</v>
      </c>
      <c r="R32">
        <f t="shared" si="15"/>
        <v>6.922952897009298E-3</v>
      </c>
      <c r="S32">
        <f t="shared" si="6"/>
        <v>0.93838326043605635</v>
      </c>
      <c r="T32">
        <f t="shared" si="7"/>
        <v>6.4381047035451111E-3</v>
      </c>
      <c r="U32">
        <f t="shared" si="8"/>
        <v>-2.4568612588828587E-2</v>
      </c>
      <c r="V32">
        <f t="shared" si="9"/>
        <v>1.9508627748223428</v>
      </c>
      <c r="W32">
        <f t="shared" si="10"/>
        <v>1.0656626584912767</v>
      </c>
      <c r="X32">
        <f t="shared" si="11"/>
        <v>6.4381047035451111E-3</v>
      </c>
      <c r="Y32">
        <f t="shared" si="12"/>
        <v>3.9480805484423342E-2</v>
      </c>
      <c r="Z32">
        <f t="shared" si="13"/>
        <v>2.0789616109688467</v>
      </c>
    </row>
    <row r="33" spans="1:26" x14ac:dyDescent="0.25">
      <c r="A33" s="6">
        <v>44618.333449074074</v>
      </c>
      <c r="B33" s="7">
        <v>891946.91077967361</v>
      </c>
      <c r="C33" s="7">
        <v>888243.56161700189</v>
      </c>
      <c r="D33" s="7">
        <v>324.12654265925448</v>
      </c>
      <c r="E33" s="8">
        <v>2675.8407323390275</v>
      </c>
      <c r="F33">
        <v>1.646879957347985E+17</v>
      </c>
      <c r="G33">
        <v>2</v>
      </c>
      <c r="H33">
        <v>3.6387261323302128E-4</v>
      </c>
      <c r="I33">
        <v>2748.2145224257579</v>
      </c>
      <c r="J33">
        <v>198</v>
      </c>
      <c r="K33">
        <f t="shared" si="0"/>
        <v>3.6387261323302094E+22</v>
      </c>
      <c r="L33">
        <f t="shared" si="1"/>
        <v>3.6387261323302167E-30</v>
      </c>
      <c r="M33">
        <f t="shared" si="16"/>
        <v>52.423415783658236</v>
      </c>
      <c r="N33">
        <f t="shared" si="2"/>
        <v>0.97237962797776345</v>
      </c>
      <c r="O33" s="2">
        <f t="shared" si="3"/>
        <v>3.1831959305690422E-4</v>
      </c>
      <c r="P33" s="2">
        <f t="shared" si="17"/>
        <v>0.11297753292826754</v>
      </c>
      <c r="Q33">
        <f t="shared" si="5"/>
        <v>3.0947959372465205E-4</v>
      </c>
      <c r="R33">
        <f t="shared" si="15"/>
        <v>7.2324324907339504E-3</v>
      </c>
      <c r="S33">
        <f t="shared" si="6"/>
        <v>0.91539869140730634</v>
      </c>
      <c r="T33">
        <f t="shared" si="7"/>
        <v>6.2756378087156506E-3</v>
      </c>
      <c r="U33">
        <f t="shared" si="8"/>
        <v>-3.6290480073066789E-2</v>
      </c>
      <c r="V33">
        <f t="shared" si="9"/>
        <v>1.9274190398538664</v>
      </c>
      <c r="W33">
        <f t="shared" si="10"/>
        <v>1.0924201764617232</v>
      </c>
      <c r="X33">
        <f t="shared" si="11"/>
        <v>6.2756378087156506E-3</v>
      </c>
      <c r="Y33">
        <f t="shared" si="12"/>
        <v>5.2775723816422815E-2</v>
      </c>
      <c r="Z33">
        <f t="shared" si="13"/>
        <v>2.1055514476328456</v>
      </c>
    </row>
    <row r="34" spans="1:26" x14ac:dyDescent="0.25">
      <c r="A34" s="6">
        <v>44619.333449074074</v>
      </c>
      <c r="B34" s="7">
        <v>514354.74410433322</v>
      </c>
      <c r="C34" s="7">
        <v>512328.26025299728</v>
      </c>
      <c r="D34" s="7">
        <v>185.93019716121307</v>
      </c>
      <c r="E34" s="8">
        <v>1543.0642323129869</v>
      </c>
      <c r="F34">
        <v>1.646879957347985E+17</v>
      </c>
      <c r="G34">
        <v>2</v>
      </c>
      <c r="H34">
        <v>3.5684617896256684E-4</v>
      </c>
      <c r="I34">
        <v>2802.3278907097392</v>
      </c>
      <c r="J34">
        <v>199</v>
      </c>
      <c r="K34">
        <f t="shared" si="0"/>
        <v>3.568461789625665E+22</v>
      </c>
      <c r="L34">
        <f t="shared" si="1"/>
        <v>3.5684617896256722E-30</v>
      </c>
      <c r="M34">
        <f t="shared" si="16"/>
        <v>52.937018150914952</v>
      </c>
      <c r="N34">
        <f t="shared" si="2"/>
        <v>0.55779059148363919</v>
      </c>
      <c r="O34" s="2">
        <f t="shared" si="3"/>
        <v>3.2143823181964552E-4</v>
      </c>
      <c r="P34" s="2">
        <f t="shared" si="17"/>
        <v>6.5442755830029342E-2</v>
      </c>
      <c r="Q34">
        <f t="shared" si="5"/>
        <v>1.79279149984881E-4</v>
      </c>
      <c r="R34">
        <f t="shared" si="15"/>
        <v>7.4117116407188318E-3</v>
      </c>
      <c r="S34">
        <f t="shared" si="6"/>
        <v>0.89772220655376112</v>
      </c>
      <c r="T34">
        <f t="shared" si="7"/>
        <v>5.9750409554073514E-3</v>
      </c>
      <c r="U34">
        <f t="shared" si="8"/>
        <v>-4.5469412770047013E-2</v>
      </c>
      <c r="V34">
        <f t="shared" si="9"/>
        <v>1.909061174459906</v>
      </c>
      <c r="W34">
        <f t="shared" si="10"/>
        <v>1.113930336912206</v>
      </c>
      <c r="X34">
        <f t="shared" si="11"/>
        <v>5.9750409554075734E-3</v>
      </c>
      <c r="Y34">
        <f t="shared" si="12"/>
        <v>6.3280578626067507E-2</v>
      </c>
      <c r="Z34">
        <f t="shared" si="13"/>
        <v>2.126561157252135</v>
      </c>
    </row>
    <row r="35" spans="1:26" x14ac:dyDescent="0.25">
      <c r="A35" s="6">
        <v>44620.333402777775</v>
      </c>
      <c r="B35" s="7">
        <v>1025488.0645513423</v>
      </c>
      <c r="C35" s="7">
        <v>1023524.8564990014</v>
      </c>
      <c r="D35" s="7">
        <v>384.23316880737002</v>
      </c>
      <c r="E35" s="8">
        <v>3076.4641936540283</v>
      </c>
      <c r="F35">
        <v>1.646879957347985E+17</v>
      </c>
      <c r="G35">
        <v>2</v>
      </c>
      <c r="H35">
        <v>3.7864604589700414E-4</v>
      </c>
      <c r="I35">
        <v>2640.9888887946049</v>
      </c>
      <c r="J35">
        <v>200</v>
      </c>
      <c r="K35">
        <f t="shared" si="0"/>
        <v>3.7864604589700378E+22</v>
      </c>
      <c r="L35">
        <f t="shared" si="1"/>
        <v>3.7864604589700453E-30</v>
      </c>
      <c r="M35">
        <f t="shared" si="16"/>
        <v>51.390552524711516</v>
      </c>
      <c r="N35">
        <f t="shared" si="2"/>
        <v>1.1526995064221102</v>
      </c>
      <c r="O35" s="2">
        <f t="shared" si="3"/>
        <v>3.1204795647320346E-4</v>
      </c>
      <c r="P35" s="2">
        <f t="shared" si="17"/>
        <v>0.13128959677344176</v>
      </c>
      <c r="Q35">
        <f t="shared" si="5"/>
        <v>3.5963284976052239E-4</v>
      </c>
      <c r="R35">
        <f t="shared" si="15"/>
        <v>7.7713444904793545E-3</v>
      </c>
      <c r="S35">
        <f t="shared" si="6"/>
        <v>0.95256439290939621</v>
      </c>
      <c r="T35">
        <f t="shared" si="7"/>
        <v>7.5041743025205943E-3</v>
      </c>
      <c r="U35">
        <f t="shared" si="8"/>
        <v>-1.6391611774658199E-2</v>
      </c>
      <c r="V35">
        <f t="shared" si="9"/>
        <v>1.9672167764506836</v>
      </c>
      <c r="W35">
        <f t="shared" si="10"/>
        <v>1.0497977957644651</v>
      </c>
      <c r="X35">
        <f t="shared" si="11"/>
        <v>7.5041743025208163E-3</v>
      </c>
      <c r="Y35">
        <f t="shared" si="12"/>
        <v>3.2589917854402239E-2</v>
      </c>
      <c r="Z35">
        <f t="shared" si="13"/>
        <v>2.0651798357088045</v>
      </c>
    </row>
    <row r="36" spans="1:26" x14ac:dyDescent="0.25">
      <c r="A36" s="6">
        <v>44621.333854166667</v>
      </c>
      <c r="B36" s="7">
        <v>732261.83331864327</v>
      </c>
      <c r="C36" s="7">
        <v>728085.15870200098</v>
      </c>
      <c r="D36" s="7">
        <v>258.89523752401874</v>
      </c>
      <c r="E36" s="8">
        <v>2196.7854999559349</v>
      </c>
      <c r="F36">
        <v>1.646879957347985E+17</v>
      </c>
      <c r="G36">
        <v>2</v>
      </c>
      <c r="H36">
        <v>3.4199870227333127E-4</v>
      </c>
      <c r="I36">
        <v>2923.98770332404</v>
      </c>
      <c r="J36">
        <v>201</v>
      </c>
      <c r="K36">
        <f t="shared" si="0"/>
        <v>3.4199870227333092E+22</v>
      </c>
      <c r="L36">
        <f t="shared" si="1"/>
        <v>3.4199870227333164E-30</v>
      </c>
      <c r="M36">
        <f t="shared" si="16"/>
        <v>54.073909636021547</v>
      </c>
      <c r="N36">
        <f t="shared" si="2"/>
        <v>0.77668571257205621</v>
      </c>
      <c r="O36" s="2">
        <f t="shared" si="3"/>
        <v>3.2834153694540199E-4</v>
      </c>
      <c r="P36" s="2">
        <f t="shared" si="17"/>
        <v>9.308163591514694E-2</v>
      </c>
      <c r="Q36">
        <f t="shared" si="5"/>
        <v>2.5498566898040709E-4</v>
      </c>
      <c r="R36">
        <f t="shared" si="15"/>
        <v>8.0263301594597613E-3</v>
      </c>
      <c r="S36">
        <f t="shared" si="6"/>
        <v>0.86037023161047799</v>
      </c>
      <c r="T36">
        <f t="shared" si="7"/>
        <v>5.2153059059905083E-3</v>
      </c>
      <c r="U36">
        <f t="shared" si="8"/>
        <v>-6.4963684266637567E-2</v>
      </c>
      <c r="V36">
        <f t="shared" si="9"/>
        <v>1.8700726314667249</v>
      </c>
      <c r="W36">
        <f t="shared" si="10"/>
        <v>1.1622903295110025</v>
      </c>
      <c r="X36">
        <f t="shared" si="11"/>
        <v>5.2153059059905083E-3</v>
      </c>
      <c r="Y36">
        <f t="shared" si="12"/>
        <v>8.6783667518483654E-2</v>
      </c>
      <c r="Z36">
        <f t="shared" si="13"/>
        <v>2.1735673350369673</v>
      </c>
    </row>
    <row r="37" spans="1:26" x14ac:dyDescent="0.25">
      <c r="A37" s="6">
        <v>44622.333483796298</v>
      </c>
      <c r="B37" s="7">
        <v>733135.92123001441</v>
      </c>
      <c r="C37" s="7">
        <v>730139.57820099965</v>
      </c>
      <c r="D37" s="7">
        <v>246.34145957765577</v>
      </c>
      <c r="E37" s="8">
        <v>2199.4077636900474</v>
      </c>
      <c r="F37">
        <v>1.646879957347985E+17</v>
      </c>
      <c r="G37">
        <v>2</v>
      </c>
      <c r="H37">
        <v>3.3690725760171666E-4</v>
      </c>
      <c r="I37">
        <v>2968.1758924355822</v>
      </c>
      <c r="J37">
        <v>202</v>
      </c>
      <c r="K37">
        <f t="shared" si="0"/>
        <v>3.3690725760171634E+22</v>
      </c>
      <c r="L37">
        <f t="shared" si="1"/>
        <v>3.3690725760171696E-30</v>
      </c>
      <c r="M37">
        <f t="shared" si="16"/>
        <v>54.480968167206576</v>
      </c>
      <c r="N37">
        <f t="shared" si="2"/>
        <v>0.73902437873296734</v>
      </c>
      <c r="O37" s="2">
        <f t="shared" si="3"/>
        <v>3.3081323216136983E-4</v>
      </c>
      <c r="P37" s="2">
        <f t="shared" si="17"/>
        <v>8.9234850831765938E-2</v>
      </c>
      <c r="Q37">
        <f t="shared" si="5"/>
        <v>2.444491632432769E-4</v>
      </c>
      <c r="R37">
        <f t="shared" si="15"/>
        <v>8.2707793227030386E-3</v>
      </c>
      <c r="S37">
        <f t="shared" si="6"/>
        <v>0.84756162326713991</v>
      </c>
      <c r="T37">
        <f t="shared" si="7"/>
        <v>4.8671727663727182E-3</v>
      </c>
      <c r="U37">
        <f t="shared" si="8"/>
        <v>-7.172298755794948E-2</v>
      </c>
      <c r="V37">
        <f t="shared" si="9"/>
        <v>1.856554024884101</v>
      </c>
      <c r="W37">
        <f t="shared" si="10"/>
        <v>1.1798552135303719</v>
      </c>
      <c r="X37">
        <f t="shared" si="11"/>
        <v>4.8671727663724962E-3</v>
      </c>
      <c r="Y37">
        <f t="shared" si="12"/>
        <v>9.5232472730151008E-2</v>
      </c>
      <c r="Z37">
        <f t="shared" si="13"/>
        <v>2.190464945460302</v>
      </c>
    </row>
    <row r="38" spans="1:26" x14ac:dyDescent="0.25">
      <c r="A38" s="6">
        <v>44623.333495370367</v>
      </c>
      <c r="B38" s="7">
        <v>421040.39946023747</v>
      </c>
      <c r="C38" s="7">
        <v>419964.72470200062</v>
      </c>
      <c r="D38" s="7">
        <v>142.55412788989634</v>
      </c>
      <c r="E38" s="8">
        <v>1263.1211983807152</v>
      </c>
      <c r="F38">
        <v>1.646879957347985E+17</v>
      </c>
      <c r="G38">
        <v>2</v>
      </c>
      <c r="H38">
        <v>3.4436653455685665E-4</v>
      </c>
      <c r="I38">
        <v>2903.8826356540026</v>
      </c>
      <c r="J38">
        <v>203</v>
      </c>
      <c r="K38">
        <f t="shared" si="0"/>
        <v>3.443665345568563E+22</v>
      </c>
      <c r="L38">
        <f t="shared" si="1"/>
        <v>3.4436653455685696E-30</v>
      </c>
      <c r="M38">
        <f t="shared" si="16"/>
        <v>53.887685380377796</v>
      </c>
      <c r="N38">
        <f t="shared" si="2"/>
        <v>0.42766238366968901</v>
      </c>
      <c r="O38" s="2">
        <f t="shared" si="3"/>
        <v>3.272107668803899E-4</v>
      </c>
      <c r="P38" s="2">
        <f t="shared" si="17"/>
        <v>5.1076543832155888E-2</v>
      </c>
      <c r="Q38">
        <f t="shared" si="5"/>
        <v>1.3992594643450859E-4</v>
      </c>
      <c r="R38">
        <f t="shared" si="15"/>
        <v>8.4107052691375465E-3</v>
      </c>
      <c r="S38">
        <f t="shared" si="6"/>
        <v>0.86632701564693715</v>
      </c>
      <c r="T38">
        <f t="shared" si="7"/>
        <v>5.8562174636413999E-3</v>
      </c>
      <c r="U38">
        <f t="shared" si="8"/>
        <v>-6.1371683745582661E-2</v>
      </c>
      <c r="V38">
        <f t="shared" si="9"/>
        <v>1.8772566325088347</v>
      </c>
      <c r="W38">
        <f t="shared" si="10"/>
        <v>1.1542985292375323</v>
      </c>
      <c r="X38">
        <f t="shared" si="11"/>
        <v>5.8562174636413999E-3</v>
      </c>
      <c r="Y38">
        <f t="shared" si="12"/>
        <v>8.345728495317517E-2</v>
      </c>
      <c r="Z38">
        <f t="shared" si="13"/>
        <v>2.1669145699063503</v>
      </c>
    </row>
    <row r="39" spans="1:26" x14ac:dyDescent="0.25">
      <c r="A39" s="6">
        <v>44624.333356481482</v>
      </c>
      <c r="B39" s="7">
        <v>480433.62579028308</v>
      </c>
      <c r="C39" s="7">
        <v>479721.75098899752</v>
      </c>
      <c r="D39" s="7">
        <v>172.84932092667623</v>
      </c>
      <c r="E39" s="8">
        <v>1441.3008773708425</v>
      </c>
      <c r="F39">
        <v>1.646879957347985E+17</v>
      </c>
      <c r="G39">
        <v>2</v>
      </c>
      <c r="H39">
        <v>3.6668510593417398E-4</v>
      </c>
      <c r="I39">
        <v>2727.1355825930832</v>
      </c>
      <c r="J39">
        <v>204</v>
      </c>
      <c r="K39">
        <f t="shared" si="0"/>
        <v>3.6668510593417363E+22</v>
      </c>
      <c r="L39">
        <f t="shared" si="1"/>
        <v>3.6668510593417434E-30</v>
      </c>
      <c r="M39">
        <f t="shared" si="16"/>
        <v>52.221983709867139</v>
      </c>
      <c r="N39">
        <f t="shared" si="2"/>
        <v>0.51854796278002868</v>
      </c>
      <c r="O39" s="2">
        <f t="shared" si="3"/>
        <v>3.1709647978205773E-4</v>
      </c>
      <c r="P39" s="2">
        <f t="shared" si="17"/>
        <v>6.0016852762432175E-2</v>
      </c>
      <c r="Q39">
        <f t="shared" si="5"/>
        <v>1.6441621650872536E-4</v>
      </c>
      <c r="R39">
        <f t="shared" si="15"/>
        <v>8.5751214856462712E-3</v>
      </c>
      <c r="S39">
        <f t="shared" si="6"/>
        <v>0.92247411298232618</v>
      </c>
      <c r="T39">
        <f t="shared" si="7"/>
        <v>7.791559839863238E-3</v>
      </c>
      <c r="U39">
        <f t="shared" si="8"/>
        <v>-3.1273407462891978E-2</v>
      </c>
      <c r="V39">
        <f t="shared" si="9"/>
        <v>1.937453185074216</v>
      </c>
      <c r="W39">
        <f>I39/$I$2</f>
        <v>1.0840412602658684</v>
      </c>
      <c r="X39">
        <f t="shared" si="11"/>
        <v>7.791559839863238E-3</v>
      </c>
      <c r="Y39">
        <f t="shared" si="12"/>
        <v>5.0139596226987049E-2</v>
      </c>
      <c r="Z39">
        <f t="shared" si="13"/>
        <v>2.1002791924539741</v>
      </c>
    </row>
    <row r="40" spans="1:26" x14ac:dyDescent="0.25">
      <c r="A40" s="6">
        <v>44625.333437499998</v>
      </c>
      <c r="B40" s="7">
        <v>635830.23981434107</v>
      </c>
      <c r="C40" s="7">
        <v>634214.97262600064</v>
      </c>
      <c r="D40" s="7">
        <v>239.39708540087668</v>
      </c>
      <c r="E40" s="8">
        <v>1907.490719443027</v>
      </c>
      <c r="F40">
        <v>1.646879957347985E+17</v>
      </c>
      <c r="G40">
        <v>2</v>
      </c>
      <c r="H40">
        <v>3.7811633879914489E-4</v>
      </c>
      <c r="I40">
        <v>2644.6886775003904</v>
      </c>
      <c r="J40">
        <v>205</v>
      </c>
      <c r="K40">
        <f t="shared" si="0"/>
        <v>3.7811633879914451E+22</v>
      </c>
      <c r="L40">
        <f t="shared" si="1"/>
        <v>3.7811633879914527E-30</v>
      </c>
      <c r="M40">
        <f t="shared" si="16"/>
        <v>51.426536705293692</v>
      </c>
      <c r="N40">
        <f t="shared" si="2"/>
        <v>0.71819125620263002</v>
      </c>
      <c r="O40" s="2">
        <f t="shared" si="3"/>
        <v>3.122664555837283E-4</v>
      </c>
      <c r="P40" s="2">
        <f t="shared" si="17"/>
        <v>8.1857468872051517E-2</v>
      </c>
      <c r="Q40">
        <f t="shared" si="5"/>
        <v>2.2424189391279922E-4</v>
      </c>
      <c r="R40">
        <f t="shared" si="15"/>
        <v>8.799363379559071E-3</v>
      </c>
      <c r="S40">
        <f t="shared" si="6"/>
        <v>0.9512318024187264</v>
      </c>
      <c r="T40">
        <f t="shared" si="7"/>
        <v>8.5230432323852856E-3</v>
      </c>
      <c r="U40">
        <f t="shared" si="8"/>
        <v>-1.6068882286426889E-2</v>
      </c>
      <c r="V40">
        <f t="shared" si="9"/>
        <v>1.9678622354271462</v>
      </c>
      <c r="W40">
        <f t="shared" si="10"/>
        <v>1.0512684683767608</v>
      </c>
      <c r="X40">
        <f t="shared" si="11"/>
        <v>8.5230432323852856E-3</v>
      </c>
      <c r="Y40">
        <f t="shared" si="12"/>
        <v>3.4375759106982429E-2</v>
      </c>
      <c r="Z40">
        <f t="shared" si="13"/>
        <v>2.0687515182139649</v>
      </c>
    </row>
    <row r="41" spans="1:26" x14ac:dyDescent="0.25">
      <c r="A41" s="6">
        <v>44626.333425925928</v>
      </c>
      <c r="B41" s="7">
        <v>206849.79539624974</v>
      </c>
      <c r="C41" s="7">
        <v>206222.14791800082</v>
      </c>
      <c r="D41" s="7">
        <v>78.345924041743274</v>
      </c>
      <c r="E41" s="8">
        <v>620.54938618875167</v>
      </c>
      <c r="F41">
        <v>1.646879957347985E+17</v>
      </c>
      <c r="G41">
        <v>2</v>
      </c>
      <c r="H41">
        <v>3.8459893841685111E-4</v>
      </c>
      <c r="I41">
        <v>2600.1111810562015</v>
      </c>
      <c r="J41">
        <v>206</v>
      </c>
      <c r="K41">
        <f t="shared" si="0"/>
        <v>3.8459893841685077E+22</v>
      </c>
      <c r="L41">
        <f t="shared" si="1"/>
        <v>3.8459893841685146E-30</v>
      </c>
      <c r="M41">
        <f t="shared" si="16"/>
        <v>50.991285344230356</v>
      </c>
      <c r="N41">
        <f t="shared" si="2"/>
        <v>0.23503777212522983</v>
      </c>
      <c r="O41" s="2">
        <f t="shared" si="3"/>
        <v>3.0962357102422327E-4</v>
      </c>
      <c r="P41" s="2">
        <f t="shared" si="17"/>
        <v>2.6562230530811824E-2</v>
      </c>
      <c r="Q41">
        <f t="shared" si="5"/>
        <v>7.2770586487723657E-5</v>
      </c>
      <c r="R41">
        <f t="shared" si="15"/>
        <v>8.8721339660467954E-3</v>
      </c>
      <c r="S41">
        <f t="shared" si="6"/>
        <v>0.96754015592255427</v>
      </c>
      <c r="T41">
        <f t="shared" si="7"/>
        <v>8.7742992142412213E-3</v>
      </c>
      <c r="U41">
        <f t="shared" si="8"/>
        <v>-7.598029016673169E-3</v>
      </c>
      <c r="V41">
        <f t="shared" si="9"/>
        <v>1.9848039419666537</v>
      </c>
      <c r="W41">
        <f t="shared" si="10"/>
        <v>1.033548833998001</v>
      </c>
      <c r="X41">
        <f t="shared" si="11"/>
        <v>8.7742992142412213E-3</v>
      </c>
      <c r="Y41">
        <f t="shared" si="12"/>
        <v>2.5695899967135505E-2</v>
      </c>
      <c r="Z41">
        <f t="shared" si="13"/>
        <v>2.051391799934271</v>
      </c>
    </row>
    <row r="42" spans="1:26" x14ac:dyDescent="0.25">
      <c r="A42" s="6">
        <v>44627.333333333336</v>
      </c>
      <c r="B42" s="7">
        <v>950644.88855809718</v>
      </c>
      <c r="C42" s="7">
        <v>934178.83989600092</v>
      </c>
      <c r="D42" s="7">
        <v>374.12675561019023</v>
      </c>
      <c r="E42" s="8">
        <v>2851.9346656742855</v>
      </c>
      <c r="F42">
        <v>1.646879957347985E+17</v>
      </c>
      <c r="G42">
        <v>2</v>
      </c>
      <c r="H42">
        <v>3.9346807472883852E-4</v>
      </c>
      <c r="I42">
        <v>2541.5022570488281</v>
      </c>
      <c r="J42">
        <v>207</v>
      </c>
      <c r="K42">
        <f t="shared" si="0"/>
        <v>3.9346807472883814E+22</v>
      </c>
      <c r="L42">
        <f t="shared" si="1"/>
        <v>3.9346807472883889E-30</v>
      </c>
      <c r="M42">
        <f t="shared" si="16"/>
        <v>50.413314283523711</v>
      </c>
      <c r="N42">
        <f t="shared" si="2"/>
        <v>1.1223802668305707</v>
      </c>
      <c r="O42" s="2">
        <f t="shared" si="3"/>
        <v>3.0611407989144287E-4</v>
      </c>
      <c r="P42" s="2">
        <f t="shared" si="17"/>
        <v>0.12540538697424058</v>
      </c>
      <c r="Q42">
        <f t="shared" si="5"/>
        <v>3.4351739381254372E-4</v>
      </c>
      <c r="R42">
        <f t="shared" si="15"/>
        <v>9.2156513598593386E-3</v>
      </c>
      <c r="S42">
        <f t="shared" si="6"/>
        <v>0.9898523483730125</v>
      </c>
      <c r="T42">
        <f t="shared" si="7"/>
        <v>9.2451222719118764E-3</v>
      </c>
      <c r="U42">
        <f t="shared" si="8"/>
        <v>4.1243883183861296E-3</v>
      </c>
      <c r="V42">
        <f t="shared" si="9"/>
        <v>2.0082487766367723</v>
      </c>
      <c r="W42">
        <f t="shared" si="10"/>
        <v>1.0102516821257908</v>
      </c>
      <c r="X42">
        <f t="shared" si="11"/>
        <v>9.2451222719118764E-3</v>
      </c>
      <c r="Y42">
        <f t="shared" si="12"/>
        <v>1.4418352362180142E-2</v>
      </c>
      <c r="Z42">
        <f t="shared" si="13"/>
        <v>2.0288367047243603</v>
      </c>
    </row>
    <row r="43" spans="1:26" x14ac:dyDescent="0.25">
      <c r="A43" s="6">
        <v>44628.333368055559</v>
      </c>
      <c r="B43" s="7">
        <v>939582.27259545401</v>
      </c>
      <c r="C43" s="7">
        <v>935609.17740499973</v>
      </c>
      <c r="D43" s="7">
        <v>369.49184641728971</v>
      </c>
      <c r="E43" s="8">
        <v>2818.7468177863484</v>
      </c>
      <c r="F43">
        <v>1.646879957347985E+17</v>
      </c>
      <c r="G43">
        <v>2</v>
      </c>
      <c r="H43">
        <v>3.8924169436948755E-4</v>
      </c>
      <c r="I43">
        <v>2569.0978496531525</v>
      </c>
      <c r="J43">
        <v>208</v>
      </c>
      <c r="K43">
        <f t="shared" si="0"/>
        <v>3.8924169436948721E+22</v>
      </c>
      <c r="L43">
        <f t="shared" si="1"/>
        <v>3.8924169436948796E-30</v>
      </c>
      <c r="M43">
        <f t="shared" si="16"/>
        <v>50.686268847229883</v>
      </c>
      <c r="N43">
        <f t="shared" si="2"/>
        <v>1.108475539251869</v>
      </c>
      <c r="O43" s="2">
        <f t="shared" si="3"/>
        <v>3.0777148401788402E-4</v>
      </c>
      <c r="P43" s="2">
        <f t="shared" si="17"/>
        <v>0.12452236402527128</v>
      </c>
      <c r="Q43">
        <f t="shared" si="5"/>
        <v>3.4109898084080101E-4</v>
      </c>
      <c r="R43">
        <f t="shared" si="15"/>
        <v>9.5567503407001392E-3</v>
      </c>
      <c r="S43">
        <f t="shared" si="6"/>
        <v>0.97921999268137416</v>
      </c>
      <c r="T43">
        <f t="shared" si="7"/>
        <v>9.5469156791783139E-3</v>
      </c>
      <c r="U43">
        <f t="shared" si="8"/>
        <v>-9.4228046897648632E-4</v>
      </c>
      <c r="V43">
        <f t="shared" si="9"/>
        <v>1.998115439062047</v>
      </c>
      <c r="W43">
        <f t="shared" si="10"/>
        <v>1.0212209794264153</v>
      </c>
      <c r="X43">
        <f t="shared" si="11"/>
        <v>9.5469156791783139E-3</v>
      </c>
      <c r="Y43">
        <f t="shared" si="12"/>
        <v>2.0258702842992582E-2</v>
      </c>
      <c r="Z43">
        <f>2*1*SQRT(W43)*EXP(R43)</f>
        <v>2.0405174056859852</v>
      </c>
    </row>
    <row r="44" spans="1:26" x14ac:dyDescent="0.25">
      <c r="A44" s="6">
        <v>44629.333333333336</v>
      </c>
      <c r="B44" s="7">
        <v>740080.85355400294</v>
      </c>
      <c r="C44" s="7">
        <v>736540.14351599663</v>
      </c>
      <c r="D44" s="7">
        <v>282.69862921684216</v>
      </c>
      <c r="E44" s="8">
        <v>2220.2425606620236</v>
      </c>
      <c r="F44">
        <v>1.646879957347985E+17</v>
      </c>
      <c r="G44">
        <v>2</v>
      </c>
      <c r="H44">
        <v>3.6533094549072562E-4</v>
      </c>
      <c r="I44">
        <v>2737.2441681795231</v>
      </c>
      <c r="J44">
        <v>209</v>
      </c>
      <c r="K44">
        <f t="shared" si="0"/>
        <v>3.6533094549072527E+22</v>
      </c>
      <c r="L44">
        <f t="shared" si="1"/>
        <v>3.6533094549072594E-30</v>
      </c>
      <c r="M44">
        <f t="shared" si="16"/>
        <v>52.318678960578417</v>
      </c>
      <c r="N44">
        <f t="shared" si="2"/>
        <v>0.84809588765052646</v>
      </c>
      <c r="O44" s="2">
        <f t="shared" si="3"/>
        <v>3.1768362185200552E-4</v>
      </c>
      <c r="P44" s="2">
        <f t="shared" si="17"/>
        <v>9.8340553242312945E-2</v>
      </c>
      <c r="Q44">
        <f t="shared" si="5"/>
        <v>2.6938988455304857E-4</v>
      </c>
      <c r="R44">
        <f t="shared" si="15"/>
        <v>9.8261402252531882E-3</v>
      </c>
      <c r="S44">
        <f t="shared" si="6"/>
        <v>0.91906743533523894</v>
      </c>
      <c r="T44">
        <f t="shared" si="7"/>
        <v>8.9761192624966402E-3</v>
      </c>
      <c r="U44">
        <f t="shared" si="8"/>
        <v>-3.1853393246209061E-2</v>
      </c>
      <c r="V44">
        <f t="shared" si="9"/>
        <v>1.9362932135075819</v>
      </c>
      <c r="W44">
        <f t="shared" si="10"/>
        <v>1.0880594410738098</v>
      </c>
      <c r="X44">
        <f t="shared" si="11"/>
        <v>8.9761192624966402E-3</v>
      </c>
      <c r="Y44">
        <f t="shared" si="12"/>
        <v>5.3401055822035248E-2</v>
      </c>
      <c r="Z44">
        <f t="shared" si="13"/>
        <v>2.1068021116440705</v>
      </c>
    </row>
    <row r="45" spans="1:26" x14ac:dyDescent="0.25">
      <c r="A45" s="6">
        <v>44630.33357638889</v>
      </c>
      <c r="B45" s="7">
        <v>458209.8175432235</v>
      </c>
      <c r="C45" s="7">
        <v>456705.39970300347</v>
      </c>
      <c r="D45" s="7">
        <v>171.07861903147568</v>
      </c>
      <c r="E45" s="8">
        <v>1374.6294526296551</v>
      </c>
      <c r="F45">
        <v>1.646879957347985E+17</v>
      </c>
      <c r="G45">
        <v>2</v>
      </c>
      <c r="H45">
        <v>3.8644935825679053E-4</v>
      </c>
      <c r="I45">
        <v>2587.6611737973521</v>
      </c>
      <c r="J45">
        <v>210</v>
      </c>
      <c r="K45">
        <f t="shared" si="0"/>
        <v>3.8644935825679012E+22</v>
      </c>
      <c r="L45">
        <f t="shared" si="1"/>
        <v>3.864493582567909E-30</v>
      </c>
      <c r="M45">
        <f t="shared" si="16"/>
        <v>50.869059100772347</v>
      </c>
      <c r="N45">
        <f t="shared" si="2"/>
        <v>0.51323585709442709</v>
      </c>
      <c r="O45" s="2">
        <f t="shared" si="3"/>
        <v>3.0888140252000008E-4</v>
      </c>
      <c r="P45" s="2">
        <f t="shared" si="17"/>
        <v>5.7863089147451557E-2</v>
      </c>
      <c r="Q45">
        <f t="shared" si="5"/>
        <v>1.5851644696695939E-4</v>
      </c>
      <c r="R45">
        <f t="shared" si="15"/>
        <v>9.9846566722201473E-3</v>
      </c>
      <c r="S45">
        <f t="shared" si="6"/>
        <v>0.97219527927735849</v>
      </c>
      <c r="T45">
        <f t="shared" si="7"/>
        <v>9.9342855300188493E-3</v>
      </c>
      <c r="U45">
        <f t="shared" si="8"/>
        <v>-4.1061848486725339E-3</v>
      </c>
      <c r="V45">
        <f t="shared" si="9"/>
        <v>1.9917876303026549</v>
      </c>
      <c r="W45">
        <f t="shared" si="10"/>
        <v>1.0285999338973433</v>
      </c>
      <c r="X45">
        <f t="shared" si="11"/>
        <v>9.9342855300186272E-3</v>
      </c>
      <c r="Y45">
        <f t="shared" si="12"/>
        <v>2.4376312433428193E-2</v>
      </c>
      <c r="Z45">
        <f t="shared" si="13"/>
        <v>2.0487526248668564</v>
      </c>
    </row>
    <row r="46" spans="1:26" x14ac:dyDescent="0.25">
      <c r="A46" s="6">
        <v>44631.333414351851</v>
      </c>
      <c r="B46" s="7">
        <v>776231.03127261996</v>
      </c>
      <c r="C46" s="7">
        <v>775535.17851600051</v>
      </c>
      <c r="D46" s="7">
        <v>296.71753446295043</v>
      </c>
      <c r="E46" s="8">
        <v>2328.6930938178557</v>
      </c>
      <c r="F46">
        <v>1.646879957347985E+17</v>
      </c>
      <c r="G46">
        <v>2</v>
      </c>
      <c r="H46">
        <v>3.7773843034117352E-4</v>
      </c>
      <c r="I46">
        <v>2647.3345566052135</v>
      </c>
      <c r="J46">
        <v>211</v>
      </c>
      <c r="K46">
        <f t="shared" si="0"/>
        <v>3.7773843034117316E+22</v>
      </c>
      <c r="L46">
        <f t="shared" si="1"/>
        <v>3.777384303411739E-30</v>
      </c>
      <c r="M46">
        <f t="shared" si="16"/>
        <v>51.4522551168143</v>
      </c>
      <c r="N46">
        <f t="shared" si="2"/>
        <v>0.89015260338885127</v>
      </c>
      <c r="O46" s="2">
        <f t="shared" si="3"/>
        <v>3.1242262004128857E-4</v>
      </c>
      <c r="P46" s="2">
        <f t="shared" si="17"/>
        <v>0.10150789013437141</v>
      </c>
      <c r="Q46">
        <f t="shared" si="5"/>
        <v>2.7806514489128818E-4</v>
      </c>
      <c r="R46">
        <f t="shared" si="15"/>
        <v>1.0262721817111435E-2</v>
      </c>
      <c r="S46">
        <f t="shared" si="6"/>
        <v>0.950281093584596</v>
      </c>
      <c r="T46">
        <f t="shared" si="7"/>
        <v>9.9872071137090401E-3</v>
      </c>
      <c r="U46">
        <f t="shared" si="8"/>
        <v>-1.5120522601911768E-2</v>
      </c>
      <c r="V46">
        <f t="shared" si="9"/>
        <v>1.9697589547961765</v>
      </c>
      <c r="W46">
        <f t="shared" si="10"/>
        <v>1.0523202100421225</v>
      </c>
      <c r="X46">
        <f t="shared" si="11"/>
        <v>9.9872071137092622E-3</v>
      </c>
      <c r="Y46">
        <f t="shared" si="12"/>
        <v>3.6408578521732071E-2</v>
      </c>
      <c r="Z46">
        <f t="shared" si="13"/>
        <v>2.0728171570434641</v>
      </c>
    </row>
    <row r="47" spans="1:26" x14ac:dyDescent="0.25">
      <c r="A47" s="6">
        <v>44632.334016203706</v>
      </c>
      <c r="B47" s="7">
        <v>269829.48843390495</v>
      </c>
      <c r="C47" s="7">
        <v>268677.82234599441</v>
      </c>
      <c r="D47" s="7">
        <v>104.38688993668075</v>
      </c>
      <c r="E47" s="8">
        <v>809.48846530173614</v>
      </c>
      <c r="F47">
        <v>1.646879957347985E+17</v>
      </c>
      <c r="G47">
        <v>2</v>
      </c>
      <c r="H47">
        <v>3.8838634663602843E-4</v>
      </c>
      <c r="I47">
        <v>2574.7558034967124</v>
      </c>
      <c r="J47">
        <v>212</v>
      </c>
      <c r="K47">
        <f t="shared" si="0"/>
        <v>3.8838634663602802E+22</v>
      </c>
      <c r="L47">
        <f t="shared" si="1"/>
        <v>3.8838634663602884E-30</v>
      </c>
      <c r="M47">
        <f t="shared" si="16"/>
        <v>50.742051628774604</v>
      </c>
      <c r="N47">
        <f t="shared" si="2"/>
        <v>0.31316066981004226</v>
      </c>
      <c r="O47" s="2">
        <f t="shared" si="3"/>
        <v>3.0811020197541231E-4</v>
      </c>
      <c r="P47" s="2">
        <f t="shared" si="17"/>
        <v>3.5218118987463548E-2</v>
      </c>
      <c r="Q47">
        <f t="shared" si="5"/>
        <v>9.6483342558442188E-5</v>
      </c>
      <c r="R47">
        <f t="shared" si="15"/>
        <v>1.0359205159669878E-2</v>
      </c>
      <c r="S47">
        <f t="shared" si="6"/>
        <v>0.9770681841433535</v>
      </c>
      <c r="T47">
        <f t="shared" si="7"/>
        <v>1.0345077504140043E-2</v>
      </c>
      <c r="U47">
        <f t="shared" si="8"/>
        <v>-1.2394461303569804E-3</v>
      </c>
      <c r="V47">
        <f t="shared" si="9"/>
        <v>1.997521107739286</v>
      </c>
      <c r="W47">
        <f t="shared" si="10"/>
        <v>1.0234700261750433</v>
      </c>
      <c r="X47">
        <f t="shared" si="11"/>
        <v>1.0345077504140043E-2</v>
      </c>
      <c r="Y47">
        <f t="shared" si="12"/>
        <v>2.2201490211564145E-2</v>
      </c>
      <c r="Z47">
        <f t="shared" si="13"/>
        <v>2.0444029804231283</v>
      </c>
    </row>
    <row r="48" spans="1:26" x14ac:dyDescent="0.25">
      <c r="A48" s="6">
        <v>44633.333425925928</v>
      </c>
      <c r="B48" s="7">
        <v>97951.774804256856</v>
      </c>
      <c r="C48" s="7">
        <v>97619.715919002891</v>
      </c>
      <c r="D48" s="7">
        <v>37.916778838107348</v>
      </c>
      <c r="E48" s="8">
        <v>293.85532441275427</v>
      </c>
      <c r="F48">
        <v>1.646879957347985E+17</v>
      </c>
      <c r="G48">
        <v>2</v>
      </c>
      <c r="H48">
        <v>3.8912494521178652E-4</v>
      </c>
      <c r="I48">
        <v>2569.8686560835531</v>
      </c>
      <c r="J48">
        <v>213</v>
      </c>
      <c r="K48">
        <f t="shared" si="0"/>
        <v>3.8912494521178611E+22</v>
      </c>
      <c r="L48">
        <f t="shared" si="1"/>
        <v>3.891249452117869E-30</v>
      </c>
      <c r="M48">
        <f t="shared" si="16"/>
        <v>50.69387197762731</v>
      </c>
      <c r="N48">
        <f t="shared" si="2"/>
        <v>0.11375033651432205</v>
      </c>
      <c r="O48" s="2">
        <f t="shared" si="3"/>
        <v>3.0781765089461056E-4</v>
      </c>
      <c r="P48" s="2">
        <f t="shared" si="17"/>
        <v>1.278024190162317E-2</v>
      </c>
      <c r="Q48">
        <f t="shared" si="5"/>
        <v>3.5013748385876902E-5</v>
      </c>
      <c r="R48">
        <f t="shared" si="15"/>
        <v>1.0394218908055754E-2</v>
      </c>
      <c r="S48">
        <f t="shared" si="6"/>
        <v>0.97892628542697857</v>
      </c>
      <c r="T48">
        <f t="shared" si="7"/>
        <v>1.0391131097651218E-2</v>
      </c>
      <c r="U48">
        <f t="shared" si="8"/>
        <v>-2.5521605428102667E-4</v>
      </c>
      <c r="V48">
        <f t="shared" si="9"/>
        <v>1.9994895678914379</v>
      </c>
      <c r="W48">
        <f t="shared" si="10"/>
        <v>1.0215273763578938</v>
      </c>
      <c r="X48">
        <f t="shared" si="11"/>
        <v>1.0391131097650996E-2</v>
      </c>
      <c r="Y48">
        <f t="shared" si="12"/>
        <v>2.1266666171559701E-2</v>
      </c>
      <c r="Z48">
        <f t="shared" si="13"/>
        <v>2.0425333323431194</v>
      </c>
    </row>
    <row r="49" spans="1:26" x14ac:dyDescent="0.25">
      <c r="A49" s="6">
        <v>44634.333749999998</v>
      </c>
      <c r="B49" s="7">
        <v>344827.51497684419</v>
      </c>
      <c r="C49" s="7">
        <v>343699.49723400176</v>
      </c>
      <c r="D49" s="7">
        <v>134.94845061008527</v>
      </c>
      <c r="E49" s="8">
        <v>1034.4825449305499</v>
      </c>
      <c r="F49">
        <v>1.646879957347985E+17</v>
      </c>
      <c r="G49">
        <v>2</v>
      </c>
      <c r="H49">
        <v>3.8784301333899806E-4</v>
      </c>
      <c r="I49">
        <v>2578.3628055868576</v>
      </c>
      <c r="J49">
        <v>214</v>
      </c>
      <c r="K49">
        <f t="shared" si="0"/>
        <v>3.8784301333899769E+22</v>
      </c>
      <c r="L49">
        <f t="shared" si="1"/>
        <v>3.8784301333899841E-30</v>
      </c>
      <c r="M49">
        <f t="shared" si="16"/>
        <v>50.777581722521731</v>
      </c>
      <c r="N49">
        <f t="shared" si="2"/>
        <v>0.40484535183025583</v>
      </c>
      <c r="O49" s="2">
        <f t="shared" si="3"/>
        <v>3.0832594383072243E-4</v>
      </c>
      <c r="P49" s="2">
        <f t="shared" si="17"/>
        <v>4.5560878701118752E-2</v>
      </c>
      <c r="Q49">
        <f t="shared" si="5"/>
        <v>1.2481653530070817E-4</v>
      </c>
      <c r="R49">
        <f t="shared" si="15"/>
        <v>1.0519035443356462E-2</v>
      </c>
      <c r="S49">
        <f t="shared" si="6"/>
        <v>0.97570131406022065</v>
      </c>
      <c r="T49">
        <f t="shared" si="7"/>
        <v>1.0498122545850697E-2</v>
      </c>
      <c r="U49">
        <f t="shared" si="8"/>
        <v>-1.7787657153883751E-3</v>
      </c>
      <c r="V49">
        <f t="shared" si="9"/>
        <v>1.9964424685692232</v>
      </c>
      <c r="W49">
        <f t="shared" si="10"/>
        <v>1.0249038159420576</v>
      </c>
      <c r="X49">
        <f t="shared" si="11"/>
        <v>1.0498122545850697E-2</v>
      </c>
      <c r="Y49">
        <f t="shared" si="12"/>
        <v>2.3080752172689012E-2</v>
      </c>
      <c r="Z49">
        <f t="shared" si="13"/>
        <v>2.046161504345378</v>
      </c>
    </row>
    <row r="50" spans="1:26" x14ac:dyDescent="0.25">
      <c r="A50" s="6">
        <v>44635.333379629628</v>
      </c>
      <c r="B50" s="7">
        <v>270968.41437224299</v>
      </c>
      <c r="C50" s="7">
        <v>270085.67657599598</v>
      </c>
      <c r="D50" s="7">
        <v>106.16349035926214</v>
      </c>
      <c r="E50" s="8">
        <v>812.90524311672198</v>
      </c>
      <c r="F50">
        <v>1.646879957347985E+17</v>
      </c>
      <c r="G50">
        <v>2</v>
      </c>
      <c r="H50">
        <v>3.9627149826801979E-4</v>
      </c>
      <c r="I50">
        <v>2523.5223940421929</v>
      </c>
      <c r="J50">
        <v>215</v>
      </c>
      <c r="K50">
        <f t="shared" si="0"/>
        <v>3.9627149826801944E+22</v>
      </c>
      <c r="L50">
        <f t="shared" si="1"/>
        <v>3.9627149826802019E-30</v>
      </c>
      <c r="M50">
        <f t="shared" si="16"/>
        <v>50.234673225200716</v>
      </c>
      <c r="N50">
        <f t="shared" si="2"/>
        <v>0.31849047107778644</v>
      </c>
      <c r="O50" s="2">
        <f t="shared" si="3"/>
        <v>3.0502935566776196E-4</v>
      </c>
      <c r="P50" s="2">
        <f t="shared" si="17"/>
        <v>3.5459364260400403E-2</v>
      </c>
      <c r="Q50">
        <f t="shared" si="5"/>
        <v>9.7144224526162464E-5</v>
      </c>
      <c r="R50">
        <f t="shared" si="15"/>
        <v>1.0616179667882624E-2</v>
      </c>
      <c r="S50">
        <f t="shared" si="6"/>
        <v>0.99690495454863459</v>
      </c>
      <c r="T50">
        <f t="shared" si="7"/>
        <v>1.0671517298650901E-2</v>
      </c>
      <c r="U50">
        <f t="shared" si="8"/>
        <v>9.1074801574311248E-3</v>
      </c>
      <c r="V50">
        <f t="shared" si="9"/>
        <v>2.0182149603148622</v>
      </c>
      <c r="W50">
        <f t="shared" si="10"/>
        <v>1.0031046544981479</v>
      </c>
      <c r="X50">
        <f t="shared" si="11"/>
        <v>1.0671517298651123E-2</v>
      </c>
      <c r="Y50">
        <f t="shared" si="12"/>
        <v>1.224041023481659E-2</v>
      </c>
      <c r="Z50">
        <f t="shared" si="13"/>
        <v>2.0244808204696332</v>
      </c>
    </row>
    <row r="51" spans="1:26" x14ac:dyDescent="0.25">
      <c r="A51" s="6">
        <v>44636.333379629628</v>
      </c>
      <c r="B51" s="7">
        <v>717781.03128030896</v>
      </c>
      <c r="C51" s="7">
        <v>715143.71613100171</v>
      </c>
      <c r="D51" s="7">
        <v>271.80868778622607</v>
      </c>
      <c r="E51" s="8">
        <v>2153.3430938409438</v>
      </c>
      <c r="F51">
        <v>1.646879957347985E+17</v>
      </c>
      <c r="G51">
        <v>2</v>
      </c>
      <c r="H51">
        <v>3.7327020509389514E-4</v>
      </c>
      <c r="I51">
        <v>2679.0244341855591</v>
      </c>
      <c r="J51">
        <v>216</v>
      </c>
      <c r="K51">
        <f t="shared" si="0"/>
        <v>3.7327020509389478E+22</v>
      </c>
      <c r="L51">
        <f t="shared" si="1"/>
        <v>3.7327020509389551E-30</v>
      </c>
      <c r="M51">
        <f t="shared" si="16"/>
        <v>51.759293215673793</v>
      </c>
      <c r="N51">
        <f t="shared" si="2"/>
        <v>0.81542606335867829</v>
      </c>
      <c r="O51" s="2">
        <f t="shared" si="3"/>
        <v>3.1428698239198427E-4</v>
      </c>
      <c r="P51" s="2">
        <f t="shared" si="17"/>
        <v>9.3541395838122501E-2</v>
      </c>
      <c r="Q51">
        <f t="shared" si="5"/>
        <v>2.5624496327167714E-4</v>
      </c>
      <c r="R51">
        <f t="shared" si="15"/>
        <v>1.0872424631154301E-2</v>
      </c>
      <c r="S51">
        <f t="shared" si="6"/>
        <v>0.93904032581169306</v>
      </c>
      <c r="T51">
        <f t="shared" si="7"/>
        <v>1.0432042582431356E-2</v>
      </c>
      <c r="U51">
        <f t="shared" si="8"/>
        <v>-2.0365761470193977E-2</v>
      </c>
      <c r="V51">
        <f t="shared" si="9"/>
        <v>1.959268477059612</v>
      </c>
      <c r="W51">
        <f t="shared" si="10"/>
        <v>1.064916992926384</v>
      </c>
      <c r="X51">
        <f t="shared" si="11"/>
        <v>1.0432042582431356E-2</v>
      </c>
      <c r="Y51">
        <f t="shared" si="12"/>
        <v>4.3229147462888973E-2</v>
      </c>
      <c r="Z51">
        <f t="shared" si="13"/>
        <v>2.0864582949257779</v>
      </c>
    </row>
    <row r="52" spans="1:26" x14ac:dyDescent="0.25">
      <c r="A52" s="6">
        <v>44637.333587962959</v>
      </c>
      <c r="B52" s="7">
        <v>379728.1525888294</v>
      </c>
      <c r="C52" s="7">
        <v>378182.5028880015</v>
      </c>
      <c r="D52" s="7">
        <v>140.30483430138884</v>
      </c>
      <c r="E52" s="8">
        <v>1139.1844577664742</v>
      </c>
      <c r="F52">
        <v>1.646879957347985E+17</v>
      </c>
      <c r="G52">
        <v>2</v>
      </c>
      <c r="H52">
        <v>3.626013486595628E-4</v>
      </c>
      <c r="I52">
        <v>2757.8496431321182</v>
      </c>
      <c r="J52">
        <v>217</v>
      </c>
      <c r="K52">
        <f t="shared" si="0"/>
        <v>3.6260134865956244E+22</v>
      </c>
      <c r="L52">
        <f t="shared" si="1"/>
        <v>3.6260134865956315E-30</v>
      </c>
      <c r="M52">
        <f t="shared" si="16"/>
        <v>52.515232486704946</v>
      </c>
      <c r="N52">
        <f t="shared" si="2"/>
        <v>0.42091450290416654</v>
      </c>
      <c r="O52" s="2">
        <f t="shared" si="3"/>
        <v>3.188771121561989E-4</v>
      </c>
      <c r="P52" s="2">
        <f t="shared" si="17"/>
        <v>4.8990300420021053E-2</v>
      </c>
      <c r="Q52">
        <f t="shared" si="5"/>
        <v>1.3421099445226479E-4</v>
      </c>
      <c r="R52">
        <f t="shared" si="15"/>
        <v>1.1006635625606566E-2</v>
      </c>
      <c r="S52">
        <f t="shared" si="6"/>
        <v>0.91220055589324078</v>
      </c>
      <c r="T52">
        <f t="shared" si="7"/>
        <v>1.0001091104935966E-2</v>
      </c>
      <c r="U52">
        <f t="shared" si="8"/>
        <v>-3.4337676068180945E-2</v>
      </c>
      <c r="V52">
        <f t="shared" si="9"/>
        <v>1.9313246478636381</v>
      </c>
      <c r="W52">
        <f t="shared" si="10"/>
        <v>1.0962501541350023</v>
      </c>
      <c r="X52">
        <f t="shared" si="11"/>
        <v>1.0001091104935966E-2</v>
      </c>
      <c r="Y52">
        <f t="shared" si="12"/>
        <v>5.860747145262124E-2</v>
      </c>
      <c r="Z52">
        <f t="shared" si="13"/>
        <v>2.1172149429052425</v>
      </c>
    </row>
    <row r="53" spans="1:26" x14ac:dyDescent="0.25">
      <c r="A53" s="6">
        <v>44638.33384259259</v>
      </c>
      <c r="B53" s="7">
        <v>176443.56272054464</v>
      </c>
      <c r="C53" s="7">
        <v>175764.64921599627</v>
      </c>
      <c r="D53" s="7">
        <v>62.971196852156936</v>
      </c>
      <c r="E53" s="8">
        <v>529.33068816162995</v>
      </c>
      <c r="F53">
        <v>1.646879957347985E+17</v>
      </c>
      <c r="G53">
        <v>2</v>
      </c>
      <c r="H53">
        <v>3.5888590790309941E-4</v>
      </c>
      <c r="I53">
        <v>2786.4008532483363</v>
      </c>
      <c r="J53">
        <v>218</v>
      </c>
      <c r="K53">
        <f t="shared" si="0"/>
        <v>3.5888590790309907E+22</v>
      </c>
      <c r="L53">
        <f t="shared" si="1"/>
        <v>3.588859079030998E-30</v>
      </c>
      <c r="M53">
        <f t="shared" si="16"/>
        <v>52.786369957110082</v>
      </c>
      <c r="N53">
        <f t="shared" si="2"/>
        <v>0.18891359055647081</v>
      </c>
      <c r="O53" s="2">
        <f t="shared" si="3"/>
        <v>3.2052348273224114E-4</v>
      </c>
      <c r="P53" s="2">
        <f t="shared" si="17"/>
        <v>2.2101203322923615E-2</v>
      </c>
      <c r="Q53">
        <f t="shared" si="5"/>
        <v>6.0549408828224217E-5</v>
      </c>
      <c r="R53">
        <f t="shared" si="15"/>
        <v>1.106718503443479E-2</v>
      </c>
      <c r="S53">
        <f t="shared" si="6"/>
        <v>0.90285357708038383</v>
      </c>
      <c r="T53">
        <f t="shared" si="7"/>
        <v>9.8100847542377245E-3</v>
      </c>
      <c r="U53">
        <f t="shared" si="8"/>
        <v>-3.9239634026776549E-2</v>
      </c>
      <c r="V53">
        <f t="shared" si="9"/>
        <v>1.9215207319464469</v>
      </c>
      <c r="W53">
        <f t="shared" si="10"/>
        <v>1.1075993111017679</v>
      </c>
      <c r="X53">
        <f t="shared" si="11"/>
        <v>9.8100847542377245E-3</v>
      </c>
      <c r="Y53">
        <f t="shared" si="12"/>
        <v>6.413751948582469E-2</v>
      </c>
      <c r="Z53">
        <f t="shared" si="13"/>
        <v>2.1282750389716494</v>
      </c>
    </row>
    <row r="54" spans="1:26" x14ac:dyDescent="0.25">
      <c r="A54" s="6">
        <v>44639.333356481482</v>
      </c>
      <c r="B54" s="7">
        <v>506359.38435130566</v>
      </c>
      <c r="C54" s="7">
        <v>505352.14584300667</v>
      </c>
      <c r="D54" s="7">
        <v>173.60073386061049</v>
      </c>
      <c r="E54" s="8">
        <v>1519.0781530539098</v>
      </c>
      <c r="F54">
        <v>1.646879957347985E+17</v>
      </c>
      <c r="G54">
        <v>2</v>
      </c>
      <c r="H54">
        <v>3.4100839219503845E-4</v>
      </c>
      <c r="I54">
        <v>2932.4791497449537</v>
      </c>
      <c r="J54">
        <v>219</v>
      </c>
      <c r="K54">
        <f t="shared" si="0"/>
        <v>3.410083921950381E+22</v>
      </c>
      <c r="L54">
        <f t="shared" si="1"/>
        <v>3.4100839219503881E-30</v>
      </c>
      <c r="M54">
        <f t="shared" si="16"/>
        <v>54.152369751891193</v>
      </c>
      <c r="N54">
        <f t="shared" si="2"/>
        <v>0.52080220158183144</v>
      </c>
      <c r="O54" s="2">
        <f t="shared" si="3"/>
        <v>3.288179536721924E-4</v>
      </c>
      <c r="P54" s="2">
        <f t="shared" si="17"/>
        <v>6.2505926680120324E-2</v>
      </c>
      <c r="Q54">
        <f t="shared" si="5"/>
        <v>1.7123445273634587E-4</v>
      </c>
      <c r="R54">
        <f t="shared" si="15"/>
        <v>1.1238419487171136E-2</v>
      </c>
      <c r="S54">
        <f t="shared" si="6"/>
        <v>0.85787889668504302</v>
      </c>
      <c r="T54">
        <f t="shared" si="7"/>
        <v>8.3385470392376426E-3</v>
      </c>
      <c r="U54">
        <f t="shared" si="8"/>
        <v>-6.3314546370870861E-2</v>
      </c>
      <c r="V54">
        <f t="shared" si="9"/>
        <v>1.8733709072582583</v>
      </c>
      <c r="W54">
        <f t="shared" si="10"/>
        <v>1.1656656946150927</v>
      </c>
      <c r="X54">
        <f t="shared" si="11"/>
        <v>8.3385470392376426E-3</v>
      </c>
      <c r="Y54">
        <f t="shared" si="12"/>
        <v>9.1862099940452024E-2</v>
      </c>
      <c r="Z54">
        <f t="shared" si="13"/>
        <v>2.183724199880904</v>
      </c>
    </row>
    <row r="55" spans="1:26" x14ac:dyDescent="0.25">
      <c r="A55" s="6">
        <v>44640.333379629628</v>
      </c>
      <c r="B55" s="7">
        <v>242155.59679683298</v>
      </c>
      <c r="C55" s="7">
        <v>241644.30901099741</v>
      </c>
      <c r="D55" s="7">
        <v>82.465648820752904</v>
      </c>
      <c r="E55" s="8">
        <v>726.4667903905065</v>
      </c>
      <c r="F55">
        <v>1.646879957347985E+17</v>
      </c>
      <c r="G55">
        <v>2</v>
      </c>
      <c r="H55">
        <v>3.4598878546156318E-4</v>
      </c>
      <c r="I55">
        <v>2890.2670896282352</v>
      </c>
      <c r="J55">
        <v>220</v>
      </c>
      <c r="K55">
        <f t="shared" si="0"/>
        <v>3.4598878546156285E+22</v>
      </c>
      <c r="L55">
        <f t="shared" si="1"/>
        <v>3.4598878546156353E-30</v>
      </c>
      <c r="M55">
        <f t="shared" si="16"/>
        <v>53.761204317135729</v>
      </c>
      <c r="N55">
        <f t="shared" si="2"/>
        <v>0.24739694646225871</v>
      </c>
      <c r="O55" s="2">
        <f t="shared" si="3"/>
        <v>3.2644276273608211E-4</v>
      </c>
      <c r="P55" s="2">
        <f t="shared" si="17"/>
        <v>2.9477744083897771E-2</v>
      </c>
      <c r="Q55">
        <f t="shared" si="5"/>
        <v>8.0757681706241302E-5</v>
      </c>
      <c r="R55">
        <f t="shared" si="15"/>
        <v>1.1319177168877377E-2</v>
      </c>
      <c r="S55">
        <f t="shared" si="6"/>
        <v>0.87040813167847442</v>
      </c>
      <c r="T55">
        <f t="shared" si="7"/>
        <v>8.953008774444049E-3</v>
      </c>
      <c r="U55">
        <f t="shared" si="8"/>
        <v>-5.6423043953408358E-2</v>
      </c>
      <c r="V55">
        <f t="shared" si="9"/>
        <v>1.8871539120931833</v>
      </c>
      <c r="W55">
        <f t="shared" si="10"/>
        <v>1.1488863253972865</v>
      </c>
      <c r="X55">
        <f t="shared" si="11"/>
        <v>8.953008774444049E-3</v>
      </c>
      <c r="Y55">
        <f t="shared" si="12"/>
        <v>8.4062661761925561E-2</v>
      </c>
      <c r="Z55">
        <f t="shared" si="13"/>
        <v>2.1681253235238511</v>
      </c>
    </row>
    <row r="56" spans="1:26" x14ac:dyDescent="0.25">
      <c r="A56" s="6">
        <v>44641.333333333336</v>
      </c>
      <c r="B56" s="7">
        <v>463526.17313525826</v>
      </c>
      <c r="C56" s="7">
        <v>463211.28147900105</v>
      </c>
      <c r="D56" s="7">
        <v>161.33445843303889</v>
      </c>
      <c r="E56" s="8">
        <v>1390.5785194057826</v>
      </c>
      <c r="F56">
        <v>1.646879957347985E+17</v>
      </c>
      <c r="G56">
        <v>2</v>
      </c>
      <c r="H56">
        <v>3.447800017560153E-4</v>
      </c>
      <c r="I56">
        <v>2900.4002404630569</v>
      </c>
      <c r="J56">
        <v>221</v>
      </c>
      <c r="K56">
        <f t="shared" si="0"/>
        <v>3.4478000175601496E+22</v>
      </c>
      <c r="L56">
        <f t="shared" si="1"/>
        <v>3.4478000175601563E-30</v>
      </c>
      <c r="M56">
        <f t="shared" si="16"/>
        <v>53.855364082546473</v>
      </c>
      <c r="N56">
        <f t="shared" si="2"/>
        <v>0.48400337529911669</v>
      </c>
      <c r="O56" s="2">
        <f t="shared" si="3"/>
        <v>3.2701450911620306E-4</v>
      </c>
      <c r="P56" s="2">
        <f t="shared" si="17"/>
        <v>5.7770786057169503E-2</v>
      </c>
      <c r="Q56">
        <f t="shared" si="5"/>
        <v>1.5826360183947958E-4</v>
      </c>
      <c r="R56">
        <f t="shared" si="15"/>
        <v>1.1477440770716857E-2</v>
      </c>
      <c r="S56">
        <f t="shared" si="6"/>
        <v>0.86736718003217839</v>
      </c>
      <c r="T56">
        <f t="shared" si="7"/>
        <v>8.988823903539167E-3</v>
      </c>
      <c r="U56">
        <f t="shared" si="8"/>
        <v>-5.7923692611631994E-2</v>
      </c>
      <c r="V56">
        <f t="shared" si="9"/>
        <v>1.884152614776736</v>
      </c>
      <c r="W56">
        <f t="shared" si="10"/>
        <v>1.1529142709352931</v>
      </c>
      <c r="X56">
        <f t="shared" si="11"/>
        <v>8.988823903539167E-3</v>
      </c>
      <c r="Y56">
        <f t="shared" si="12"/>
        <v>8.6133219098073255E-2</v>
      </c>
      <c r="Z56">
        <f t="shared" si="13"/>
        <v>2.1722664381961465</v>
      </c>
    </row>
    <row r="57" spans="1:26" x14ac:dyDescent="0.25">
      <c r="A57" s="6">
        <v>44642.333344907405</v>
      </c>
      <c r="B57" s="7">
        <v>432130.19277264178</v>
      </c>
      <c r="C57" s="7">
        <v>430592.44827699661</v>
      </c>
      <c r="D57" s="7">
        <v>145.88707283297117</v>
      </c>
      <c r="E57" s="8">
        <v>1296.3905783179362</v>
      </c>
      <c r="F57">
        <v>1.646879957347985E+17</v>
      </c>
      <c r="G57">
        <v>2</v>
      </c>
      <c r="H57">
        <v>3.3312182284386376E-4</v>
      </c>
      <c r="I57">
        <v>3001.9048030627105</v>
      </c>
      <c r="J57">
        <v>222</v>
      </c>
      <c r="K57">
        <f t="shared" si="0"/>
        <v>3.3312182284386342E+22</v>
      </c>
      <c r="L57">
        <f t="shared" si="1"/>
        <v>3.3312182284386406E-30</v>
      </c>
      <c r="M57">
        <f t="shared" si="16"/>
        <v>54.789641384693432</v>
      </c>
      <c r="N57">
        <f t="shared" si="2"/>
        <v>0.43766121849891354</v>
      </c>
      <c r="O57" s="2">
        <f t="shared" si="3"/>
        <v>3.3268752309623508E-4</v>
      </c>
      <c r="P57" s="2">
        <f t="shared" si="17"/>
        <v>5.3145615759254541E-2</v>
      </c>
      <c r="Q57">
        <f t="shared" si="5"/>
        <v>1.455938274419254E-4</v>
      </c>
      <c r="R57">
        <f t="shared" si="15"/>
        <v>1.1623034598158782E-2</v>
      </c>
      <c r="S57">
        <f t="shared" si="6"/>
        <v>0.83803855970663177</v>
      </c>
      <c r="T57">
        <f t="shared" si="7"/>
        <v>7.755549159736308E-3</v>
      </c>
      <c r="U57">
        <f t="shared" si="8"/>
        <v>-7.3853220943036257E-2</v>
      </c>
      <c r="V57">
        <f t="shared" si="9"/>
        <v>1.8522935581139275</v>
      </c>
      <c r="W57">
        <f t="shared" si="10"/>
        <v>1.1932625156890935</v>
      </c>
      <c r="X57">
        <f t="shared" si="11"/>
        <v>7.75554915973653E-3</v>
      </c>
      <c r="Y57">
        <f t="shared" si="12"/>
        <v>0.10513623547486373</v>
      </c>
      <c r="Z57">
        <f t="shared" si="13"/>
        <v>2.2102724709497275</v>
      </c>
    </row>
    <row r="58" spans="1:26" x14ac:dyDescent="0.25">
      <c r="A58" s="6">
        <v>44643.333379629628</v>
      </c>
      <c r="B58" s="7">
        <v>2872714.6285127625</v>
      </c>
      <c r="C58" s="7">
        <v>3172462.4240740016</v>
      </c>
      <c r="D58" s="7">
        <v>958.42447579552754</v>
      </c>
      <c r="E58" s="8">
        <v>8618.143885538273</v>
      </c>
      <c r="F58">
        <v>1.646879957347985E+17</v>
      </c>
      <c r="G58">
        <v>2</v>
      </c>
      <c r="H58">
        <v>3.3862978720754049E-4</v>
      </c>
      <c r="I58">
        <v>2953.0774839577739</v>
      </c>
      <c r="J58">
        <v>223</v>
      </c>
      <c r="K58">
        <f t="shared" si="0"/>
        <v>3.3862978720754016E+22</v>
      </c>
      <c r="L58">
        <f t="shared" si="1"/>
        <v>3.3862978720754082E-30</v>
      </c>
      <c r="M58">
        <f t="shared" si="16"/>
        <v>54.342225607333795</v>
      </c>
      <c r="N58">
        <f t="shared" si="2"/>
        <v>2.8752734273865825</v>
      </c>
      <c r="O58" s="2">
        <f t="shared" si="3"/>
        <v>3.2997077513070562E-4</v>
      </c>
      <c r="P58" s="2">
        <f t="shared" si="17"/>
        <v>0.34629601356482698</v>
      </c>
      <c r="Q58">
        <f t="shared" si="5"/>
        <v>9.48306416850763E-4</v>
      </c>
      <c r="R58">
        <f t="shared" si="15"/>
        <v>1.2571341015009545E-2</v>
      </c>
      <c r="S58">
        <f t="shared" si="6"/>
        <v>0.85189501162816972</v>
      </c>
      <c r="T58">
        <f t="shared" si="7"/>
        <v>9.4070541684514453E-3</v>
      </c>
      <c r="U58">
        <f t="shared" si="8"/>
        <v>-6.5342055841579483E-2</v>
      </c>
      <c r="V58">
        <f t="shared" si="9"/>
        <v>1.869315888316841</v>
      </c>
      <c r="W58">
        <f t="shared" si="10"/>
        <v>1.1738535692194831</v>
      </c>
      <c r="X58">
        <f t="shared" si="11"/>
        <v>9.4070541684514453E-3</v>
      </c>
      <c r="Y58">
        <f t="shared" si="12"/>
        <v>9.7151563749706238E-2</v>
      </c>
      <c r="Z58">
        <f t="shared" si="13"/>
        <v>2.1943031274994125</v>
      </c>
    </row>
    <row r="59" spans="1:26" x14ac:dyDescent="0.25">
      <c r="A59" s="6">
        <v>44644.333402777775</v>
      </c>
      <c r="B59" s="7">
        <v>388149.61435877532</v>
      </c>
      <c r="C59" s="7">
        <v>386839.99222099781</v>
      </c>
      <c r="D59" s="7">
        <v>128.86678612074502</v>
      </c>
      <c r="E59" s="8">
        <v>1164.4488430763304</v>
      </c>
      <c r="F59">
        <v>1.646879957347985E+17</v>
      </c>
      <c r="G59">
        <v>2</v>
      </c>
      <c r="H59">
        <v>3.2868798515990426E-4</v>
      </c>
      <c r="I59">
        <v>3042.3990080243043</v>
      </c>
      <c r="J59">
        <v>224</v>
      </c>
      <c r="K59">
        <f t="shared" si="0"/>
        <v>3.2868798515990395E+22</v>
      </c>
      <c r="L59">
        <f t="shared" si="1"/>
        <v>3.2868798515990458E-30</v>
      </c>
      <c r="M59">
        <f t="shared" si="16"/>
        <v>55.15794600984443</v>
      </c>
      <c r="N59">
        <f t="shared" si="2"/>
        <v>0.38660035836223505</v>
      </c>
      <c r="O59" s="2">
        <f t="shared" si="3"/>
        <v>3.3492390118504298E-4</v>
      </c>
      <c r="P59" s="2">
        <f t="shared" si="17"/>
        <v>4.7260820581108628E-2</v>
      </c>
      <c r="Q59">
        <f t="shared" si="5"/>
        <v>1.2947331819039286E-4</v>
      </c>
      <c r="R59">
        <f t="shared" si="15"/>
        <v>1.2700814333199938E-2</v>
      </c>
      <c r="S59">
        <f t="shared" si="6"/>
        <v>0.8268843011386483</v>
      </c>
      <c r="T59">
        <f t="shared" si="7"/>
        <v>8.2244352893907635E-3</v>
      </c>
      <c r="U59">
        <f t="shared" si="8"/>
        <v>-7.9045303572716441E-2</v>
      </c>
      <c r="V59">
        <f t="shared" si="9"/>
        <v>1.8419093928545671</v>
      </c>
      <c r="W59">
        <f t="shared" si="10"/>
        <v>1.2093590344174696</v>
      </c>
      <c r="X59">
        <f t="shared" si="11"/>
        <v>8.2244352893907635E-3</v>
      </c>
      <c r="Y59">
        <f t="shared" si="12"/>
        <v>0.11376488241353355</v>
      </c>
      <c r="Z59">
        <f t="shared" si="13"/>
        <v>2.2275297648270671</v>
      </c>
    </row>
    <row r="60" spans="1:26" x14ac:dyDescent="0.25">
      <c r="A60" s="6">
        <v>44645.333344907405</v>
      </c>
      <c r="B60" s="7">
        <v>286731.60207741708</v>
      </c>
      <c r="C60" s="7">
        <v>286150.93057500571</v>
      </c>
      <c r="D60" s="7">
        <v>92.603785028526545</v>
      </c>
      <c r="E60" s="8">
        <v>860.19480623224808</v>
      </c>
      <c r="F60">
        <v>1.646879957347985E+17</v>
      </c>
      <c r="G60">
        <v>2</v>
      </c>
      <c r="H60">
        <v>3.1652771733722731E-4</v>
      </c>
      <c r="I60">
        <v>3159.2809893946956</v>
      </c>
      <c r="J60">
        <v>225</v>
      </c>
      <c r="K60">
        <f t="shared" si="0"/>
        <v>3.1652771733722699E+22</v>
      </c>
      <c r="L60">
        <f t="shared" si="1"/>
        <v>3.1652771733722764E-30</v>
      </c>
      <c r="M60">
        <f t="shared" si="16"/>
        <v>56.207481614063873</v>
      </c>
      <c r="N60">
        <f t="shared" si="2"/>
        <v>0.27781135508557964</v>
      </c>
      <c r="O60" s="2">
        <f t="shared" si="3"/>
        <v>3.412967737161383E-4</v>
      </c>
      <c r="P60" s="2">
        <f t="shared" si="17"/>
        <v>3.460788350523214E-2</v>
      </c>
      <c r="Q60">
        <f t="shared" si="5"/>
        <v>9.4811624428372572E-5</v>
      </c>
      <c r="R60">
        <f t="shared" si="15"/>
        <v>1.279562595762831E-2</v>
      </c>
      <c r="S60">
        <f t="shared" si="6"/>
        <v>0.79629256972710538</v>
      </c>
      <c r="T60">
        <f t="shared" si="7"/>
        <v>6.3436802334542186E-3</v>
      </c>
      <c r="U60">
        <f t="shared" si="8"/>
        <v>-9.6156162302408199E-2</v>
      </c>
      <c r="V60">
        <f t="shared" si="9"/>
        <v>1.8076876753951836</v>
      </c>
      <c r="W60">
        <f t="shared" si="10"/>
        <v>1.2558198305714525</v>
      </c>
      <c r="X60">
        <f t="shared" si="11"/>
        <v>6.3436802334542186E-3</v>
      </c>
      <c r="Y60">
        <f t="shared" si="12"/>
        <v>0.13506501512044111</v>
      </c>
      <c r="Z60">
        <f t="shared" si="13"/>
        <v>2.2701300302408822</v>
      </c>
    </row>
    <row r="61" spans="1:26" x14ac:dyDescent="0.25">
      <c r="A61" s="6">
        <v>44646.333460648151</v>
      </c>
      <c r="B61" s="7">
        <v>223910.50937069952</v>
      </c>
      <c r="C61" s="7">
        <v>224052.40519999713</v>
      </c>
      <c r="D61" s="7">
        <v>71.635913087762674</v>
      </c>
      <c r="E61" s="8">
        <v>671.73152811211185</v>
      </c>
      <c r="F61">
        <v>1.646879957347985E+17</v>
      </c>
      <c r="G61">
        <v>2</v>
      </c>
      <c r="H61">
        <v>3.206692321131136E-4</v>
      </c>
      <c r="I61">
        <v>3118.4781695777338</v>
      </c>
      <c r="J61">
        <v>226</v>
      </c>
      <c r="K61">
        <f t="shared" si="0"/>
        <v>3.206692321131133E+22</v>
      </c>
      <c r="L61">
        <f t="shared" si="1"/>
        <v>3.2066923211311389E-30</v>
      </c>
      <c r="M61">
        <f t="shared" si="16"/>
        <v>55.843335946004856</v>
      </c>
      <c r="N61">
        <f t="shared" si="2"/>
        <v>0.21490773926328802</v>
      </c>
      <c r="O61" s="2">
        <f t="shared" si="3"/>
        <v>3.3908564918071432E-4</v>
      </c>
      <c r="P61" s="2">
        <f t="shared" si="17"/>
        <v>2.6598327552948876E-2</v>
      </c>
      <c r="Q61">
        <f t="shared" si="5"/>
        <v>7.2869475237363659E-5</v>
      </c>
      <c r="R61">
        <f t="shared" si="15"/>
        <v>1.2868495432865673E-2</v>
      </c>
      <c r="S61">
        <f t="shared" si="6"/>
        <v>0.80671142805394103</v>
      </c>
      <c r="T61">
        <f t="shared" si="7"/>
        <v>7.1380991230343138E-3</v>
      </c>
      <c r="U61">
        <f t="shared" si="8"/>
        <v>-9.0196043342945398E-2</v>
      </c>
      <c r="V61">
        <f t="shared" si="9"/>
        <v>1.8196079133141092</v>
      </c>
      <c r="W61">
        <f t="shared" si="10"/>
        <v>1.2396006368873884</v>
      </c>
      <c r="X61">
        <f t="shared" si="11"/>
        <v>7.1380991230345359E-3</v>
      </c>
      <c r="Y61">
        <f t="shared" si="12"/>
        <v>0.12779356411475096</v>
      </c>
      <c r="Z61">
        <f t="shared" si="13"/>
        <v>2.2555871282295019</v>
      </c>
    </row>
    <row r="62" spans="1:26" x14ac:dyDescent="0.25">
      <c r="A62" s="6">
        <v>44647.333368055559</v>
      </c>
      <c r="B62" s="7">
        <v>48971.842825464904</v>
      </c>
      <c r="C62" s="7">
        <v>49102.743936002254</v>
      </c>
      <c r="D62" s="7">
        <v>15.616993795507369</v>
      </c>
      <c r="E62" s="8">
        <v>146.91552847635467</v>
      </c>
      <c r="F62">
        <v>1.646879957347985E+17</v>
      </c>
      <c r="G62">
        <v>2</v>
      </c>
      <c r="H62">
        <v>3.1731998694213657E-4</v>
      </c>
      <c r="I62">
        <v>3151.3930453499938</v>
      </c>
      <c r="J62">
        <v>227</v>
      </c>
      <c r="K62">
        <f t="shared" si="0"/>
        <v>3.1731998694213625E+22</v>
      </c>
      <c r="L62">
        <f t="shared" si="1"/>
        <v>3.1731998694213689E-30</v>
      </c>
      <c r="M62">
        <f t="shared" si="16"/>
        <v>56.137269664195671</v>
      </c>
      <c r="N62">
        <f t="shared" si="2"/>
        <v>4.6850981386522106E-2</v>
      </c>
      <c r="O62" s="2">
        <f t="shared" si="3"/>
        <v>3.4087044057901479E-4</v>
      </c>
      <c r="P62" s="2">
        <f t="shared" si="17"/>
        <v>5.8290918533757986E-3</v>
      </c>
      <c r="Q62">
        <f t="shared" si="5"/>
        <v>1.5969987145773292E-5</v>
      </c>
      <c r="R62">
        <f t="shared" si="15"/>
        <v>1.2884465420011445E-2</v>
      </c>
      <c r="S62">
        <f t="shared" si="6"/>
        <v>0.79828569186161258</v>
      </c>
      <c r="T62">
        <f t="shared" si="7"/>
        <v>6.5749813356015263E-3</v>
      </c>
      <c r="U62">
        <f t="shared" si="8"/>
        <v>-9.4945306639159011E-2</v>
      </c>
      <c r="V62">
        <f t="shared" si="9"/>
        <v>1.810109386721682</v>
      </c>
      <c r="W62">
        <f t="shared" si="10"/>
        <v>1.2526843587387708</v>
      </c>
      <c r="X62">
        <f t="shared" si="11"/>
        <v>6.5749813356017484E-3</v>
      </c>
      <c r="Y62">
        <f t="shared" si="12"/>
        <v>0.13374785817623991</v>
      </c>
      <c r="Z62">
        <f t="shared" si="13"/>
        <v>2.2674957163524798</v>
      </c>
    </row>
    <row r="63" spans="1:26" x14ac:dyDescent="0.25">
      <c r="A63" s="6">
        <v>44648.333854166667</v>
      </c>
      <c r="B63" s="7">
        <v>318695.67150875926</v>
      </c>
      <c r="C63" s="7">
        <v>317917.38042799383</v>
      </c>
      <c r="D63" s="7">
        <v>97.941419895945728</v>
      </c>
      <c r="E63" s="8">
        <v>956.08701452630339</v>
      </c>
      <c r="F63">
        <v>1.646879957347985E+17</v>
      </c>
      <c r="G63">
        <v>2</v>
      </c>
      <c r="H63">
        <v>2.9869222997603445E-4</v>
      </c>
      <c r="I63">
        <v>3347.9277317666915</v>
      </c>
      <c r="J63">
        <v>228</v>
      </c>
      <c r="K63">
        <f t="shared" si="0"/>
        <v>2.9869222997603417E+22</v>
      </c>
      <c r="L63">
        <f t="shared" si="1"/>
        <v>2.9869222997603475E-30</v>
      </c>
      <c r="M63">
        <f t="shared" si="16"/>
        <v>57.861280073701792</v>
      </c>
      <c r="N63">
        <f t="shared" si="2"/>
        <v>0.29382425968783721</v>
      </c>
      <c r="O63" s="2">
        <f t="shared" si="3"/>
        <v>3.5133878347075987E-4</v>
      </c>
      <c r="P63" s="2">
        <f t="shared" si="17"/>
        <v>3.7679628152816294E-2</v>
      </c>
      <c r="Q63">
        <f t="shared" si="5"/>
        <v>1.0322652991145442E-4</v>
      </c>
      <c r="R63">
        <f t="shared" si="15"/>
        <v>1.29876919499229E-2</v>
      </c>
      <c r="S63">
        <f t="shared" si="6"/>
        <v>0.75142362054737666</v>
      </c>
      <c r="T63">
        <f t="shared" si="7"/>
        <v>2.8170227248525137E-3</v>
      </c>
      <c r="U63">
        <f t="shared" si="8"/>
        <v>-0.12182128965634897</v>
      </c>
      <c r="V63">
        <f t="shared" si="9"/>
        <v>1.7563574206873021</v>
      </c>
      <c r="W63">
        <f t="shared" si="10"/>
        <v>1.3308072472775705</v>
      </c>
      <c r="X63">
        <f t="shared" si="11"/>
        <v>2.8170227248525137E-3</v>
      </c>
      <c r="Y63">
        <f t="shared" si="12"/>
        <v>0.16868659213020121</v>
      </c>
      <c r="Z63">
        <f t="shared" si="13"/>
        <v>2.3373731842604024</v>
      </c>
    </row>
    <row r="64" spans="1:26" x14ac:dyDescent="0.25">
      <c r="A64" s="6">
        <v>44649.333425925928</v>
      </c>
      <c r="B64" s="7">
        <v>463321.59332923591</v>
      </c>
      <c r="C64" s="7">
        <v>463433.66948000342</v>
      </c>
      <c r="D64" s="7">
        <v>136.80463310805862</v>
      </c>
      <c r="E64" s="8">
        <v>1389.9647799876984</v>
      </c>
      <c r="F64">
        <v>1.646879957347985E+17</v>
      </c>
      <c r="G64">
        <v>2</v>
      </c>
      <c r="H64">
        <v>2.8937264800878149E-4</v>
      </c>
      <c r="I64">
        <v>3455.7516298833239</v>
      </c>
      <c r="J64">
        <v>229</v>
      </c>
      <c r="K64">
        <f t="shared" si="0"/>
        <v>2.8937264800878119E+22</v>
      </c>
      <c r="L64">
        <f t="shared" si="1"/>
        <v>2.8937264800878177E-30</v>
      </c>
      <c r="M64">
        <f t="shared" si="16"/>
        <v>58.785641358107291</v>
      </c>
      <c r="N64">
        <f t="shared" si="2"/>
        <v>0.41041389932417588</v>
      </c>
      <c r="O64" s="2">
        <f t="shared" si="3"/>
        <v>3.569515865186154E-4</v>
      </c>
      <c r="P64" s="2">
        <f t="shared" si="17"/>
        <v>5.3471730759965398E-2</v>
      </c>
      <c r="Q64">
        <f t="shared" si="5"/>
        <v>1.46487162724652E-4</v>
      </c>
      <c r="R64">
        <f t="shared" si="15"/>
        <v>1.3134179112647552E-2</v>
      </c>
      <c r="S64">
        <f t="shared" si="6"/>
        <v>0.72797823656673832</v>
      </c>
      <c r="T64">
        <f t="shared" si="7"/>
        <v>5.8739336832358546E-4</v>
      </c>
      <c r="U64">
        <f t="shared" si="8"/>
        <v>-0.13550338023824737</v>
      </c>
      <c r="V64">
        <f t="shared" si="9"/>
        <v>1.7289932395235053</v>
      </c>
      <c r="W64">
        <f t="shared" si="10"/>
        <v>1.3736674391753245</v>
      </c>
      <c r="X64">
        <f t="shared" si="11"/>
        <v>5.8739336832358546E-4</v>
      </c>
      <c r="Y64">
        <f t="shared" si="12"/>
        <v>0.18753085784385104</v>
      </c>
      <c r="Z64">
        <f t="shared" si="13"/>
        <v>2.3750617156877021</v>
      </c>
    </row>
    <row r="65" spans="1:26" x14ac:dyDescent="0.25">
      <c r="A65" s="6">
        <v>44650.333506944444</v>
      </c>
      <c r="B65" s="7">
        <v>297824.61231569201</v>
      </c>
      <c r="C65" s="7">
        <v>298100.08361800015</v>
      </c>
      <c r="D65" s="7">
        <v>87.6059828088637</v>
      </c>
      <c r="E65" s="8">
        <v>893.47383694708697</v>
      </c>
      <c r="F65">
        <v>1.646879957347985E+17</v>
      </c>
      <c r="G65">
        <v>2</v>
      </c>
      <c r="H65">
        <v>2.9456933462192956E-4</v>
      </c>
      <c r="I65">
        <v>3394.7864983416162</v>
      </c>
      <c r="J65">
        <v>230</v>
      </c>
      <c r="K65">
        <f t="shared" si="0"/>
        <v>2.9456933462192928E+22</v>
      </c>
      <c r="L65">
        <f t="shared" si="1"/>
        <v>2.9456933462192985E-30</v>
      </c>
      <c r="M65">
        <f t="shared" si="16"/>
        <v>58.26479638977807</v>
      </c>
      <c r="N65">
        <f t="shared" si="2"/>
        <v>0.26281794842659112</v>
      </c>
      <c r="O65" s="2">
        <f t="shared" si="3"/>
        <v>3.5378897004492932E-4</v>
      </c>
      <c r="P65" s="2">
        <f t="shared" si="17"/>
        <v>3.3938463318355233E-2</v>
      </c>
      <c r="Q65">
        <f t="shared" si="5"/>
        <v>9.2977768716462678E-5</v>
      </c>
      <c r="R65">
        <f t="shared" si="15"/>
        <v>1.3227156881364015E-2</v>
      </c>
      <c r="S65">
        <f t="shared" si="6"/>
        <v>0.74105160332293118</v>
      </c>
      <c r="T65">
        <f t="shared" si="7"/>
        <v>2.0446164308278725E-3</v>
      </c>
      <c r="U65">
        <f t="shared" si="8"/>
        <v>-0.12769430698099771</v>
      </c>
      <c r="V65">
        <f t="shared" si="9"/>
        <v>1.7446113860380046</v>
      </c>
      <c r="W65">
        <f t="shared" si="10"/>
        <v>1.3494336906038995</v>
      </c>
      <c r="X65">
        <f t="shared" si="11"/>
        <v>2.0446164308276504E-3</v>
      </c>
      <c r="Y65">
        <f t="shared" si="12"/>
        <v>0.17711869066542429</v>
      </c>
      <c r="Z65">
        <f t="shared" si="13"/>
        <v>2.3542373813308486</v>
      </c>
    </row>
    <row r="66" spans="1:26" x14ac:dyDescent="0.25">
      <c r="A66" s="6">
        <v>44651.333379629628</v>
      </c>
      <c r="B66" s="7">
        <v>212241.99044425786</v>
      </c>
      <c r="C66" s="7">
        <v>212126.28661800176</v>
      </c>
      <c r="D66" s="7">
        <v>62.404503855215808</v>
      </c>
      <c r="E66" s="8">
        <v>636.72597133278032</v>
      </c>
      <c r="F66">
        <v>1.646879957347985E+17</v>
      </c>
      <c r="G66">
        <v>2</v>
      </c>
      <c r="H66">
        <v>2.9321749488853984E-4</v>
      </c>
      <c r="I66">
        <v>3410.4377038625471</v>
      </c>
      <c r="J66">
        <v>231</v>
      </c>
      <c r="K66">
        <f t="shared" ref="K66:K112" si="18">(1+$AC$16)*H66</f>
        <v>2.9321749488853953E+22</v>
      </c>
      <c r="L66">
        <f t="shared" ref="L66:L112" si="19">H66/(1+$AC$16)</f>
        <v>2.9321749488854014E-30</v>
      </c>
      <c r="M66">
        <f t="shared" si="16"/>
        <v>58.39895293464798</v>
      </c>
      <c r="N66">
        <f t="shared" ref="N66:N112" si="20">D66*0.003</f>
        <v>0.18721351156564742</v>
      </c>
      <c r="O66" s="2">
        <f t="shared" si="3"/>
        <v>3.5460358038900047E-4</v>
      </c>
      <c r="P66" s="2">
        <f t="shared" si="17"/>
        <v>2.4231102246907287E-2</v>
      </c>
      <c r="Q66">
        <f t="shared" si="5"/>
        <v>6.6384378006687278E-5</v>
      </c>
      <c r="R66">
        <f t="shared" si="15"/>
        <v>1.3293541259370703E-2</v>
      </c>
      <c r="S66">
        <f t="shared" si="6"/>
        <v>0.7376507639139348</v>
      </c>
      <c r="T66">
        <f t="shared" si="7"/>
        <v>1.7658207503359336E-3</v>
      </c>
      <c r="U66">
        <f t="shared" si="8"/>
        <v>-0.12964042815515442</v>
      </c>
      <c r="V66">
        <f t="shared" si="9"/>
        <v>1.7407191436896912</v>
      </c>
      <c r="W66">
        <f t="shared" si="10"/>
        <v>1.3556550727258172</v>
      </c>
      <c r="X66">
        <f t="shared" si="11"/>
        <v>1.7658207503361556E-3</v>
      </c>
      <c r="Y66">
        <f t="shared" si="12"/>
        <v>0.17990736866693546</v>
      </c>
      <c r="Z66">
        <f t="shared" si="13"/>
        <v>2.3598147373338709</v>
      </c>
    </row>
    <row r="67" spans="1:26" x14ac:dyDescent="0.25">
      <c r="A67" s="6">
        <v>44652.333541666667</v>
      </c>
      <c r="B67" s="7">
        <v>708879.77204572409</v>
      </c>
      <c r="C67" s="7">
        <v>707026.42706099898</v>
      </c>
      <c r="D67" s="7">
        <v>214.91925668875228</v>
      </c>
      <c r="E67" s="8">
        <v>2126.6393161371525</v>
      </c>
      <c r="F67">
        <v>1.646879957347985E+17</v>
      </c>
      <c r="G67">
        <v>2</v>
      </c>
      <c r="H67">
        <v>3.0451268573304614E-4</v>
      </c>
      <c r="I67">
        <v>3283.9354380022751</v>
      </c>
      <c r="J67">
        <v>232</v>
      </c>
      <c r="K67">
        <f t="shared" si="18"/>
        <v>3.0451268573304583E+22</v>
      </c>
      <c r="L67">
        <f t="shared" si="19"/>
        <v>3.0451268573304644E-30</v>
      </c>
      <c r="M67">
        <f t="shared" si="16"/>
        <v>57.305631817500547</v>
      </c>
      <c r="N67">
        <f t="shared" si="20"/>
        <v>0.6447577700662569</v>
      </c>
      <c r="O67" s="2">
        <f t="shared" ref="O67:O112" si="21">M67/(F67/POWER(10,$AC$21))</f>
        <v>3.4796483837098454E-4</v>
      </c>
      <c r="P67" s="2">
        <f t="shared" si="17"/>
        <v>8.1888857136082641E-2</v>
      </c>
      <c r="Q67">
        <f t="shared" ref="Q67:Q112" si="22">LN(1+P67/365)</f>
        <v>2.2432786987134371E-4</v>
      </c>
      <c r="R67">
        <f t="shared" si="15"/>
        <v>1.3517869129242046E-2</v>
      </c>
      <c r="S67">
        <f t="shared" ref="S67:S99" si="23">H67/$H$2</f>
        <v>0.76606621081000403</v>
      </c>
      <c r="T67">
        <f t="shared" ref="T67:T110" si="24">2*SQRT(S67)*EXP(R67)/(1+S67)-1</f>
        <v>4.6780262608079326E-3</v>
      </c>
      <c r="U67">
        <f t="shared" ref="U67:U112" si="25">SQRT(S67)*EXP(R67)-1</f>
        <v>-0.11283604253875068</v>
      </c>
      <c r="V67">
        <f t="shared" ref="V67:V111" si="26">2*1*SQRT(S67)*EXP(R67)</f>
        <v>1.7743279149224986</v>
      </c>
      <c r="W67">
        <f t="shared" ref="W67:W99" si="27">I67/$I$2</f>
        <v>1.3053701963210789</v>
      </c>
      <c r="X67">
        <f t="shared" ref="X67:X110" si="28">2*SQRT(W67)*EXP(R67)/(1+W67)-1</f>
        <v>4.6780262608077106E-3</v>
      </c>
      <c r="Y67">
        <f t="shared" ref="Y67:Y112" si="29">SQRT(W67)*EXP(R67)-1</f>
        <v>0.15807738932017612</v>
      </c>
      <c r="Z67">
        <f t="shared" ref="Z67:Z110" si="30">2*1*SQRT(W67)*EXP(R67)</f>
        <v>2.3161547786403522</v>
      </c>
    </row>
    <row r="68" spans="1:26" x14ac:dyDescent="0.25">
      <c r="A68" s="6">
        <v>44653.333506944444</v>
      </c>
      <c r="B68" s="7">
        <v>363638.6733546406</v>
      </c>
      <c r="C68" s="7">
        <v>363060.07085900009</v>
      </c>
      <c r="D68" s="7">
        <v>106.40950575686293</v>
      </c>
      <c r="E68" s="8">
        <v>1090.9160200639162</v>
      </c>
      <c r="F68">
        <v>1.646879957347985E+17</v>
      </c>
      <c r="G68">
        <v>2</v>
      </c>
      <c r="H68">
        <v>2.8729675093313402E-4</v>
      </c>
      <c r="I68">
        <v>3480.7215770871767</v>
      </c>
      <c r="J68">
        <v>233</v>
      </c>
      <c r="K68">
        <f t="shared" si="18"/>
        <v>2.8729675093313371E+22</v>
      </c>
      <c r="L68">
        <f t="shared" si="19"/>
        <v>2.872967509331343E-30</v>
      </c>
      <c r="M68">
        <f t="shared" si="16"/>
        <v>58.997640436613004</v>
      </c>
      <c r="N68">
        <f t="shared" si="20"/>
        <v>0.31922851727058876</v>
      </c>
      <c r="O68" s="2">
        <f t="shared" si="21"/>
        <v>3.5823886357581576E-4</v>
      </c>
      <c r="P68" s="2">
        <f t="shared" si="17"/>
        <v>4.1741422355523063E-2</v>
      </c>
      <c r="Q68">
        <f t="shared" si="22"/>
        <v>1.1435352263479278E-4</v>
      </c>
      <c r="R68">
        <f t="shared" ref="R68:R110" si="31">Q68+R67</f>
        <v>1.3632222651876838E-2</v>
      </c>
      <c r="S68">
        <f t="shared" si="23"/>
        <v>0.72275587742940195</v>
      </c>
      <c r="T68">
        <f t="shared" si="24"/>
        <v>5.1238849207724257E-4</v>
      </c>
      <c r="U68">
        <f t="shared" si="25"/>
        <v>-0.13818070114217251</v>
      </c>
      <c r="V68">
        <f t="shared" si="26"/>
        <v>1.723638597715655</v>
      </c>
      <c r="W68">
        <f t="shared" si="27"/>
        <v>1.3835930377441712</v>
      </c>
      <c r="X68">
        <f t="shared" si="28"/>
        <v>5.1238849207702053E-4</v>
      </c>
      <c r="Y68">
        <f t="shared" si="29"/>
        <v>0.1924071816932531</v>
      </c>
      <c r="Z68">
        <f t="shared" si="30"/>
        <v>2.3848143633865062</v>
      </c>
    </row>
    <row r="69" spans="1:26" x14ac:dyDescent="0.25">
      <c r="A69" s="6">
        <v>44654.333356481482</v>
      </c>
      <c r="B69" s="7">
        <v>212601.54777339101</v>
      </c>
      <c r="C69" s="7">
        <v>212581.56528099626</v>
      </c>
      <c r="D69" s="7">
        <v>61.189110440365766</v>
      </c>
      <c r="E69" s="8">
        <v>637.80464332018164</v>
      </c>
      <c r="F69">
        <v>1.646879957347985E+17</v>
      </c>
      <c r="G69">
        <v>2</v>
      </c>
      <c r="H69">
        <v>2.8718186095669099E-4</v>
      </c>
      <c r="I69">
        <v>3482.1140745752286</v>
      </c>
      <c r="J69">
        <v>234</v>
      </c>
      <c r="K69">
        <f t="shared" si="18"/>
        <v>2.8718186095669072E+22</v>
      </c>
      <c r="L69">
        <f t="shared" si="19"/>
        <v>2.8718186095669127E-30</v>
      </c>
      <c r="M69">
        <f t="shared" si="16"/>
        <v>59.009440554676708</v>
      </c>
      <c r="N69">
        <f t="shared" si="20"/>
        <v>0.18356733132109732</v>
      </c>
      <c r="O69" s="2">
        <f t="shared" si="21"/>
        <v>3.5831051493091944E-4</v>
      </c>
      <c r="P69" s="2">
        <f t="shared" si="17"/>
        <v>2.4007548328707332E-2</v>
      </c>
      <c r="Q69">
        <f t="shared" si="22"/>
        <v>6.5771941988476389E-5</v>
      </c>
      <c r="R69">
        <f t="shared" si="31"/>
        <v>1.3697994593865314E-2</v>
      </c>
      <c r="S69">
        <f t="shared" si="23"/>
        <v>0.72246684733956545</v>
      </c>
      <c r="T69">
        <f t="shared" si="24"/>
        <v>5.4597420881119518E-4</v>
      </c>
      <c r="U69">
        <f t="shared" si="25"/>
        <v>-0.13829636509312748</v>
      </c>
      <c r="V69">
        <f t="shared" si="26"/>
        <v>1.723407269813745</v>
      </c>
      <c r="W69">
        <f t="shared" si="27"/>
        <v>1.3841465579803853</v>
      </c>
      <c r="X69">
        <f t="shared" si="28"/>
        <v>5.4597420881097314E-4</v>
      </c>
      <c r="Y69">
        <f t="shared" si="29"/>
        <v>0.19272412025553409</v>
      </c>
      <c r="Z69">
        <f t="shared" si="30"/>
        <v>2.3854482405110682</v>
      </c>
    </row>
    <row r="70" spans="1:26" x14ac:dyDescent="0.25">
      <c r="A70" s="6">
        <v>44655.333368055559</v>
      </c>
      <c r="B70" s="7">
        <v>270033.72598218173</v>
      </c>
      <c r="C70" s="7">
        <v>270114.25331300497</v>
      </c>
      <c r="D70" s="7">
        <v>76.804722017204767</v>
      </c>
      <c r="E70" s="8">
        <v>810.10117794654798</v>
      </c>
      <c r="F70">
        <v>1.646879957347985E+17</v>
      </c>
      <c r="G70">
        <v>2</v>
      </c>
      <c r="H70">
        <v>2.8815989209401245E-4</v>
      </c>
      <c r="I70">
        <v>3470.2955804611038</v>
      </c>
      <c r="J70">
        <v>235</v>
      </c>
      <c r="K70">
        <f t="shared" si="18"/>
        <v>2.8815989209401215E+22</v>
      </c>
      <c r="L70">
        <f t="shared" si="19"/>
        <v>2.8815989209401274E-30</v>
      </c>
      <c r="M70">
        <f t="shared" si="16"/>
        <v>58.909214733026261</v>
      </c>
      <c r="N70">
        <f t="shared" si="20"/>
        <v>0.2304141660516143</v>
      </c>
      <c r="O70" s="2">
        <f t="shared" si="21"/>
        <v>3.577019349235955E-4</v>
      </c>
      <c r="P70" s="2">
        <f t="shared" si="17"/>
        <v>3.0083151456121209E-2</v>
      </c>
      <c r="Q70">
        <f t="shared" si="22"/>
        <v>8.241619672241427E-5</v>
      </c>
      <c r="R70">
        <f t="shared" si="31"/>
        <v>1.3780410790587729E-2</v>
      </c>
      <c r="S70">
        <f t="shared" si="23"/>
        <v>0.72492729198612738</v>
      </c>
      <c r="T70">
        <f t="shared" si="24"/>
        <v>9.0113907473576838E-4</v>
      </c>
      <c r="U70">
        <f t="shared" si="25"/>
        <v>-0.13675915431499286</v>
      </c>
      <c r="V70">
        <f t="shared" si="26"/>
        <v>1.7264816913700143</v>
      </c>
      <c r="W70">
        <f t="shared" si="27"/>
        <v>1.3794486854816008</v>
      </c>
      <c r="X70">
        <f t="shared" si="28"/>
        <v>9.0113907473576838E-4</v>
      </c>
      <c r="Y70">
        <f t="shared" si="29"/>
        <v>0.19079644983420851</v>
      </c>
      <c r="Z70">
        <f t="shared" si="30"/>
        <v>2.381592899668417</v>
      </c>
    </row>
    <row r="71" spans="1:26" x14ac:dyDescent="0.25">
      <c r="A71" s="6">
        <v>44656.333368055559</v>
      </c>
      <c r="B71" s="7">
        <v>265045.87661731988</v>
      </c>
      <c r="C71" s="7">
        <v>265222.91459299624</v>
      </c>
      <c r="D71" s="7">
        <v>76.173677743518056</v>
      </c>
      <c r="E71" s="8">
        <v>795.13762985196081</v>
      </c>
      <c r="F71">
        <v>1.646879957347985E+17</v>
      </c>
      <c r="G71">
        <v>2</v>
      </c>
      <c r="H71">
        <v>2.83302818868547E-4</v>
      </c>
      <c r="I71">
        <v>3529.7919166275638</v>
      </c>
      <c r="J71">
        <v>236</v>
      </c>
      <c r="K71">
        <f t="shared" si="18"/>
        <v>2.8330281886854672E+22</v>
      </c>
      <c r="L71">
        <f t="shared" si="19"/>
        <v>2.8330281886854729E-30</v>
      </c>
      <c r="M71">
        <f t="shared" si="16"/>
        <v>59.41205194763323</v>
      </c>
      <c r="N71">
        <f t="shared" si="20"/>
        <v>0.22852103323055417</v>
      </c>
      <c r="O71" s="2">
        <f t="shared" si="21"/>
        <v>3.6075520673228703E-4</v>
      </c>
      <c r="P71" s="2">
        <f t="shared" si="17"/>
        <v>3.0090655693804008E-2</v>
      </c>
      <c r="Q71">
        <f t="shared" si="22"/>
        <v>8.2436754583223903E-5</v>
      </c>
      <c r="R71">
        <f t="shared" si="31"/>
        <v>1.3862847545170953E-2</v>
      </c>
      <c r="S71">
        <f t="shared" si="23"/>
        <v>0.71270829469705888</v>
      </c>
      <c r="T71">
        <f t="shared" si="24"/>
        <v>-4.0733767236433849E-4</v>
      </c>
      <c r="U71">
        <f t="shared" si="25"/>
        <v>-0.14399467795657106</v>
      </c>
      <c r="V71">
        <f t="shared" si="26"/>
        <v>1.7120106440868579</v>
      </c>
      <c r="W71">
        <f t="shared" si="27"/>
        <v>1.4030985852705087</v>
      </c>
      <c r="X71">
        <f t="shared" si="28"/>
        <v>-4.0733767236433849E-4</v>
      </c>
      <c r="Y71">
        <f t="shared" si="29"/>
        <v>0.20105985634316115</v>
      </c>
      <c r="Z71">
        <f t="shared" si="30"/>
        <v>2.4021197126863223</v>
      </c>
    </row>
    <row r="72" spans="1:26" x14ac:dyDescent="0.25">
      <c r="A72" s="6">
        <v>44657.333333333336</v>
      </c>
      <c r="B72" s="7">
        <v>2510332.793783851</v>
      </c>
      <c r="C72" s="7">
        <v>2755433.1875070035</v>
      </c>
      <c r="D72" s="7">
        <v>718.87241464349427</v>
      </c>
      <c r="E72" s="8">
        <v>7530.9983813515573</v>
      </c>
      <c r="F72">
        <v>1.646879957347985E+17</v>
      </c>
      <c r="G72">
        <v>2</v>
      </c>
      <c r="H72">
        <v>3.018448631224553E-4</v>
      </c>
      <c r="I72">
        <v>3312.9601400382635</v>
      </c>
      <c r="J72">
        <v>237</v>
      </c>
      <c r="K72">
        <f t="shared" si="18"/>
        <v>3.0184486312245499E+22</v>
      </c>
      <c r="L72">
        <f t="shared" si="19"/>
        <v>3.0184486312245558E-30</v>
      </c>
      <c r="M72">
        <f t="shared" si="16"/>
        <v>57.558319468508863</v>
      </c>
      <c r="N72">
        <f t="shared" si="20"/>
        <v>2.1566172439304827</v>
      </c>
      <c r="O72" s="2">
        <f t="shared" si="21"/>
        <v>3.4949918002036149E-4</v>
      </c>
      <c r="P72" s="2">
        <f t="shared" si="17"/>
        <v>0.2751136248055886</v>
      </c>
      <c r="Q72">
        <f t="shared" si="22"/>
        <v>7.5345204208043185E-4</v>
      </c>
      <c r="R72">
        <f t="shared" si="31"/>
        <v>1.4616299587251384E-2</v>
      </c>
      <c r="S72">
        <f t="shared" si="23"/>
        <v>0.7593547375146017</v>
      </c>
      <c r="T72">
        <f t="shared" si="24"/>
        <v>5.186651120193897E-3</v>
      </c>
      <c r="U72">
        <f t="shared" si="25"/>
        <v>-0.11576005163262493</v>
      </c>
      <c r="V72">
        <f t="shared" si="26"/>
        <v>1.7684798967347501</v>
      </c>
      <c r="W72">
        <f t="shared" si="27"/>
        <v>1.3169075671708321</v>
      </c>
      <c r="X72">
        <f t="shared" si="28"/>
        <v>5.186651120193897E-3</v>
      </c>
      <c r="Y72">
        <f t="shared" si="29"/>
        <v>0.1644622791997421</v>
      </c>
      <c r="Z72">
        <f t="shared" si="30"/>
        <v>2.3289245583994842</v>
      </c>
    </row>
    <row r="73" spans="1:26" x14ac:dyDescent="0.25">
      <c r="A73" s="6">
        <v>44658.333506944444</v>
      </c>
      <c r="B73" s="7">
        <v>506892.19307246804</v>
      </c>
      <c r="C73" s="7">
        <v>507262.13930799812</v>
      </c>
      <c r="D73" s="7">
        <v>157.65288199043061</v>
      </c>
      <c r="E73" s="8">
        <v>1520.6765792173974</v>
      </c>
      <c r="F73">
        <v>1.646879957347985E+17</v>
      </c>
      <c r="G73">
        <v>2</v>
      </c>
      <c r="H73">
        <v>3.0967145323875742E-4</v>
      </c>
      <c r="I73">
        <v>3229.2288796442522</v>
      </c>
      <c r="J73">
        <v>238</v>
      </c>
      <c r="K73">
        <f t="shared" si="18"/>
        <v>3.0967145323875713E+22</v>
      </c>
      <c r="L73">
        <f t="shared" si="19"/>
        <v>3.0967145323875772E-30</v>
      </c>
      <c r="M73">
        <f t="shared" si="16"/>
        <v>56.826304469364345</v>
      </c>
      <c r="N73">
        <f t="shared" si="20"/>
        <v>0.47295864597129184</v>
      </c>
      <c r="O73" s="2">
        <f t="shared" si="21"/>
        <v>3.4505432053999414E-4</v>
      </c>
      <c r="P73" s="2">
        <f t="shared" si="17"/>
        <v>5.9566694843636005E-2</v>
      </c>
      <c r="Q73">
        <f t="shared" si="22"/>
        <v>1.6318310914142893E-4</v>
      </c>
      <c r="R73">
        <f t="shared" si="31"/>
        <v>1.4779482696392813E-2</v>
      </c>
      <c r="S73">
        <f t="shared" si="23"/>
        <v>0.77904418401344078</v>
      </c>
      <c r="T73">
        <f t="shared" si="24"/>
        <v>7.0312646089014663E-3</v>
      </c>
      <c r="U73">
        <f t="shared" si="25"/>
        <v>-0.10422344278891682</v>
      </c>
      <c r="V73">
        <f t="shared" si="26"/>
        <v>1.7915531144221664</v>
      </c>
      <c r="W73">
        <f t="shared" si="27"/>
        <v>1.2836242417577013</v>
      </c>
      <c r="X73">
        <f t="shared" si="28"/>
        <v>7.0312646089014663E-3</v>
      </c>
      <c r="Y73">
        <f t="shared" si="29"/>
        <v>0.14984050403440086</v>
      </c>
      <c r="Z73">
        <f t="shared" si="30"/>
        <v>2.2996810080688017</v>
      </c>
    </row>
    <row r="74" spans="1:26" x14ac:dyDescent="0.25">
      <c r="A74" s="6">
        <v>44659.333437499998</v>
      </c>
      <c r="B74" s="7">
        <v>334872.94848563522</v>
      </c>
      <c r="C74" s="7">
        <v>334145.21311700344</v>
      </c>
      <c r="D74" s="7">
        <v>103.25025370422009</v>
      </c>
      <c r="E74" s="8">
        <v>1004.618845456891</v>
      </c>
      <c r="F74">
        <v>1.646879957347985E+17</v>
      </c>
      <c r="G74">
        <v>2</v>
      </c>
      <c r="H74">
        <v>3.052138358668887E-4</v>
      </c>
      <c r="I74">
        <v>3276.3914426085348</v>
      </c>
      <c r="J74">
        <v>239</v>
      </c>
      <c r="K74">
        <f t="shared" si="18"/>
        <v>3.0521383586688842E+22</v>
      </c>
      <c r="L74">
        <f t="shared" si="19"/>
        <v>3.0521383586688899E-30</v>
      </c>
      <c r="M74">
        <f t="shared" si="16"/>
        <v>57.239771510805227</v>
      </c>
      <c r="N74">
        <f t="shared" si="20"/>
        <v>0.30975076111266026</v>
      </c>
      <c r="O74" s="2">
        <f t="shared" si="21"/>
        <v>3.4756492879408143E-4</v>
      </c>
      <c r="P74" s="2">
        <f t="shared" si="17"/>
        <v>3.9295352948962518E-2</v>
      </c>
      <c r="Q74">
        <f t="shared" si="22"/>
        <v>1.0765270646952414E-4</v>
      </c>
      <c r="R74">
        <f t="shared" si="31"/>
        <v>1.4887135402862338E-2</v>
      </c>
      <c r="S74">
        <f t="shared" si="23"/>
        <v>0.76783010259976214</v>
      </c>
      <c r="T74">
        <f t="shared" si="24"/>
        <v>6.2072423156829259E-3</v>
      </c>
      <c r="U74">
        <f t="shared" si="25"/>
        <v>-0.11059827379022125</v>
      </c>
      <c r="V74">
        <f t="shared" si="26"/>
        <v>1.7788034524195575</v>
      </c>
      <c r="W74">
        <f t="shared" si="27"/>
        <v>1.3023714446908816</v>
      </c>
      <c r="X74">
        <f t="shared" si="28"/>
        <v>6.2072423156829259E-3</v>
      </c>
      <c r="Y74">
        <f t="shared" si="29"/>
        <v>0.15833141107439341</v>
      </c>
      <c r="Z74">
        <f t="shared" si="30"/>
        <v>2.3166628221487868</v>
      </c>
    </row>
    <row r="75" spans="1:26" x14ac:dyDescent="0.25">
      <c r="A75" s="6">
        <v>44660.333414351851</v>
      </c>
      <c r="B75" s="7">
        <v>351191.12164124846</v>
      </c>
      <c r="C75" s="7">
        <v>351231.97429199517</v>
      </c>
      <c r="D75" s="7">
        <v>108.11173651706486</v>
      </c>
      <c r="E75" s="8">
        <v>1053.5733649237663</v>
      </c>
      <c r="F75">
        <v>1.646879957347985E+17</v>
      </c>
      <c r="G75">
        <v>2</v>
      </c>
      <c r="H75">
        <v>3.1091255755143367E-4</v>
      </c>
      <c r="I75">
        <v>3216.3384067707589</v>
      </c>
      <c r="J75">
        <v>240</v>
      </c>
      <c r="K75">
        <f t="shared" si="18"/>
        <v>3.1091255755143337E+22</v>
      </c>
      <c r="L75">
        <f t="shared" si="19"/>
        <v>3.1091255755143397E-30</v>
      </c>
      <c r="M75">
        <f t="shared" si="16"/>
        <v>56.712771108202794</v>
      </c>
      <c r="N75">
        <f t="shared" si="20"/>
        <v>0.32433520955119455</v>
      </c>
      <c r="O75" s="2">
        <f t="shared" si="21"/>
        <v>3.4436493598190906E-4</v>
      </c>
      <c r="P75" s="2">
        <f t="shared" si="17"/>
        <v>4.0766730890928304E-2</v>
      </c>
      <c r="Q75">
        <f t="shared" si="22"/>
        <v>1.1168343684648411E-4</v>
      </c>
      <c r="R75">
        <f t="shared" si="31"/>
        <v>1.4998818839708822E-2</v>
      </c>
      <c r="S75">
        <f t="shared" si="23"/>
        <v>0.78216644499821086</v>
      </c>
      <c r="T75">
        <f t="shared" si="24"/>
        <v>7.5004014752086956E-3</v>
      </c>
      <c r="U75">
        <f t="shared" si="25"/>
        <v>-0.10223329558432848</v>
      </c>
      <c r="V75">
        <f t="shared" si="26"/>
        <v>1.795533408831343</v>
      </c>
      <c r="W75">
        <f t="shared" si="27"/>
        <v>1.2785002557892744</v>
      </c>
      <c r="X75">
        <f t="shared" si="28"/>
        <v>7.5004014752086956E-3</v>
      </c>
      <c r="Y75">
        <f t="shared" si="29"/>
        <v>0.14779496123452973</v>
      </c>
      <c r="Z75">
        <f t="shared" si="30"/>
        <v>2.2955899224690595</v>
      </c>
    </row>
    <row r="76" spans="1:26" x14ac:dyDescent="0.25">
      <c r="A76" s="6">
        <v>44661.333344907405</v>
      </c>
      <c r="B76" s="7">
        <v>67947.717726528645</v>
      </c>
      <c r="C76" s="7">
        <v>68011.481633998454</v>
      </c>
      <c r="D76" s="7">
        <v>20.960679506541055</v>
      </c>
      <c r="E76" s="8">
        <v>203.84315317956498</v>
      </c>
      <c r="F76">
        <v>1.646879957347985E+17</v>
      </c>
      <c r="G76">
        <v>2</v>
      </c>
      <c r="H76">
        <v>3.0705053162630213E-4</v>
      </c>
      <c r="I76">
        <v>3256.7929281980746</v>
      </c>
      <c r="J76">
        <v>241</v>
      </c>
      <c r="K76">
        <f t="shared" si="18"/>
        <v>3.0705053162630183E+22</v>
      </c>
      <c r="L76">
        <f t="shared" si="19"/>
        <v>3.0705053162630243E-30</v>
      </c>
      <c r="M76">
        <f t="shared" si="16"/>
        <v>57.068318077535153</v>
      </c>
      <c r="N76">
        <f t="shared" si="20"/>
        <v>6.2882038519623165E-2</v>
      </c>
      <c r="O76" s="2">
        <f t="shared" si="21"/>
        <v>3.4652384846211741E-4</v>
      </c>
      <c r="P76" s="2">
        <f t="shared" si="17"/>
        <v>7.9533959852414685E-3</v>
      </c>
      <c r="Q76">
        <f t="shared" si="22"/>
        <v>2.1789888585562506E-5</v>
      </c>
      <c r="R76">
        <f t="shared" si="31"/>
        <v>1.5020608728294384E-2</v>
      </c>
      <c r="S76">
        <f t="shared" si="23"/>
        <v>0.77245070012080641</v>
      </c>
      <c r="T76">
        <f t="shared" si="24"/>
        <v>6.7336483234341493E-3</v>
      </c>
      <c r="U76">
        <f t="shared" si="25"/>
        <v>-0.10780712009697768</v>
      </c>
      <c r="V76">
        <f t="shared" si="26"/>
        <v>1.7843857598060446</v>
      </c>
      <c r="W76">
        <f t="shared" si="27"/>
        <v>1.2945810002419653</v>
      </c>
      <c r="X76">
        <f t="shared" si="28"/>
        <v>6.7336483234339273E-3</v>
      </c>
      <c r="Y76">
        <f t="shared" si="29"/>
        <v>0.15501595087361419</v>
      </c>
      <c r="Z76">
        <f t="shared" si="30"/>
        <v>2.3100319017472284</v>
      </c>
    </row>
    <row r="77" spans="1:26" x14ac:dyDescent="0.25">
      <c r="A77" s="6">
        <v>44662.333391203705</v>
      </c>
      <c r="B77" s="7">
        <v>402353.86777571589</v>
      </c>
      <c r="C77" s="7">
        <v>402936.49946400523</v>
      </c>
      <c r="D77" s="7">
        <v>126.97870994073674</v>
      </c>
      <c r="E77" s="8">
        <v>1207.0616033271654</v>
      </c>
      <c r="F77">
        <v>1.646879957347985E+17</v>
      </c>
      <c r="G77">
        <v>2</v>
      </c>
      <c r="H77">
        <v>3.2734319037242053E-4</v>
      </c>
      <c r="I77">
        <v>3054.8978240918755</v>
      </c>
      <c r="J77">
        <v>242</v>
      </c>
      <c r="K77">
        <f t="shared" si="18"/>
        <v>3.2734319037242021E+22</v>
      </c>
      <c r="L77">
        <f t="shared" si="19"/>
        <v>3.2734319037242082E-30</v>
      </c>
      <c r="M77">
        <f t="shared" si="16"/>
        <v>55.271130114124553</v>
      </c>
      <c r="N77">
        <f t="shared" si="20"/>
        <v>0.3809361298222102</v>
      </c>
      <c r="O77" s="2">
        <f t="shared" si="21"/>
        <v>3.3561116502461505E-4</v>
      </c>
      <c r="P77" s="2">
        <f t="shared" si="17"/>
        <v>4.6663942690303988E-2</v>
      </c>
      <c r="Q77">
        <f t="shared" si="22"/>
        <v>1.2783824667276649E-4</v>
      </c>
      <c r="R77">
        <f t="shared" si="31"/>
        <v>1.5148446974967152E-2</v>
      </c>
      <c r="S77">
        <f t="shared" si="23"/>
        <v>0.82350118478444878</v>
      </c>
      <c r="T77">
        <f t="shared" si="24"/>
        <v>1.0496810212606178E-2</v>
      </c>
      <c r="U77">
        <f t="shared" si="25"/>
        <v>-7.8678934678203194E-2</v>
      </c>
      <c r="V77">
        <f t="shared" si="26"/>
        <v>1.8426421306435936</v>
      </c>
      <c r="W77">
        <f t="shared" si="27"/>
        <v>1.2143273361066866</v>
      </c>
      <c r="X77">
        <f t="shared" si="28"/>
        <v>1.0496810212605956E-2</v>
      </c>
      <c r="Y77">
        <f t="shared" si="29"/>
        <v>0.11878535495119191</v>
      </c>
      <c r="Z77">
        <f t="shared" si="30"/>
        <v>2.2375707099023838</v>
      </c>
    </row>
    <row r="78" spans="1:26" x14ac:dyDescent="0.25">
      <c r="A78" s="6">
        <v>44663.333634259259</v>
      </c>
      <c r="B78" s="7">
        <v>397033.11695405096</v>
      </c>
      <c r="C78" s="7">
        <v>398125.3541200012</v>
      </c>
      <c r="D78" s="7">
        <v>132.41918125650773</v>
      </c>
      <c r="E78" s="8">
        <v>1191.0993508621468</v>
      </c>
      <c r="F78">
        <v>1.646879957347985E+17</v>
      </c>
      <c r="G78">
        <v>2</v>
      </c>
      <c r="H78">
        <v>3.2993931295528708E-4</v>
      </c>
      <c r="I78">
        <v>3030.8604059423456</v>
      </c>
      <c r="J78">
        <v>243</v>
      </c>
      <c r="K78">
        <f t="shared" si="18"/>
        <v>3.2993931295528675E+22</v>
      </c>
      <c r="L78">
        <f t="shared" si="19"/>
        <v>3.2993931295528743E-30</v>
      </c>
      <c r="M78">
        <f t="shared" si="16"/>
        <v>55.053250639203426</v>
      </c>
      <c r="N78">
        <f t="shared" si="20"/>
        <v>0.39725754376952321</v>
      </c>
      <c r="O78" s="2">
        <f t="shared" si="21"/>
        <v>3.3428818168299988E-4</v>
      </c>
      <c r="P78" s="2">
        <f t="shared" si="17"/>
        <v>4.8471453217797555E-2</v>
      </c>
      <c r="Q78">
        <f t="shared" si="22"/>
        <v>1.3278968502608235E-4</v>
      </c>
      <c r="R78">
        <f t="shared" si="31"/>
        <v>1.5281236659993234E-2</v>
      </c>
      <c r="S78">
        <f t="shared" si="23"/>
        <v>0.83003228146131547</v>
      </c>
      <c r="T78">
        <f t="shared" si="24"/>
        <v>1.1009632379320955E-2</v>
      </c>
      <c r="U78">
        <f t="shared" si="25"/>
        <v>-7.490986793875265E-2</v>
      </c>
      <c r="V78">
        <f t="shared" si="26"/>
        <v>1.8501802641224947</v>
      </c>
      <c r="W78">
        <f t="shared" si="27"/>
        <v>1.2047724195008986</v>
      </c>
      <c r="X78">
        <f t="shared" si="28"/>
        <v>1.1009632379320955E-2</v>
      </c>
      <c r="Y78">
        <f t="shared" si="29"/>
        <v>0.11452307665983485</v>
      </c>
      <c r="Z78">
        <f t="shared" si="30"/>
        <v>2.2290461533196697</v>
      </c>
    </row>
    <row r="79" spans="1:26" x14ac:dyDescent="0.25">
      <c r="A79" s="6">
        <v>44664.333333333336</v>
      </c>
      <c r="B79" s="7">
        <v>311948.06751593202</v>
      </c>
      <c r="C79" s="7">
        <v>311810.01403799653</v>
      </c>
      <c r="D79" s="7">
        <v>102.93805522159528</v>
      </c>
      <c r="E79" s="8">
        <v>935.8442025477998</v>
      </c>
      <c r="F79">
        <v>1.646879957347985E+17</v>
      </c>
      <c r="G79">
        <v>2</v>
      </c>
      <c r="H79">
        <v>3.3007130847814779E-4</v>
      </c>
      <c r="I79">
        <v>3029.6483648054023</v>
      </c>
      <c r="J79">
        <v>244</v>
      </c>
      <c r="K79">
        <f t="shared" si="18"/>
        <v>3.3007130847814747E+22</v>
      </c>
      <c r="L79">
        <f t="shared" si="19"/>
        <v>3.3007130847814809E-30</v>
      </c>
      <c r="M79">
        <f t="shared" si="16"/>
        <v>55.042241640452922</v>
      </c>
      <c r="N79">
        <f t="shared" si="20"/>
        <v>0.30881416566478581</v>
      </c>
      <c r="O79" s="2">
        <f t="shared" si="21"/>
        <v>3.3422133407397177E-4</v>
      </c>
      <c r="P79" s="2">
        <f t="shared" si="17"/>
        <v>3.7672483086740212E-2</v>
      </c>
      <c r="Q79">
        <f t="shared" si="22"/>
        <v>1.0320695640822543E-4</v>
      </c>
      <c r="R79">
        <f t="shared" si="31"/>
        <v>1.5384443616401459E-2</v>
      </c>
      <c r="S79">
        <f t="shared" si="23"/>
        <v>0.83036434417915717</v>
      </c>
      <c r="T79">
        <f t="shared" si="24"/>
        <v>1.1132742005660168E-2</v>
      </c>
      <c r="U79">
        <f t="shared" si="25"/>
        <v>-7.4629340900368435E-2</v>
      </c>
      <c r="V79">
        <f t="shared" si="26"/>
        <v>1.8507413181992631</v>
      </c>
      <c r="W79">
        <f t="shared" si="27"/>
        <v>1.2042906309862489</v>
      </c>
      <c r="X79">
        <f t="shared" si="28"/>
        <v>1.1132742005660168E-2</v>
      </c>
      <c r="Y79">
        <f t="shared" si="29"/>
        <v>0.11441521494325624</v>
      </c>
      <c r="Z79">
        <f t="shared" si="30"/>
        <v>2.2288304298865125</v>
      </c>
    </row>
    <row r="80" spans="1:26" x14ac:dyDescent="0.25">
      <c r="A80" s="6">
        <v>44665.333680555559</v>
      </c>
      <c r="B80" s="7">
        <v>335266.96854382753</v>
      </c>
      <c r="C80" s="7">
        <v>334949.21746499836</v>
      </c>
      <c r="D80" s="7">
        <v>108.619953991285</v>
      </c>
      <c r="E80" s="8">
        <v>1005.8009056314768</v>
      </c>
      <c r="F80">
        <v>1.646879957347985E+17</v>
      </c>
      <c r="G80">
        <v>2</v>
      </c>
      <c r="H80">
        <v>3.2441046535035311E-4</v>
      </c>
      <c r="I80">
        <v>3082.5146128378792</v>
      </c>
      <c r="J80">
        <v>245</v>
      </c>
      <c r="K80">
        <f t="shared" si="18"/>
        <v>3.244104653503528E+22</v>
      </c>
      <c r="L80">
        <f t="shared" si="19"/>
        <v>3.2441046535035345E-30</v>
      </c>
      <c r="M80">
        <f t="shared" si="16"/>
        <v>55.520398168947743</v>
      </c>
      <c r="N80">
        <f t="shared" si="20"/>
        <v>0.32585986197385503</v>
      </c>
      <c r="O80" s="2">
        <f t="shared" si="21"/>
        <v>3.3712474258508636E-4</v>
      </c>
      <c r="P80" s="2">
        <f t="shared" si="17"/>
        <v>4.0097229061662888E-2</v>
      </c>
      <c r="Q80">
        <f t="shared" si="22"/>
        <v>1.0984938842185972E-4</v>
      </c>
      <c r="R80">
        <f t="shared" si="31"/>
        <v>1.5494293004823318E-2</v>
      </c>
      <c r="S80">
        <f t="shared" si="23"/>
        <v>0.81612329331961686</v>
      </c>
      <c r="T80">
        <f t="shared" si="24"/>
        <v>1.0396049849283884E-2</v>
      </c>
      <c r="U80">
        <f t="shared" si="25"/>
        <v>-8.2498099195293495E-2</v>
      </c>
      <c r="V80">
        <f t="shared" si="26"/>
        <v>1.835003801609413</v>
      </c>
      <c r="W80">
        <f t="shared" si="27"/>
        <v>1.2253050589114503</v>
      </c>
      <c r="X80">
        <f t="shared" si="28"/>
        <v>1.0396049849283662E-2</v>
      </c>
      <c r="Y80">
        <f t="shared" si="29"/>
        <v>0.12421972061687847</v>
      </c>
      <c r="Z80">
        <f t="shared" si="30"/>
        <v>2.2484394412337569</v>
      </c>
    </row>
    <row r="81" spans="1:26" x14ac:dyDescent="0.25">
      <c r="A81" s="6">
        <v>44666.333391203705</v>
      </c>
      <c r="B81" s="7">
        <v>239563.66413355619</v>
      </c>
      <c r="C81" s="7">
        <v>239438.4241290018</v>
      </c>
      <c r="D81" s="7">
        <v>78.97745821287026</v>
      </c>
      <c r="E81" s="8">
        <v>718.69099240069045</v>
      </c>
      <c r="F81">
        <v>1.646879957347985E+17</v>
      </c>
      <c r="G81">
        <v>2</v>
      </c>
      <c r="H81">
        <v>3.3050065872921393E-4</v>
      </c>
      <c r="I81">
        <v>3025.7125775332293</v>
      </c>
      <c r="J81">
        <v>246</v>
      </c>
      <c r="K81">
        <f t="shared" si="18"/>
        <v>3.3050065872921362E+22</v>
      </c>
      <c r="L81">
        <f t="shared" si="19"/>
        <v>3.3050065872921425E-30</v>
      </c>
      <c r="M81">
        <f t="shared" ref="M81:M112" si="32">1/(SQRT(H81)-SQRT(L81))</f>
        <v>55.006477596132576</v>
      </c>
      <c r="N81">
        <f t="shared" si="20"/>
        <v>0.23693237463861078</v>
      </c>
      <c r="O81" s="2">
        <f t="shared" si="21"/>
        <v>3.340041716501972E-4</v>
      </c>
      <c r="P81" s="2">
        <f t="shared" ref="P81:P112" si="33">O81*N81*365</f>
        <v>2.8884786557823436E-2</v>
      </c>
      <c r="Q81">
        <f t="shared" si="22"/>
        <v>7.9133270408400616E-5</v>
      </c>
      <c r="R81">
        <f t="shared" si="31"/>
        <v>1.5573426275231719E-2</v>
      </c>
      <c r="S81">
        <f t="shared" si="23"/>
        <v>0.83144446574832198</v>
      </c>
      <c r="T81">
        <f t="shared" si="24"/>
        <v>1.1384556867750195E-2</v>
      </c>
      <c r="U81">
        <f t="shared" si="25"/>
        <v>-7.3852675290619896E-2</v>
      </c>
      <c r="V81">
        <f t="shared" si="26"/>
        <v>1.8522946494187602</v>
      </c>
      <c r="W81">
        <f t="shared" si="27"/>
        <v>1.2027261485227081</v>
      </c>
      <c r="X81">
        <f t="shared" si="28"/>
        <v>1.1384556867750195E-2</v>
      </c>
      <c r="Y81">
        <f t="shared" si="29"/>
        <v>0.1139016048123227</v>
      </c>
      <c r="Z81">
        <f t="shared" si="30"/>
        <v>2.2278032096246454</v>
      </c>
    </row>
    <row r="82" spans="1:26" x14ac:dyDescent="0.25">
      <c r="A82" s="6">
        <v>44667.33357638889</v>
      </c>
      <c r="B82" s="7">
        <v>515399.99448733777</v>
      </c>
      <c r="C82" s="7">
        <v>517859.63472399861</v>
      </c>
      <c r="D82" s="7">
        <v>170.35460580945073</v>
      </c>
      <c r="E82" s="8">
        <v>1546.1999834619928</v>
      </c>
      <c r="F82">
        <v>1.646879957347985E+17</v>
      </c>
      <c r="G82">
        <v>2</v>
      </c>
      <c r="H82">
        <v>3.3030242772061092E-4</v>
      </c>
      <c r="I82">
        <v>3027.5284589971538</v>
      </c>
      <c r="J82">
        <v>247</v>
      </c>
      <c r="K82">
        <f t="shared" si="18"/>
        <v>3.3030242772061061E+22</v>
      </c>
      <c r="L82">
        <f t="shared" si="19"/>
        <v>3.3030242772061126E-30</v>
      </c>
      <c r="M82">
        <f t="shared" si="32"/>
        <v>55.02298118966074</v>
      </c>
      <c r="N82">
        <f t="shared" si="20"/>
        <v>0.51106381742835216</v>
      </c>
      <c r="O82" s="2">
        <f t="shared" si="21"/>
        <v>3.3410438292215134E-4</v>
      </c>
      <c r="P82" s="2">
        <f t="shared" si="33"/>
        <v>6.2323261394844599E-2</v>
      </c>
      <c r="Q82">
        <f t="shared" si="22"/>
        <v>1.7073408546231032E-4</v>
      </c>
      <c r="R82">
        <f t="shared" si="31"/>
        <v>1.574416036069403E-2</v>
      </c>
      <c r="S82">
        <f t="shared" si="23"/>
        <v>0.83094577362566047</v>
      </c>
      <c r="T82">
        <f t="shared" si="24"/>
        <v>1.1529276720948722E-2</v>
      </c>
      <c r="U82">
        <f t="shared" si="25"/>
        <v>-7.3972372944578924E-2</v>
      </c>
      <c r="V82">
        <f t="shared" si="26"/>
        <v>1.8520552541108422</v>
      </c>
      <c r="W82">
        <f t="shared" si="27"/>
        <v>1.2034479646448002</v>
      </c>
      <c r="X82">
        <f t="shared" si="28"/>
        <v>1.15292767209485E-2</v>
      </c>
      <c r="Y82">
        <f t="shared" si="29"/>
        <v>0.11442606298470048</v>
      </c>
      <c r="Z82">
        <f t="shared" si="30"/>
        <v>2.228852125969401</v>
      </c>
    </row>
    <row r="83" spans="1:26" x14ac:dyDescent="0.25">
      <c r="A83" s="6">
        <v>44668.333449074074</v>
      </c>
      <c r="B83" s="7">
        <v>193976.71069933474</v>
      </c>
      <c r="C83" s="7">
        <v>193741.06852199882</v>
      </c>
      <c r="D83" s="7">
        <v>63.582193366059073</v>
      </c>
      <c r="E83" s="8">
        <v>581.9301320980303</v>
      </c>
      <c r="F83">
        <v>1.646879957347985E+17</v>
      </c>
      <c r="G83">
        <v>2</v>
      </c>
      <c r="H83">
        <v>3.2928012669411927E-4</v>
      </c>
      <c r="I83">
        <v>3036.9278888456506</v>
      </c>
      <c r="J83">
        <v>248</v>
      </c>
      <c r="K83">
        <f t="shared" si="18"/>
        <v>3.2928012669411895E+22</v>
      </c>
      <c r="L83">
        <f t="shared" si="19"/>
        <v>3.2928012669411957E-30</v>
      </c>
      <c r="M83">
        <f t="shared" si="32"/>
        <v>55.108328670412952</v>
      </c>
      <c r="N83">
        <f t="shared" si="20"/>
        <v>0.19074658009817722</v>
      </c>
      <c r="O83" s="2">
        <f t="shared" si="21"/>
        <v>3.3462262033448617E-4</v>
      </c>
      <c r="P83" s="2">
        <f t="shared" si="33"/>
        <v>2.3297263965087314E-2</v>
      </c>
      <c r="Q83">
        <f t="shared" si="22"/>
        <v>6.3826083524553114E-5</v>
      </c>
      <c r="R83">
        <f t="shared" si="31"/>
        <v>1.5807986444218585E-2</v>
      </c>
      <c r="S83">
        <f t="shared" si="23"/>
        <v>0.82837395868866903</v>
      </c>
      <c r="T83">
        <f t="shared" si="24"/>
        <v>1.1447880637363017E-2</v>
      </c>
      <c r="U83">
        <f t="shared" si="25"/>
        <v>-7.5347517235900052E-2</v>
      </c>
      <c r="V83">
        <f t="shared" si="26"/>
        <v>1.8493049655281999</v>
      </c>
      <c r="W83">
        <f t="shared" si="27"/>
        <v>1.2071842547815217</v>
      </c>
      <c r="X83">
        <f t="shared" si="28"/>
        <v>1.1447880637363017E-2</v>
      </c>
      <c r="Y83">
        <f t="shared" si="29"/>
        <v>0.11622591833746387</v>
      </c>
      <c r="Z83">
        <f t="shared" si="30"/>
        <v>2.2324518366749277</v>
      </c>
    </row>
    <row r="84" spans="1:26" x14ac:dyDescent="0.25">
      <c r="A84" s="6">
        <v>44669.333819444444</v>
      </c>
      <c r="B84" s="7">
        <v>408837.14998426288</v>
      </c>
      <c r="C84" s="7">
        <v>408617.11285699904</v>
      </c>
      <c r="D84" s="7">
        <v>136.53613315043185</v>
      </c>
      <c r="E84" s="8">
        <v>1226.5114499527554</v>
      </c>
      <c r="F84">
        <v>1.646879957347985E+17</v>
      </c>
      <c r="G84">
        <v>2</v>
      </c>
      <c r="H84">
        <v>3.4426324525503848E-4</v>
      </c>
      <c r="I84">
        <v>2904.7538875640821</v>
      </c>
      <c r="J84">
        <v>249</v>
      </c>
      <c r="K84">
        <f t="shared" si="18"/>
        <v>3.4426324525503813E+22</v>
      </c>
      <c r="L84">
        <f t="shared" si="19"/>
        <v>3.4426324525503879E-30</v>
      </c>
      <c r="M84">
        <f t="shared" si="32"/>
        <v>53.895768735260312</v>
      </c>
      <c r="N84">
        <f t="shared" si="20"/>
        <v>0.40960839945129557</v>
      </c>
      <c r="O84" s="2">
        <f t="shared" si="21"/>
        <v>3.2725984972244192E-4</v>
      </c>
      <c r="P84" s="2">
        <f t="shared" si="33"/>
        <v>4.892765988606055E-2</v>
      </c>
      <c r="Q84">
        <f t="shared" si="22"/>
        <v>1.3403939956778256E-4</v>
      </c>
      <c r="R84">
        <f t="shared" si="31"/>
        <v>1.5942025843786369E-2</v>
      </c>
      <c r="S84">
        <f t="shared" si="23"/>
        <v>0.86606716951320184</v>
      </c>
      <c r="T84">
        <f t="shared" si="24"/>
        <v>1.3449342434605827E-2</v>
      </c>
      <c r="U84">
        <f t="shared" si="25"/>
        <v>-5.4417727059019705E-2</v>
      </c>
      <c r="V84">
        <f t="shared" si="26"/>
        <v>1.8911645458819606</v>
      </c>
      <c r="W84">
        <f t="shared" si="27"/>
        <v>1.1546448534264138</v>
      </c>
      <c r="X84">
        <f t="shared" si="28"/>
        <v>1.3449342434606049E-2</v>
      </c>
      <c r="Y84">
        <f t="shared" si="29"/>
        <v>9.1811704942553529E-2</v>
      </c>
      <c r="Z84">
        <f t="shared" si="30"/>
        <v>2.1836234098851071</v>
      </c>
    </row>
    <row r="85" spans="1:26" x14ac:dyDescent="0.25">
      <c r="A85" s="6">
        <v>44670.333379629628</v>
      </c>
      <c r="B85" s="7">
        <v>357233.06179778278</v>
      </c>
      <c r="C85" s="7">
        <v>356055.11832900345</v>
      </c>
      <c r="D85" s="7">
        <v>119.55149546556277</v>
      </c>
      <c r="E85" s="8">
        <v>1071.6991853933432</v>
      </c>
      <c r="F85">
        <v>1.646879957347985E+17</v>
      </c>
      <c r="G85">
        <v>2</v>
      </c>
      <c r="H85">
        <v>3.2829381583474325E-4</v>
      </c>
      <c r="I85">
        <v>3046.0518954867571</v>
      </c>
      <c r="J85">
        <v>250</v>
      </c>
      <c r="K85">
        <f t="shared" si="18"/>
        <v>3.2829381583474293E+22</v>
      </c>
      <c r="L85">
        <f t="shared" si="19"/>
        <v>3.2829381583474359E-30</v>
      </c>
      <c r="M85">
        <f t="shared" si="32"/>
        <v>55.191049052245475</v>
      </c>
      <c r="N85">
        <f t="shared" si="20"/>
        <v>0.35865448639668829</v>
      </c>
      <c r="O85" s="2">
        <f t="shared" si="21"/>
        <v>3.3512490577103816E-4</v>
      </c>
      <c r="P85" s="2">
        <f t="shared" si="33"/>
        <v>4.3870828599688341E-2</v>
      </c>
      <c r="Q85">
        <f t="shared" si="22"/>
        <v>1.2018682823189282E-4</v>
      </c>
      <c r="R85">
        <f t="shared" si="31"/>
        <v>1.6062212672018263E-2</v>
      </c>
      <c r="S85">
        <f t="shared" si="23"/>
        <v>0.82589268464616383</v>
      </c>
      <c r="T85">
        <f t="shared" si="24"/>
        <v>1.1561489003971692E-2</v>
      </c>
      <c r="U85">
        <f t="shared" si="25"/>
        <v>-7.6498638578933686E-2</v>
      </c>
      <c r="V85">
        <f t="shared" si="26"/>
        <v>1.8470027228421326</v>
      </c>
      <c r="W85">
        <f t="shared" si="27"/>
        <v>1.2108110637018521</v>
      </c>
      <c r="X85">
        <f t="shared" si="28"/>
        <v>1.156148900397147E-2</v>
      </c>
      <c r="Y85">
        <f t="shared" si="29"/>
        <v>0.1181856657523499</v>
      </c>
      <c r="Z85">
        <f t="shared" si="30"/>
        <v>2.2363713315046998</v>
      </c>
    </row>
    <row r="86" spans="1:26" x14ac:dyDescent="0.25">
      <c r="A86" s="6">
        <v>44671.333495370367</v>
      </c>
      <c r="B86" s="7">
        <v>450334.01307240874</v>
      </c>
      <c r="C86" s="7">
        <v>449044.15275599808</v>
      </c>
      <c r="D86" s="7">
        <v>145.30153468712524</v>
      </c>
      <c r="E86" s="8">
        <v>1351.0020392172446</v>
      </c>
      <c r="F86">
        <v>1.646879957347985E+17</v>
      </c>
      <c r="G86">
        <v>2</v>
      </c>
      <c r="H86">
        <v>3.1900616298518886E-4</v>
      </c>
      <c r="I86">
        <v>3134.7356760829384</v>
      </c>
      <c r="J86">
        <v>251</v>
      </c>
      <c r="K86">
        <f t="shared" si="18"/>
        <v>3.1900616298518857E+22</v>
      </c>
      <c r="L86">
        <f t="shared" si="19"/>
        <v>3.1900616298518915E-30</v>
      </c>
      <c r="M86">
        <f t="shared" si="32"/>
        <v>55.988710255582468</v>
      </c>
      <c r="N86">
        <f t="shared" si="20"/>
        <v>0.43590460406137571</v>
      </c>
      <c r="O86" s="2">
        <f t="shared" si="21"/>
        <v>3.3996837477907372E-4</v>
      </c>
      <c r="P86" s="2">
        <f t="shared" si="33"/>
        <v>5.4090729627533453E-2</v>
      </c>
      <c r="Q86">
        <f t="shared" si="22"/>
        <v>1.4818280018789426E-4</v>
      </c>
      <c r="R86">
        <f t="shared" si="31"/>
        <v>1.6210395472206159E-2</v>
      </c>
      <c r="S86">
        <f t="shared" si="23"/>
        <v>0.80252762512935194</v>
      </c>
      <c r="T86">
        <f t="shared" si="24"/>
        <v>1.022508210876838E-2</v>
      </c>
      <c r="U86">
        <f t="shared" si="25"/>
        <v>-8.9520690950188664E-2</v>
      </c>
      <c r="V86">
        <f t="shared" si="26"/>
        <v>1.8209586180996227</v>
      </c>
      <c r="W86">
        <f t="shared" si="27"/>
        <v>1.2460630247324127</v>
      </c>
      <c r="X86">
        <f t="shared" si="28"/>
        <v>1.022508210876838E-2</v>
      </c>
      <c r="Y86">
        <f t="shared" si="29"/>
        <v>0.13451460179088515</v>
      </c>
      <c r="Z86">
        <f t="shared" si="30"/>
        <v>2.2690292035817703</v>
      </c>
    </row>
    <row r="87" spans="1:26" x14ac:dyDescent="0.25">
      <c r="A87" s="6">
        <v>44672.333425925928</v>
      </c>
      <c r="B87" s="7">
        <v>450860.84302847832</v>
      </c>
      <c r="C87" s="7">
        <v>449596.59217099845</v>
      </c>
      <c r="D87" s="7">
        <v>145.68309164416496</v>
      </c>
      <c r="E87" s="8">
        <v>1352.5825290854264</v>
      </c>
      <c r="F87">
        <v>1.646879957347985E+17</v>
      </c>
      <c r="G87">
        <v>2</v>
      </c>
      <c r="H87">
        <v>3.1875107285874913E-4</v>
      </c>
      <c r="I87">
        <v>3137.2443425253614</v>
      </c>
      <c r="J87">
        <v>252</v>
      </c>
      <c r="K87">
        <f t="shared" si="18"/>
        <v>3.1875107285874883E+22</v>
      </c>
      <c r="L87">
        <f t="shared" si="19"/>
        <v>3.1875107285874948E-30</v>
      </c>
      <c r="M87">
        <f t="shared" si="32"/>
        <v>56.011109099231277</v>
      </c>
      <c r="N87">
        <f t="shared" si="20"/>
        <v>0.4370492749324949</v>
      </c>
      <c r="O87" s="2">
        <f t="shared" si="21"/>
        <v>3.4010438252844776E-4</v>
      </c>
      <c r="P87" s="2">
        <f t="shared" si="33"/>
        <v>5.4254466431679027E-2</v>
      </c>
      <c r="Q87">
        <f t="shared" si="22"/>
        <v>1.486313276022774E-4</v>
      </c>
      <c r="R87">
        <f t="shared" si="31"/>
        <v>1.6359026799808437E-2</v>
      </c>
      <c r="S87">
        <f t="shared" si="23"/>
        <v>0.80188589184291659</v>
      </c>
      <c r="T87">
        <f t="shared" si="24"/>
        <v>1.0330891830143685E-2</v>
      </c>
      <c r="U87">
        <f t="shared" si="25"/>
        <v>-8.974950995909603E-2</v>
      </c>
      <c r="V87">
        <f t="shared" si="26"/>
        <v>1.8205009800818079</v>
      </c>
      <c r="W87">
        <f t="shared" si="27"/>
        <v>1.2470602241196338</v>
      </c>
      <c r="X87">
        <f t="shared" si="28"/>
        <v>1.0330891830143685E-2</v>
      </c>
      <c r="Y87">
        <f t="shared" si="29"/>
        <v>0.1351371801154162</v>
      </c>
      <c r="Z87">
        <f t="shared" si="30"/>
        <v>2.2702743602308324</v>
      </c>
    </row>
    <row r="88" spans="1:26" x14ac:dyDescent="0.25">
      <c r="A88" s="6">
        <v>44673.333414351851</v>
      </c>
      <c r="B88" s="7">
        <v>513864.6873241663</v>
      </c>
      <c r="C88" s="7">
        <v>513557.81226599962</v>
      </c>
      <c r="D88" s="7">
        <v>168.55628681235976</v>
      </c>
      <c r="E88" s="8">
        <v>1541.5940619725152</v>
      </c>
      <c r="F88">
        <v>1.646879957347985E+17</v>
      </c>
      <c r="G88">
        <v>2</v>
      </c>
      <c r="H88">
        <v>3.3262253962936455E-4</v>
      </c>
      <c r="I88">
        <v>3006.4108136336235</v>
      </c>
      <c r="J88">
        <v>253</v>
      </c>
      <c r="K88">
        <f t="shared" si="18"/>
        <v>3.3262253962936422E+22</v>
      </c>
      <c r="L88">
        <f t="shared" si="19"/>
        <v>3.3262253962936486E-30</v>
      </c>
      <c r="M88">
        <f t="shared" si="32"/>
        <v>54.830746973155719</v>
      </c>
      <c r="N88">
        <f t="shared" si="20"/>
        <v>0.50566886043707926</v>
      </c>
      <c r="O88" s="2">
        <f t="shared" si="21"/>
        <v>3.3293711984600958E-4</v>
      </c>
      <c r="P88" s="2">
        <f t="shared" si="33"/>
        <v>6.1449915906253254E-2</v>
      </c>
      <c r="Q88">
        <f t="shared" si="22"/>
        <v>1.683417637199389E-4</v>
      </c>
      <c r="R88">
        <f t="shared" si="31"/>
        <v>1.6527368563528377E-2</v>
      </c>
      <c r="S88">
        <f t="shared" si="23"/>
        <v>0.83678250694373379</v>
      </c>
      <c r="T88">
        <f t="shared" si="24"/>
        <v>1.2642853970440848E-2</v>
      </c>
      <c r="U88">
        <f t="shared" si="25"/>
        <v>-6.9997660022758201E-2</v>
      </c>
      <c r="V88">
        <f t="shared" si="26"/>
        <v>1.8600046799544836</v>
      </c>
      <c r="W88">
        <f t="shared" si="27"/>
        <v>1.1950536629313657</v>
      </c>
      <c r="X88">
        <f t="shared" si="28"/>
        <v>1.2642853970440848E-2</v>
      </c>
      <c r="Y88">
        <f t="shared" si="29"/>
        <v>0.11140270292454413</v>
      </c>
      <c r="Z88">
        <f t="shared" si="30"/>
        <v>2.2228054058490883</v>
      </c>
    </row>
    <row r="89" spans="1:26" x14ac:dyDescent="0.25">
      <c r="A89" s="6">
        <v>44674.333865740744</v>
      </c>
      <c r="B89" s="7">
        <v>1099316.0885354057</v>
      </c>
      <c r="C89" s="7">
        <v>1115769.9862000048</v>
      </c>
      <c r="D89" s="7">
        <v>370.41795509714575</v>
      </c>
      <c r="E89" s="8">
        <v>3297.9482656062173</v>
      </c>
      <c r="F89">
        <v>1.646879957347985E+17</v>
      </c>
      <c r="G89">
        <v>2</v>
      </c>
      <c r="H89">
        <v>3.3937555549594313E-4</v>
      </c>
      <c r="I89">
        <v>2946.5881788058064</v>
      </c>
      <c r="J89">
        <v>254</v>
      </c>
      <c r="K89">
        <f t="shared" si="18"/>
        <v>3.3937555549594279E+22</v>
      </c>
      <c r="L89">
        <f t="shared" si="19"/>
        <v>3.393755554959435E-30</v>
      </c>
      <c r="M89">
        <f t="shared" si="32"/>
        <v>54.282485009498188</v>
      </c>
      <c r="N89">
        <f t="shared" si="20"/>
        <v>1.1112538652914372</v>
      </c>
      <c r="O89" s="2">
        <f t="shared" si="21"/>
        <v>3.2960802496443477E-4</v>
      </c>
      <c r="P89" s="2">
        <f t="shared" si="33"/>
        <v>0.1336915399970737</v>
      </c>
      <c r="Q89">
        <f t="shared" si="22"/>
        <v>3.6621112829136074E-4</v>
      </c>
      <c r="R89">
        <f t="shared" si="31"/>
        <v>1.6893579691819739E-2</v>
      </c>
      <c r="S89">
        <f t="shared" si="23"/>
        <v>0.85377114984377012</v>
      </c>
      <c r="T89">
        <f t="shared" si="24"/>
        <v>1.3867969261366797E-2</v>
      </c>
      <c r="U89">
        <f t="shared" si="25"/>
        <v>-6.0260404416293989E-2</v>
      </c>
      <c r="V89">
        <f t="shared" si="26"/>
        <v>1.879479191167412</v>
      </c>
      <c r="W89">
        <f t="shared" si="27"/>
        <v>1.1712740588423349</v>
      </c>
      <c r="X89">
        <f t="shared" si="28"/>
        <v>1.3867969261366797E-2</v>
      </c>
      <c r="Y89">
        <f t="shared" si="29"/>
        <v>0.10069261037418187</v>
      </c>
      <c r="Z89">
        <f t="shared" si="30"/>
        <v>2.2013852207483637</v>
      </c>
    </row>
    <row r="90" spans="1:26" x14ac:dyDescent="0.25">
      <c r="A90" s="6">
        <v>44675.333368055559</v>
      </c>
      <c r="B90" s="7">
        <v>174511.0622439757</v>
      </c>
      <c r="C90" s="7">
        <v>174497.45289299637</v>
      </c>
      <c r="D90" s="7">
        <v>59.157801721532451</v>
      </c>
      <c r="E90" s="8">
        <v>523.53318673191825</v>
      </c>
      <c r="F90">
        <v>1.646879957347985E+17</v>
      </c>
      <c r="G90">
        <v>2</v>
      </c>
      <c r="H90">
        <v>3.390363665223644E-4</v>
      </c>
      <c r="I90">
        <v>2949.5360933029447</v>
      </c>
      <c r="J90">
        <v>255</v>
      </c>
      <c r="K90">
        <f t="shared" si="18"/>
        <v>3.3903636652236405E+22</v>
      </c>
      <c r="L90">
        <f t="shared" si="19"/>
        <v>3.3903636652236473E-30</v>
      </c>
      <c r="M90">
        <f t="shared" si="32"/>
        <v>54.30963168079429</v>
      </c>
      <c r="N90">
        <f t="shared" si="20"/>
        <v>0.17747340516459736</v>
      </c>
      <c r="O90" s="2">
        <f t="shared" si="21"/>
        <v>3.2977286194101573E-4</v>
      </c>
      <c r="P90" s="2">
        <f t="shared" si="33"/>
        <v>2.1361958149934551E-2</v>
      </c>
      <c r="Q90">
        <f t="shared" si="22"/>
        <v>5.8524200165059723E-5</v>
      </c>
      <c r="R90">
        <f t="shared" si="31"/>
        <v>1.6952103891984798E-2</v>
      </c>
      <c r="S90">
        <f t="shared" si="23"/>
        <v>0.85291784808029025</v>
      </c>
      <c r="T90">
        <f t="shared" si="24"/>
        <v>1.3887193448335555E-2</v>
      </c>
      <c r="U90">
        <f t="shared" si="25"/>
        <v>-6.0675161659772603E-2</v>
      </c>
      <c r="V90">
        <f t="shared" si="26"/>
        <v>1.8786496766804548</v>
      </c>
      <c r="W90">
        <f t="shared" si="27"/>
        <v>1.1724458601150811</v>
      </c>
      <c r="X90">
        <f t="shared" si="28"/>
        <v>1.3887193448335555E-2</v>
      </c>
      <c r="Y90">
        <f t="shared" si="29"/>
        <v>0.10130751801526738</v>
      </c>
      <c r="Z90">
        <f t="shared" si="30"/>
        <v>2.2026150360305348</v>
      </c>
    </row>
    <row r="91" spans="1:26" x14ac:dyDescent="0.25">
      <c r="A91" s="6">
        <v>44676.333333333336</v>
      </c>
      <c r="B91" s="7">
        <v>584288.86731296033</v>
      </c>
      <c r="C91" s="7">
        <v>584910.64203400165</v>
      </c>
      <c r="D91" s="7">
        <v>201.51411323083084</v>
      </c>
      <c r="E91" s="8">
        <v>1752.8666019388766</v>
      </c>
      <c r="F91">
        <v>1.646879957347985E+17</v>
      </c>
      <c r="G91">
        <v>2</v>
      </c>
      <c r="H91">
        <v>3.5125259468420707E-4</v>
      </c>
      <c r="I91">
        <v>2846.9540585146365</v>
      </c>
      <c r="J91">
        <v>256</v>
      </c>
      <c r="K91">
        <f t="shared" si="18"/>
        <v>3.5125259468420671E+22</v>
      </c>
      <c r="L91">
        <f t="shared" si="19"/>
        <v>3.5125259468420739E-30</v>
      </c>
      <c r="M91">
        <f t="shared" si="32"/>
        <v>53.356855778008565</v>
      </c>
      <c r="N91">
        <f t="shared" si="20"/>
        <v>0.60454233969249249</v>
      </c>
      <c r="O91" s="2">
        <f t="shared" si="21"/>
        <v>3.2398752283032545E-4</v>
      </c>
      <c r="P91" s="2">
        <f t="shared" si="33"/>
        <v>7.1490423905302219E-2</v>
      </c>
      <c r="Q91">
        <f t="shared" si="22"/>
        <v>1.9584499619971645E-4</v>
      </c>
      <c r="R91">
        <f t="shared" si="31"/>
        <v>1.7147948888184515E-2</v>
      </c>
      <c r="S91">
        <f t="shared" si="23"/>
        <v>0.8836503595873394</v>
      </c>
      <c r="T91">
        <f t="shared" si="24"/>
        <v>1.5353316395638084E-2</v>
      </c>
      <c r="U91">
        <f t="shared" si="25"/>
        <v>-4.3714680231579428E-2</v>
      </c>
      <c r="V91">
        <f t="shared" si="26"/>
        <v>1.9125706395368411</v>
      </c>
      <c r="W91">
        <f t="shared" si="27"/>
        <v>1.1316693182436945</v>
      </c>
      <c r="X91">
        <f t="shared" si="28"/>
        <v>1.5353316395638306E-2</v>
      </c>
      <c r="Y91">
        <f t="shared" si="29"/>
        <v>8.2198755868782225E-2</v>
      </c>
      <c r="Z91">
        <f t="shared" si="30"/>
        <v>2.1643975117375645</v>
      </c>
    </row>
    <row r="92" spans="1:26" x14ac:dyDescent="0.25">
      <c r="A92" s="6">
        <v>44677.333807870367</v>
      </c>
      <c r="B92" s="7">
        <v>388783.94770696759</v>
      </c>
      <c r="C92" s="7">
        <v>388278.30894400179</v>
      </c>
      <c r="D92" s="7">
        <v>131.9359504566637</v>
      </c>
      <c r="E92" s="8">
        <v>1166.3518431209086</v>
      </c>
      <c r="F92">
        <v>1.646879957347985E+17</v>
      </c>
      <c r="G92">
        <v>2</v>
      </c>
      <c r="H92">
        <v>3.3308851399246452E-4</v>
      </c>
      <c r="I92">
        <v>3002.2049935430168</v>
      </c>
      <c r="J92">
        <v>257</v>
      </c>
      <c r="K92">
        <f t="shared" si="18"/>
        <v>3.3308851399246419E+22</v>
      </c>
      <c r="L92">
        <f t="shared" si="19"/>
        <v>3.3308851399246486E-30</v>
      </c>
      <c r="M92">
        <f t="shared" si="32"/>
        <v>54.792380798279034</v>
      </c>
      <c r="N92">
        <f t="shared" si="20"/>
        <v>0.39580785136999114</v>
      </c>
      <c r="O92" s="2">
        <f t="shared" si="21"/>
        <v>3.3270415705655121E-4</v>
      </c>
      <c r="P92" s="2">
        <f t="shared" si="33"/>
        <v>4.8065724904442428E-2</v>
      </c>
      <c r="Q92">
        <f t="shared" si="22"/>
        <v>1.3167824758551511E-4</v>
      </c>
      <c r="R92">
        <f t="shared" si="31"/>
        <v>1.7279627135770029E-2</v>
      </c>
      <c r="S92">
        <f t="shared" si="23"/>
        <v>0.83795476423020876</v>
      </c>
      <c r="T92">
        <f t="shared" si="24"/>
        <v>1.3467698515953641E-2</v>
      </c>
      <c r="U92">
        <f t="shared" si="25"/>
        <v>-6.8646107559588998E-2</v>
      </c>
      <c r="V92">
        <f t="shared" si="26"/>
        <v>1.862707784880822</v>
      </c>
      <c r="W92">
        <f t="shared" si="27"/>
        <v>1.1933818419406625</v>
      </c>
      <c r="X92">
        <f t="shared" si="28"/>
        <v>1.3467698515953641E-2</v>
      </c>
      <c r="Y92">
        <f t="shared" si="29"/>
        <v>0.11146082365914323</v>
      </c>
      <c r="Z92">
        <f t="shared" si="30"/>
        <v>2.2229216473182865</v>
      </c>
    </row>
    <row r="93" spans="1:26" x14ac:dyDescent="0.25">
      <c r="A93" s="6">
        <v>44678.333344907405</v>
      </c>
      <c r="B93" s="7">
        <v>641101.35352928191</v>
      </c>
      <c r="C93" s="7">
        <v>641605.48493500054</v>
      </c>
      <c r="D93" s="7">
        <v>223.7356524501738</v>
      </c>
      <c r="E93" s="8">
        <v>1923.3040605878632</v>
      </c>
      <c r="F93">
        <v>1.646879957347985E+17</v>
      </c>
      <c r="G93">
        <v>2</v>
      </c>
      <c r="H93">
        <v>3.4737544273746933E-4</v>
      </c>
      <c r="I93">
        <v>2878.7296883152299</v>
      </c>
      <c r="J93">
        <v>258</v>
      </c>
      <c r="K93">
        <f t="shared" si="18"/>
        <v>3.4737544273746897E+22</v>
      </c>
      <c r="L93">
        <f t="shared" si="19"/>
        <v>3.4737544273746969E-30</v>
      </c>
      <c r="M93">
        <f t="shared" si="32"/>
        <v>53.653794724285859</v>
      </c>
      <c r="N93">
        <f t="shared" si="20"/>
        <v>0.67120695735052138</v>
      </c>
      <c r="O93" s="2">
        <f t="shared" si="21"/>
        <v>3.2579056223797884E-4</v>
      </c>
      <c r="P93" s="2">
        <f t="shared" si="33"/>
        <v>7.9815605584843352E-2</v>
      </c>
      <c r="Q93">
        <f t="shared" si="22"/>
        <v>2.1864898658133762E-4</v>
      </c>
      <c r="R93">
        <f t="shared" si="31"/>
        <v>1.7498276122351369E-2</v>
      </c>
      <c r="S93">
        <f t="shared" si="23"/>
        <v>0.87389656199620769</v>
      </c>
      <c r="T93">
        <f t="shared" si="24"/>
        <v>1.5345390217525345E-2</v>
      </c>
      <c r="U93">
        <f t="shared" si="25"/>
        <v>-4.8673882016340819E-2</v>
      </c>
      <c r="V93">
        <f t="shared" si="26"/>
        <v>1.9026522359673184</v>
      </c>
      <c r="W93">
        <f t="shared" si="27"/>
        <v>1.1443001877885173</v>
      </c>
      <c r="X93">
        <f t="shared" si="28"/>
        <v>1.5345390217524901E-2</v>
      </c>
      <c r="Y93">
        <f t="shared" si="29"/>
        <v>8.8602655456822221E-2</v>
      </c>
      <c r="Z93">
        <f t="shared" si="30"/>
        <v>2.1772053109136444</v>
      </c>
    </row>
    <row r="94" spans="1:26" x14ac:dyDescent="0.25">
      <c r="A94" s="6">
        <v>44679.333344907405</v>
      </c>
      <c r="B94" s="7">
        <v>378266.23038135469</v>
      </c>
      <c r="C94" s="7">
        <v>378455.35126099735</v>
      </c>
      <c r="D94" s="7">
        <v>131.23714907374961</v>
      </c>
      <c r="E94" s="8">
        <v>1134.7986911440385</v>
      </c>
      <c r="F94">
        <v>1.646879957347985E+17</v>
      </c>
      <c r="G94">
        <v>2</v>
      </c>
      <c r="H94">
        <v>3.4097429476556186E-4</v>
      </c>
      <c r="I94">
        <v>2932.7723976599282</v>
      </c>
      <c r="J94">
        <v>259</v>
      </c>
      <c r="K94">
        <f t="shared" si="18"/>
        <v>3.4097429476556153E+22</v>
      </c>
      <c r="L94">
        <f t="shared" si="19"/>
        <v>3.409742947655622E-30</v>
      </c>
      <c r="M94">
        <f t="shared" si="32"/>
        <v>54.155077302691708</v>
      </c>
      <c r="N94">
        <f t="shared" si="20"/>
        <v>0.39371144722124884</v>
      </c>
      <c r="O94" s="2">
        <f t="shared" si="21"/>
        <v>3.2883439415887412E-4</v>
      </c>
      <c r="P94" s="2">
        <f t="shared" si="33"/>
        <v>4.7255040805450711E-2</v>
      </c>
      <c r="Q94">
        <f t="shared" si="22"/>
        <v>1.2945748523859074E-4</v>
      </c>
      <c r="R94">
        <f t="shared" si="31"/>
        <v>1.7627733607589961E-2</v>
      </c>
      <c r="S94">
        <f t="shared" si="23"/>
        <v>0.85779311737330566</v>
      </c>
      <c r="T94">
        <f t="shared" si="24"/>
        <v>1.4797882036818866E-2</v>
      </c>
      <c r="U94">
        <f t="shared" si="25"/>
        <v>-5.7357739613494996E-2</v>
      </c>
      <c r="V94">
        <f t="shared" si="26"/>
        <v>1.88528452077301</v>
      </c>
      <c r="W94">
        <f t="shared" si="27"/>
        <v>1.1657822611845543</v>
      </c>
      <c r="X94">
        <f t="shared" si="28"/>
        <v>1.4797882036819088E-2</v>
      </c>
      <c r="Y94">
        <f t="shared" si="29"/>
        <v>9.8915625801499152E-2</v>
      </c>
      <c r="Z94">
        <f t="shared" si="30"/>
        <v>2.1978312516029983</v>
      </c>
    </row>
    <row r="95" spans="1:26" x14ac:dyDescent="0.25">
      <c r="A95" s="6">
        <v>44680.333402777775</v>
      </c>
      <c r="B95" s="7">
        <v>606365.85039166361</v>
      </c>
      <c r="C95" s="7">
        <v>606756.15181799978</v>
      </c>
      <c r="D95" s="7">
        <v>208.09826463704303</v>
      </c>
      <c r="E95" s="8">
        <v>1819.0975511750148</v>
      </c>
      <c r="F95">
        <v>1.646879957347985E+17</v>
      </c>
      <c r="G95">
        <v>2</v>
      </c>
      <c r="H95">
        <v>3.5097171901725513E-4</v>
      </c>
      <c r="I95">
        <v>2849.2324190680338</v>
      </c>
      <c r="J95">
        <v>260</v>
      </c>
      <c r="K95">
        <f t="shared" si="18"/>
        <v>3.509717190172548E+22</v>
      </c>
      <c r="L95">
        <f t="shared" si="19"/>
        <v>3.5097171901725545E-30</v>
      </c>
      <c r="M95">
        <f t="shared" si="32"/>
        <v>53.378201721944542</v>
      </c>
      <c r="N95">
        <f t="shared" si="20"/>
        <v>0.62429479391112908</v>
      </c>
      <c r="O95" s="2">
        <f t="shared" si="21"/>
        <v>3.2411713728000487E-4</v>
      </c>
      <c r="P95" s="2">
        <f t="shared" si="33"/>
        <v>7.3855794118769302E-2</v>
      </c>
      <c r="Q95">
        <f t="shared" si="22"/>
        <v>2.0232417250539602E-4</v>
      </c>
      <c r="R95">
        <f t="shared" si="31"/>
        <v>1.7830057780095356E-2</v>
      </c>
      <c r="S95">
        <f t="shared" si="23"/>
        <v>0.88294375730779018</v>
      </c>
      <c r="T95">
        <f t="shared" si="24"/>
        <v>1.602095106079604E-2</v>
      </c>
      <c r="U95">
        <f t="shared" si="25"/>
        <v>-4.3444846453075003E-2</v>
      </c>
      <c r="V95">
        <f t="shared" si="26"/>
        <v>1.91311030709385</v>
      </c>
      <c r="W95">
        <f t="shared" si="27"/>
        <v>1.13257497062908</v>
      </c>
      <c r="X95">
        <f t="shared" si="28"/>
        <v>1.602095106079604E-2</v>
      </c>
      <c r="Y95">
        <f t="shared" si="29"/>
        <v>8.3370424933503662E-2</v>
      </c>
      <c r="Z95">
        <f t="shared" si="30"/>
        <v>2.1667408498670073</v>
      </c>
    </row>
    <row r="96" spans="1:26" x14ac:dyDescent="0.25">
      <c r="A96" s="6">
        <v>44681.333854166667</v>
      </c>
      <c r="B96" s="7">
        <v>307711.07989437133</v>
      </c>
      <c r="C96" s="7">
        <v>308074.36752799898</v>
      </c>
      <c r="D96" s="7">
        <v>108.92011785579598</v>
      </c>
      <c r="E96" s="8">
        <v>923.13323968311306</v>
      </c>
      <c r="F96">
        <v>1.646879957347985E+17</v>
      </c>
      <c r="G96">
        <v>2</v>
      </c>
      <c r="H96">
        <v>3.5181502053558084E-4</v>
      </c>
      <c r="I96">
        <v>2842.4028015565214</v>
      </c>
      <c r="J96">
        <v>261</v>
      </c>
      <c r="K96">
        <f t="shared" si="18"/>
        <v>3.5181502053558048E+22</v>
      </c>
      <c r="L96">
        <f t="shared" si="19"/>
        <v>3.5181502053558116E-30</v>
      </c>
      <c r="M96">
        <f t="shared" si="32"/>
        <v>53.314189495453178</v>
      </c>
      <c r="N96">
        <f t="shared" si="20"/>
        <v>0.32676035356738792</v>
      </c>
      <c r="O96" s="2">
        <f t="shared" si="21"/>
        <v>3.2372844940870162E-4</v>
      </c>
      <c r="P96" s="2">
        <f t="shared" si="33"/>
        <v>3.8610292244842505E-2</v>
      </c>
      <c r="Q96">
        <f t="shared" si="22"/>
        <v>1.0577602810736095E-4</v>
      </c>
      <c r="R96">
        <f t="shared" si="31"/>
        <v>1.7935833808202718E-2</v>
      </c>
      <c r="S96">
        <f t="shared" si="23"/>
        <v>0.88506526103811578</v>
      </c>
      <c r="T96">
        <f t="shared" si="24"/>
        <v>1.620350076028032E-2</v>
      </c>
      <c r="U96">
        <f t="shared" si="25"/>
        <v>-4.2195041285737589E-2</v>
      </c>
      <c r="V96">
        <f t="shared" si="26"/>
        <v>1.9156099174285248</v>
      </c>
      <c r="W96">
        <f t="shared" si="27"/>
        <v>1.1298601854817738</v>
      </c>
      <c r="X96">
        <f t="shared" si="28"/>
        <v>1.620350076028032E-2</v>
      </c>
      <c r="Y96">
        <f t="shared" si="29"/>
        <v>8.218568830825923E-2</v>
      </c>
      <c r="Z96">
        <f t="shared" si="30"/>
        <v>2.1643713766165185</v>
      </c>
    </row>
    <row r="97" spans="1:31" x14ac:dyDescent="0.25">
      <c r="A97" s="6">
        <v>44682.333796296298</v>
      </c>
      <c r="B97" s="7">
        <v>412955.78567965329</v>
      </c>
      <c r="C97" s="7">
        <v>413564.36453200132</v>
      </c>
      <c r="D97" s="7">
        <v>148.50735271252779</v>
      </c>
      <c r="E97" s="8">
        <v>1238.8673570389219</v>
      </c>
      <c r="F97">
        <v>1.646879957347985E+17</v>
      </c>
      <c r="G97">
        <v>2</v>
      </c>
      <c r="H97">
        <v>3.6137065896556432E-4</v>
      </c>
      <c r="I97">
        <v>2767.2418199710337</v>
      </c>
      <c r="J97">
        <v>262</v>
      </c>
      <c r="K97">
        <f t="shared" si="18"/>
        <v>3.6137065896556397E+22</v>
      </c>
      <c r="L97">
        <f t="shared" si="19"/>
        <v>3.6137065896556469E-30</v>
      </c>
      <c r="M97">
        <f t="shared" si="32"/>
        <v>52.604579838371372</v>
      </c>
      <c r="N97">
        <f t="shared" si="20"/>
        <v>0.44552205813758339</v>
      </c>
      <c r="O97" s="2">
        <f t="shared" si="21"/>
        <v>3.1941963713664925E-4</v>
      </c>
      <c r="P97" s="2">
        <f t="shared" si="33"/>
        <v>5.1942600363538219E-2</v>
      </c>
      <c r="Q97">
        <f t="shared" si="22"/>
        <v>1.4229836925356659E-4</v>
      </c>
      <c r="R97">
        <f t="shared" si="31"/>
        <v>1.8078132177456286E-2</v>
      </c>
      <c r="S97">
        <f t="shared" si="23"/>
        <v>0.90910449508941982</v>
      </c>
      <c r="T97">
        <f t="shared" si="24"/>
        <v>1.7087767466815063E-2</v>
      </c>
      <c r="U97">
        <f t="shared" si="25"/>
        <v>-2.9136585614320309E-2</v>
      </c>
      <c r="V97">
        <f t="shared" si="26"/>
        <v>1.9417268287713594</v>
      </c>
      <c r="W97">
        <f t="shared" si="27"/>
        <v>1.0999835611874735</v>
      </c>
      <c r="X97">
        <f t="shared" si="28"/>
        <v>1.7087767466815063E-2</v>
      </c>
      <c r="Y97">
        <f t="shared" si="29"/>
        <v>6.793379598258964E-2</v>
      </c>
      <c r="Z97">
        <f t="shared" si="30"/>
        <v>2.1358675919651793</v>
      </c>
    </row>
    <row r="98" spans="1:31" x14ac:dyDescent="0.25">
      <c r="A98" s="6">
        <v>44683.333344907405</v>
      </c>
      <c r="B98" s="7">
        <v>398929.10693514347</v>
      </c>
      <c r="C98" s="7">
        <v>399301.02627699822</v>
      </c>
      <c r="D98" s="7">
        <v>142.05079645959268</v>
      </c>
      <c r="E98" s="8">
        <v>1196.7873208054516</v>
      </c>
      <c r="F98">
        <v>1.646879957347985E+17</v>
      </c>
      <c r="G98">
        <v>2</v>
      </c>
      <c r="H98">
        <v>3.5616884875593356E-4</v>
      </c>
      <c r="I98">
        <v>2807.6571083993222</v>
      </c>
      <c r="J98">
        <v>263</v>
      </c>
      <c r="K98">
        <f t="shared" si="18"/>
        <v>3.561688487559332E+22</v>
      </c>
      <c r="L98">
        <f t="shared" si="19"/>
        <v>3.5616884875593394E-30</v>
      </c>
      <c r="M98">
        <f t="shared" si="32"/>
        <v>52.987329696823593</v>
      </c>
      <c r="N98">
        <f t="shared" si="20"/>
        <v>0.42615238937877803</v>
      </c>
      <c r="O98" s="2">
        <f t="shared" si="21"/>
        <v>3.2174372795301074E-4</v>
      </c>
      <c r="P98" s="2">
        <f t="shared" si="33"/>
        <v>5.0045828328706035E-2</v>
      </c>
      <c r="Q98">
        <f t="shared" si="22"/>
        <v>1.3710245946305956E-4</v>
      </c>
      <c r="R98">
        <f t="shared" si="31"/>
        <v>1.8215234636919344E-2</v>
      </c>
      <c r="S98">
        <f t="shared" si="23"/>
        <v>0.89601823884018739</v>
      </c>
      <c r="T98">
        <f t="shared" si="24"/>
        <v>1.684951498597842E-2</v>
      </c>
      <c r="U98">
        <f t="shared" si="25"/>
        <v>-3.6017386715393229E-2</v>
      </c>
      <c r="V98">
        <f t="shared" si="26"/>
        <v>1.9279652265692135</v>
      </c>
      <c r="W98">
        <f t="shared" si="27"/>
        <v>1.1160487104530454</v>
      </c>
      <c r="X98">
        <f t="shared" si="28"/>
        <v>1.684951498597842E-2</v>
      </c>
      <c r="Y98">
        <f t="shared" si="29"/>
        <v>7.5851552455442173E-2</v>
      </c>
      <c r="Z98">
        <f t="shared" si="30"/>
        <v>2.1517031049108843</v>
      </c>
    </row>
    <row r="99" spans="1:31" x14ac:dyDescent="0.25">
      <c r="A99" s="6">
        <v>44684.33388888889</v>
      </c>
      <c r="B99" s="7">
        <v>356502.23161525279</v>
      </c>
      <c r="C99" s="7">
        <v>356507.94844900072</v>
      </c>
      <c r="D99" s="7">
        <v>125.8047187202319</v>
      </c>
      <c r="E99" s="8">
        <v>1069.5066948457679</v>
      </c>
      <c r="F99">
        <v>1.646879957347985E+17</v>
      </c>
      <c r="G99">
        <v>2</v>
      </c>
      <c r="H99">
        <v>3.5195576765410352E-4</v>
      </c>
      <c r="I99">
        <v>2841.2661246193411</v>
      </c>
      <c r="J99">
        <v>264</v>
      </c>
      <c r="K99">
        <f t="shared" si="18"/>
        <v>3.5195576765410317E+22</v>
      </c>
      <c r="L99">
        <f t="shared" si="19"/>
        <v>3.5195576765410383E-30</v>
      </c>
      <c r="M99">
        <f t="shared" si="32"/>
        <v>53.303528256766548</v>
      </c>
      <c r="N99">
        <f t="shared" si="20"/>
        <v>0.37741415616069574</v>
      </c>
      <c r="O99" s="2">
        <f t="shared" si="21"/>
        <v>3.2366371342937864E-4</v>
      </c>
      <c r="P99" s="2">
        <f t="shared" si="33"/>
        <v>4.4586672558581959E-2</v>
      </c>
      <c r="Q99">
        <f t="shared" si="22"/>
        <v>1.2214780693675274E-4</v>
      </c>
      <c r="R99">
        <f t="shared" si="31"/>
        <v>1.8337382443856097E-2</v>
      </c>
      <c r="S99">
        <f t="shared" si="23"/>
        <v>0.88541934024998681</v>
      </c>
      <c r="T99">
        <f t="shared" si="24"/>
        <v>1.662401383972556E-2</v>
      </c>
      <c r="U99">
        <f t="shared" si="25"/>
        <v>-4.161871127200556E-2</v>
      </c>
      <c r="V99">
        <f t="shared" si="26"/>
        <v>1.9167625774559889</v>
      </c>
      <c r="W99">
        <f t="shared" si="27"/>
        <v>1.1294083543710065</v>
      </c>
      <c r="X99">
        <f t="shared" si="28"/>
        <v>1.662401383972556E-2</v>
      </c>
      <c r="Y99">
        <f t="shared" si="29"/>
        <v>8.2403834162248613E-2</v>
      </c>
      <c r="Z99">
        <f t="shared" si="30"/>
        <v>2.1648076683244972</v>
      </c>
    </row>
    <row r="100" spans="1:31" x14ac:dyDescent="0.25">
      <c r="A100" s="6">
        <v>44685.333495370367</v>
      </c>
      <c r="B100" s="7">
        <v>376216.47277814895</v>
      </c>
      <c r="C100" s="7">
        <v>377238.22249300033</v>
      </c>
      <c r="D100" s="7">
        <v>133.63152633557547</v>
      </c>
      <c r="E100" s="8">
        <v>1128.6494183344184</v>
      </c>
      <c r="F100">
        <v>1.646879957347985E+17</v>
      </c>
      <c r="G100">
        <v>2</v>
      </c>
      <c r="H100">
        <v>3.4810566111786502E-4</v>
      </c>
      <c r="I100">
        <v>2872.6910007401752</v>
      </c>
      <c r="J100">
        <v>265</v>
      </c>
      <c r="K100">
        <f t="shared" si="18"/>
        <v>3.4810566111786468E+22</v>
      </c>
      <c r="L100">
        <f t="shared" si="19"/>
        <v>3.4810566111786536E-30</v>
      </c>
      <c r="M100">
        <f t="shared" si="32"/>
        <v>53.597490619811204</v>
      </c>
      <c r="N100">
        <f t="shared" si="20"/>
        <v>0.40089457900672643</v>
      </c>
      <c r="O100" s="2">
        <f t="shared" si="21"/>
        <v>3.2544867876175193E-4</v>
      </c>
      <c r="P100" s="2">
        <f t="shared" si="33"/>
        <v>4.7621773037078083E-2</v>
      </c>
      <c r="Q100">
        <f t="shared" si="22"/>
        <v>1.3046210051059694E-4</v>
      </c>
      <c r="R100">
        <f t="shared" si="31"/>
        <v>1.8467844544366695E-2</v>
      </c>
      <c r="S100">
        <f>H100/$H$2</f>
        <v>0.8757335811219854</v>
      </c>
      <c r="T100">
        <f t="shared" si="24"/>
        <v>1.6401569066224475E-2</v>
      </c>
      <c r="U100">
        <f t="shared" si="25"/>
        <v>-4.6750722498702824E-2</v>
      </c>
      <c r="V100">
        <f t="shared" si="26"/>
        <v>1.9064985550025944</v>
      </c>
      <c r="W100">
        <f>I100/$I$2</f>
        <v>1.1418997987022548</v>
      </c>
      <c r="X100">
        <f t="shared" si="28"/>
        <v>1.6401569066224475E-2</v>
      </c>
      <c r="Y100">
        <f t="shared" si="29"/>
        <v>8.8515158091801105E-2</v>
      </c>
      <c r="Z100">
        <f t="shared" si="30"/>
        <v>2.1770303161836022</v>
      </c>
    </row>
    <row r="101" spans="1:31" x14ac:dyDescent="0.25">
      <c r="A101" s="6">
        <v>44686.333402777775</v>
      </c>
      <c r="B101" s="7">
        <v>339831.50746759772</v>
      </c>
      <c r="C101" s="7">
        <v>339480.8871410042</v>
      </c>
      <c r="D101" s="7">
        <v>116.4433685312506</v>
      </c>
      <c r="E101" s="8">
        <v>1019.4945224028197</v>
      </c>
      <c r="F101">
        <v>1.646879957347985E+17</v>
      </c>
      <c r="G101">
        <v>2</v>
      </c>
      <c r="H101">
        <v>3.4128129441024317E-4</v>
      </c>
      <c r="I101">
        <v>2930.1342217658507</v>
      </c>
      <c r="J101">
        <v>266</v>
      </c>
      <c r="K101">
        <f t="shared" si="18"/>
        <v>3.4128129441024283E+22</v>
      </c>
      <c r="L101">
        <f t="shared" si="19"/>
        <v>3.4128129441024354E-30</v>
      </c>
      <c r="M101">
        <f t="shared" si="32"/>
        <v>54.13071421814454</v>
      </c>
      <c r="N101">
        <f t="shared" si="20"/>
        <v>0.34933010559375183</v>
      </c>
      <c r="O101" s="2">
        <f t="shared" si="21"/>
        <v>3.2868645936594363E-4</v>
      </c>
      <c r="P101" s="2">
        <f t="shared" si="33"/>
        <v>4.1909327578502652E-2</v>
      </c>
      <c r="Q101">
        <f t="shared" si="22"/>
        <v>1.1481348423729477E-4</v>
      </c>
      <c r="R101">
        <f>Q101+R100</f>
        <v>1.8582658028603989E-2</v>
      </c>
      <c r="S101">
        <f t="shared" ref="S101:S112" si="34">H101/$H$2</f>
        <v>0.85856544005652946</v>
      </c>
      <c r="T101">
        <f>2*SQRT(S101)*EXP(R101)/(1+S101)-1</f>
        <v>1.5802285645918568E-2</v>
      </c>
      <c r="U101">
        <f t="shared" si="25"/>
        <v>-5.6032488984032458E-2</v>
      </c>
      <c r="V101">
        <f t="shared" si="26"/>
        <v>1.8879350220319351</v>
      </c>
      <c r="W101">
        <f t="shared" ref="W101:W111" si="35">I101/$I$2</f>
        <v>1.1647335815592093</v>
      </c>
      <c r="X101">
        <f t="shared" si="28"/>
        <v>1.5802285645918568E-2</v>
      </c>
      <c r="Y101">
        <f t="shared" si="29"/>
        <v>9.9470659981160114E-2</v>
      </c>
      <c r="Z101">
        <f t="shared" si="30"/>
        <v>2.1989413199623202</v>
      </c>
    </row>
    <row r="102" spans="1:31" x14ac:dyDescent="0.25">
      <c r="A102" s="6">
        <v>44687.333425925928</v>
      </c>
      <c r="B102" s="7">
        <v>636584.79626663774</v>
      </c>
      <c r="C102" s="7">
        <v>637526.43440499902</v>
      </c>
      <c r="D102" s="7">
        <v>230.12745831714346</v>
      </c>
      <c r="E102" s="8">
        <v>1909.7543887998909</v>
      </c>
      <c r="F102">
        <v>1.646879957347985E+17</v>
      </c>
      <c r="G102">
        <v>2</v>
      </c>
      <c r="H102">
        <v>3.7345687752719548E-4</v>
      </c>
      <c r="I102">
        <v>2677.6853237283844</v>
      </c>
      <c r="J102">
        <v>267</v>
      </c>
      <c r="K102">
        <f t="shared" si="18"/>
        <v>3.7345687752719513E+22</v>
      </c>
      <c r="L102">
        <f t="shared" si="19"/>
        <v>3.7345687752719584E-30</v>
      </c>
      <c r="M102">
        <f t="shared" si="32"/>
        <v>51.746355656499333</v>
      </c>
      <c r="N102">
        <f t="shared" si="20"/>
        <v>0.6903823749514304</v>
      </c>
      <c r="O102" s="2">
        <f t="shared" si="21"/>
        <v>3.1420842439437957E-4</v>
      </c>
      <c r="P102" s="2">
        <f t="shared" si="33"/>
        <v>7.9177244766045637E-2</v>
      </c>
      <c r="Q102">
        <f t="shared" si="22"/>
        <v>2.1690043366336362E-4</v>
      </c>
      <c r="R102">
        <f t="shared" si="31"/>
        <v>1.8799558462267354E-2</v>
      </c>
      <c r="S102">
        <f t="shared" si="34"/>
        <v>0.93950993988802234</v>
      </c>
      <c r="T102">
        <f t="shared" si="24"/>
        <v>1.8481676712506667E-2</v>
      </c>
      <c r="U102">
        <f t="shared" si="25"/>
        <v>-1.2322332211136988E-2</v>
      </c>
      <c r="V102">
        <f t="shared" si="26"/>
        <v>1.975355335577726</v>
      </c>
      <c r="W102">
        <f t="shared" si="35"/>
        <v>1.0643846941302051</v>
      </c>
      <c r="X102">
        <f t="shared" si="28"/>
        <v>1.8481676712506667E-2</v>
      </c>
      <c r="Y102">
        <f t="shared" si="29"/>
        <v>5.1268992328683316E-2</v>
      </c>
      <c r="Z102">
        <f t="shared" si="30"/>
        <v>2.1025379846573666</v>
      </c>
    </row>
    <row r="103" spans="1:31" x14ac:dyDescent="0.25">
      <c r="A103" s="6">
        <v>44688.333356481482</v>
      </c>
      <c r="B103" s="7">
        <v>487016.53870198876</v>
      </c>
      <c r="C103" s="7">
        <v>487579.88705500215</v>
      </c>
      <c r="D103" s="7">
        <v>181.55154326604315</v>
      </c>
      <c r="E103" s="8">
        <v>1461.049616106</v>
      </c>
      <c r="F103">
        <v>1.646879957347985E+17</v>
      </c>
      <c r="G103">
        <v>2</v>
      </c>
      <c r="H103">
        <v>3.7215212833517343E-4</v>
      </c>
      <c r="I103">
        <v>2687.0731721285883</v>
      </c>
      <c r="J103">
        <v>268</v>
      </c>
      <c r="K103">
        <f t="shared" si="18"/>
        <v>3.7215212833517307E+22</v>
      </c>
      <c r="L103">
        <f t="shared" si="19"/>
        <v>3.7215212833517381E-30</v>
      </c>
      <c r="M103">
        <f t="shared" si="32"/>
        <v>51.836986526312707</v>
      </c>
      <c r="N103">
        <f t="shared" si="20"/>
        <v>0.54465462979812951</v>
      </c>
      <c r="O103" s="2">
        <f t="shared" si="21"/>
        <v>3.1475874300994713E-4</v>
      </c>
      <c r="P103" s="2">
        <f t="shared" si="33"/>
        <v>6.2573704427179688E-2</v>
      </c>
      <c r="Q103">
        <f t="shared" si="22"/>
        <v>1.7142011338251945E-4</v>
      </c>
      <c r="R103">
        <f t="shared" si="31"/>
        <v>1.8970978575649874E-2</v>
      </c>
      <c r="S103">
        <f t="shared" si="34"/>
        <v>0.93622756671797325</v>
      </c>
      <c r="T103">
        <f t="shared" si="24"/>
        <v>1.8599128403224974E-2</v>
      </c>
      <c r="U103">
        <f t="shared" si="25"/>
        <v>-1.3880144075387624E-2</v>
      </c>
      <c r="V103">
        <f t="shared" si="26"/>
        <v>1.9722397118492248</v>
      </c>
      <c r="W103">
        <f t="shared" si="35"/>
        <v>1.0681163806205649</v>
      </c>
      <c r="X103">
        <f t="shared" si="28"/>
        <v>1.8599128403224974E-2</v>
      </c>
      <c r="Y103">
        <f t="shared" si="29"/>
        <v>5.3290771368269985E-2</v>
      </c>
      <c r="Z103">
        <f t="shared" si="30"/>
        <v>2.10658154273654</v>
      </c>
    </row>
    <row r="104" spans="1:31" x14ac:dyDescent="0.25">
      <c r="A104" s="6">
        <v>44689.333425925928</v>
      </c>
      <c r="B104" s="7">
        <v>1432963.81691847</v>
      </c>
      <c r="C104" s="7">
        <v>1456432.3636879995</v>
      </c>
      <c r="D104" s="7">
        <v>547.19096865812025</v>
      </c>
      <c r="E104" s="8">
        <v>4298.8914507553854</v>
      </c>
      <c r="F104">
        <v>1.646879957347985E+17</v>
      </c>
      <c r="G104">
        <v>2</v>
      </c>
      <c r="H104">
        <v>3.861403378455929E-4</v>
      </c>
      <c r="I104">
        <v>2589.7320274264457</v>
      </c>
      <c r="J104">
        <v>269</v>
      </c>
      <c r="K104">
        <f t="shared" si="18"/>
        <v>3.8614033784559249E+22</v>
      </c>
      <c r="L104">
        <f t="shared" si="19"/>
        <v>3.8614033784559332E-30</v>
      </c>
      <c r="M104">
        <f t="shared" si="32"/>
        <v>50.889409776759678</v>
      </c>
      <c r="N104">
        <f t="shared" si="20"/>
        <v>1.6415729059743609</v>
      </c>
      <c r="O104" s="2">
        <f t="shared" si="21"/>
        <v>3.0900497361512774E-4</v>
      </c>
      <c r="P104" s="2">
        <f t="shared" si="33"/>
        <v>0.18514778026173934</v>
      </c>
      <c r="Q104">
        <f t="shared" si="22"/>
        <v>5.0712558258017982E-4</v>
      </c>
      <c r="R104">
        <f t="shared" si="31"/>
        <v>1.9478104158230054E-2</v>
      </c>
      <c r="S104">
        <f t="shared" si="34"/>
        <v>0.97141787292760584</v>
      </c>
      <c r="T104">
        <f t="shared" si="24"/>
        <v>1.9561867502562613E-2</v>
      </c>
      <c r="U104">
        <f t="shared" si="25"/>
        <v>4.9912440749997344E-3</v>
      </c>
      <c r="V104">
        <f t="shared" si="26"/>
        <v>2.0099824881499995</v>
      </c>
      <c r="W104">
        <f t="shared" si="35"/>
        <v>1.0294231019100513</v>
      </c>
      <c r="X104">
        <f t="shared" si="28"/>
        <v>1.9561867502562391E-2</v>
      </c>
      <c r="Y104">
        <f t="shared" si="29"/>
        <v>3.4561203868127555E-2</v>
      </c>
      <c r="Z104">
        <f t="shared" si="30"/>
        <v>2.0691224077362551</v>
      </c>
    </row>
    <row r="105" spans="1:31" x14ac:dyDescent="0.25">
      <c r="A105" s="6">
        <v>44690.333344907405</v>
      </c>
      <c r="B105" s="7">
        <v>824059.43493588269</v>
      </c>
      <c r="C105" s="7">
        <v>828164.84818899632</v>
      </c>
      <c r="D105" s="7">
        <v>332.91481460302384</v>
      </c>
      <c r="E105" s="8">
        <v>2472.1783048076613</v>
      </c>
      <c r="F105">
        <v>1.646879957347985E+17</v>
      </c>
      <c r="G105">
        <v>2</v>
      </c>
      <c r="H105">
        <v>4.1509078617719985E-4</v>
      </c>
      <c r="I105">
        <v>2409.1115324663115</v>
      </c>
      <c r="J105">
        <v>270</v>
      </c>
      <c r="K105">
        <f t="shared" si="18"/>
        <v>4.1509078617719948E+22</v>
      </c>
      <c r="L105">
        <f t="shared" si="19"/>
        <v>4.1509078617720025E-30</v>
      </c>
      <c r="M105">
        <f t="shared" si="32"/>
        <v>49.082700949181607</v>
      </c>
      <c r="N105">
        <f t="shared" si="20"/>
        <v>0.99874444380907157</v>
      </c>
      <c r="O105" s="2">
        <f t="shared" si="21"/>
        <v>2.9803447865271737E-4</v>
      </c>
      <c r="P105" s="2">
        <f t="shared" si="33"/>
        <v>0.10864600206054621</v>
      </c>
      <c r="Q105">
        <f t="shared" si="22"/>
        <v>2.976159875859318E-4</v>
      </c>
      <c r="R105">
        <f t="shared" si="31"/>
        <v>1.9775720145815984E-2</v>
      </c>
      <c r="S105">
        <f t="shared" si="34"/>
        <v>1.0442488625504402</v>
      </c>
      <c r="T105">
        <f t="shared" si="24"/>
        <v>1.9733583601832638E-2</v>
      </c>
      <c r="U105">
        <f t="shared" si="25"/>
        <v>4.2294609191265486E-2</v>
      </c>
      <c r="V105">
        <f t="shared" si="26"/>
        <v>2.084589218382531</v>
      </c>
      <c r="W105">
        <f t="shared" si="35"/>
        <v>0.95762613287184406</v>
      </c>
      <c r="X105">
        <f t="shared" si="28"/>
        <v>1.973358360183286E-2</v>
      </c>
      <c r="Y105">
        <f t="shared" si="29"/>
        <v>-1.8714440869983529E-3</v>
      </c>
      <c r="Z105">
        <f t="shared" si="30"/>
        <v>1.9962571118260033</v>
      </c>
    </row>
    <row r="106" spans="1:31" s="16" customFormat="1" x14ac:dyDescent="0.25">
      <c r="A106" s="10">
        <v>44691.333379629628</v>
      </c>
      <c r="B106" s="11">
        <v>149478217.59363872</v>
      </c>
      <c r="C106" s="11">
        <v>181737497.38258398</v>
      </c>
      <c r="D106" s="11">
        <v>64608.902476637209</v>
      </c>
      <c r="E106" s="12">
        <v>448434.65278091619</v>
      </c>
      <c r="F106" s="13">
        <v>4.0565201233713549E+17</v>
      </c>
      <c r="G106" s="13">
        <v>9</v>
      </c>
      <c r="H106" s="13">
        <v>3.8245131071107239E-4</v>
      </c>
      <c r="I106" s="13">
        <v>2614.7119175529833</v>
      </c>
      <c r="J106" s="13">
        <v>271</v>
      </c>
      <c r="K106" s="13">
        <f t="shared" si="18"/>
        <v>3.8245131071107201E+22</v>
      </c>
      <c r="L106" s="13">
        <f t="shared" si="19"/>
        <v>3.8245131071107279E-30</v>
      </c>
      <c r="M106" s="13">
        <f>1/(SQRT(H106)-SQRT(L106))</f>
        <v>51.134253857404694</v>
      </c>
      <c r="N106" s="13">
        <f>D106*0.003</f>
        <v>193.82670742991164</v>
      </c>
      <c r="O106" s="14">
        <f t="shared" si="21"/>
        <v>1.2605448093995218E-4</v>
      </c>
      <c r="P106" s="15">
        <f>O106*N106*365</f>
        <v>8.9179446240427822</v>
      </c>
      <c r="Q106" s="13">
        <f t="shared" si="22"/>
        <v>2.41390203595158E-2</v>
      </c>
      <c r="R106" s="13">
        <f t="shared" si="31"/>
        <v>4.3914740505331784E-2</v>
      </c>
      <c r="S106" s="16">
        <f t="shared" si="34"/>
        <v>0.96213734317984057</v>
      </c>
      <c r="T106" s="13">
        <f t="shared" si="24"/>
        <v>4.4698707524849279E-2</v>
      </c>
      <c r="U106" s="13">
        <f t="shared" si="25"/>
        <v>2.4921173203110492E-2</v>
      </c>
      <c r="V106" s="13">
        <f t="shared" si="26"/>
        <v>2.049842346406221</v>
      </c>
      <c r="W106" s="16">
        <f t="shared" si="35"/>
        <v>1.0393526528084069</v>
      </c>
      <c r="X106" s="13">
        <f t="shared" si="28"/>
        <v>4.4698707524849279E-2</v>
      </c>
      <c r="Y106" s="13">
        <f t="shared" si="29"/>
        <v>6.5254540288157692E-2</v>
      </c>
      <c r="Z106" s="13">
        <f t="shared" si="30"/>
        <v>2.1305090805763154</v>
      </c>
      <c r="AA106" s="13"/>
      <c r="AB106" s="13"/>
      <c r="AC106" s="13"/>
      <c r="AD106" s="13"/>
      <c r="AE106" s="13"/>
    </row>
    <row r="107" spans="1:31" x14ac:dyDescent="0.25">
      <c r="A107" s="6">
        <v>44692.333391203705</v>
      </c>
      <c r="B107" s="7">
        <v>105455573.12491754</v>
      </c>
      <c r="C107" s="7">
        <v>160987188.12570304</v>
      </c>
      <c r="D107" s="7">
        <v>44625.071991374774</v>
      </c>
      <c r="E107" s="8">
        <v>316366.71937475249</v>
      </c>
      <c r="F107">
        <v>5.746834655171356E+16</v>
      </c>
      <c r="G107">
        <v>8</v>
      </c>
      <c r="H107">
        <v>1.8037516473773724E-4</v>
      </c>
      <c r="I107">
        <v>5544.0004806314928</v>
      </c>
      <c r="J107">
        <v>272</v>
      </c>
      <c r="K107">
        <f t="shared" si="18"/>
        <v>1.8037516473773706E+22</v>
      </c>
      <c r="L107">
        <f t="shared" si="19"/>
        <v>1.8037516473773742E-30</v>
      </c>
      <c r="M107">
        <f t="shared" si="32"/>
        <v>74.458045103484963</v>
      </c>
      <c r="N107">
        <f>D107*0.003</f>
        <v>133.87521597412433</v>
      </c>
      <c r="O107" s="2">
        <f t="shared" si="21"/>
        <v>1.2956357642286266E-3</v>
      </c>
      <c r="P107" s="2">
        <f t="shared" si="33"/>
        <v>63.310533982366067</v>
      </c>
      <c r="Q107">
        <f t="shared" si="22"/>
        <v>0.15995112560532276</v>
      </c>
      <c r="R107">
        <f t="shared" si="31"/>
        <v>0.20386586611065455</v>
      </c>
      <c r="S107">
        <f t="shared" si="34"/>
        <v>0.45377196238059131</v>
      </c>
      <c r="T107">
        <f t="shared" si="24"/>
        <v>0.13629306663305663</v>
      </c>
      <c r="U107">
        <f t="shared" si="25"/>
        <v>-0.17404449934070054</v>
      </c>
      <c r="V107">
        <f t="shared" si="26"/>
        <v>1.6519110013185989</v>
      </c>
      <c r="W107">
        <f t="shared" si="35"/>
        <v>2.2037500835304407</v>
      </c>
      <c r="X107">
        <f t="shared" si="28"/>
        <v>0.13629306663305685</v>
      </c>
      <c r="Y107">
        <f t="shared" si="29"/>
        <v>0.8201995035703582</v>
      </c>
      <c r="Z107">
        <f t="shared" si="30"/>
        <v>3.6403990071407164</v>
      </c>
    </row>
    <row r="108" spans="1:31" x14ac:dyDescent="0.25">
      <c r="A108" s="6">
        <v>44693.333414351851</v>
      </c>
      <c r="B108" s="7">
        <v>118540904.94926363</v>
      </c>
      <c r="C108" s="7">
        <v>194310079.11327803</v>
      </c>
      <c r="D108" s="7">
        <v>55395.223170267564</v>
      </c>
      <c r="E108" s="8">
        <v>355622.71484779101</v>
      </c>
      <c r="F108">
        <v>2.5317402149576392E+16</v>
      </c>
      <c r="G108">
        <v>7</v>
      </c>
      <c r="H108">
        <v>3.0344880739908314E-4</v>
      </c>
      <c r="I108">
        <v>3295.4487729617008</v>
      </c>
      <c r="J108">
        <v>273</v>
      </c>
      <c r="K108">
        <f t="shared" si="18"/>
        <v>3.0344880739908286E+22</v>
      </c>
      <c r="L108">
        <f t="shared" si="19"/>
        <v>3.0344880739908344E-30</v>
      </c>
      <c r="M108">
        <f t="shared" si="32"/>
        <v>57.405999450949025</v>
      </c>
      <c r="N108">
        <f t="shared" si="20"/>
        <v>166.18566951080268</v>
      </c>
      <c r="O108" s="2">
        <f t="shared" si="21"/>
        <v>2.2674522098196214E-3</v>
      </c>
      <c r="P108" s="2">
        <f t="shared" si="33"/>
        <v>137.53859320400733</v>
      </c>
      <c r="Q108">
        <f t="shared" si="22"/>
        <v>0.31977508579762076</v>
      </c>
      <c r="R108">
        <f t="shared" si="31"/>
        <v>0.52364095190827531</v>
      </c>
      <c r="S108">
        <f t="shared" si="34"/>
        <v>0.76338979934261331</v>
      </c>
      <c r="T108">
        <f t="shared" si="24"/>
        <v>0.67289708189996511</v>
      </c>
      <c r="U108">
        <f t="shared" si="25"/>
        <v>0.4749848247862114</v>
      </c>
      <c r="V108">
        <f t="shared" si="26"/>
        <v>2.9499696495724228</v>
      </c>
      <c r="W108">
        <f>I108/$I$2</f>
        <v>1.3099467675113574</v>
      </c>
      <c r="X108">
        <f t="shared" si="28"/>
        <v>0.67289708189996533</v>
      </c>
      <c r="Y108">
        <f t="shared" si="29"/>
        <v>0.93215160335700387</v>
      </c>
      <c r="Z108">
        <f t="shared" si="30"/>
        <v>3.8643032067140077</v>
      </c>
    </row>
    <row r="109" spans="1:31" x14ac:dyDescent="0.25">
      <c r="A109" s="6">
        <v>44694.333553240744</v>
      </c>
      <c r="B109" s="7">
        <v>47560492.246640027</v>
      </c>
      <c r="C109" s="7">
        <v>98847948.634520888</v>
      </c>
      <c r="D109" s="7">
        <v>24397.648616260674</v>
      </c>
      <c r="E109" s="8">
        <v>142681.47673992021</v>
      </c>
      <c r="F109">
        <v>5768470748781435</v>
      </c>
      <c r="G109">
        <v>5</v>
      </c>
      <c r="H109">
        <v>4.5874407274162429E-5</v>
      </c>
      <c r="I109">
        <v>21798.646771033575</v>
      </c>
      <c r="J109">
        <v>274</v>
      </c>
      <c r="K109">
        <f t="shared" si="18"/>
        <v>4.5874407274162385E+21</v>
      </c>
      <c r="L109">
        <f t="shared" si="19"/>
        <v>4.587440727416247E-31</v>
      </c>
      <c r="M109">
        <f>1/(SQRT(H109)-SQRT(L109))</f>
        <v>147.64364791970542</v>
      </c>
      <c r="N109">
        <f t="shared" si="20"/>
        <v>73.192945848782031</v>
      </c>
      <c r="O109" s="2">
        <f t="shared" si="21"/>
        <v>2.5594937436563152E-2</v>
      </c>
      <c r="P109" s="2">
        <f>O109*N109*365</f>
        <v>683.77963747602575</v>
      </c>
      <c r="Q109">
        <f>LN(1+P109/365)</f>
        <v>1.0554851636098983</v>
      </c>
      <c r="R109">
        <f t="shared" si="31"/>
        <v>1.5791261155181737</v>
      </c>
      <c r="S109">
        <f t="shared" si="34"/>
        <v>0.11540679584193346</v>
      </c>
      <c r="T109">
        <f>2*SQRT(S109)*EXP(R109)/(1+S109)-1</f>
        <v>1.9547324336934575</v>
      </c>
      <c r="U109">
        <f t="shared" si="25"/>
        <v>0.64786431821812873</v>
      </c>
      <c r="V109">
        <f t="shared" si="26"/>
        <v>3.2957286364362575</v>
      </c>
      <c r="W109">
        <f t="shared" si="35"/>
        <v>8.6650009880669998</v>
      </c>
      <c r="X109">
        <f t="shared" si="28"/>
        <v>1.9547324336934575</v>
      </c>
      <c r="Y109">
        <f t="shared" si="29"/>
        <v>13.27874594556044</v>
      </c>
      <c r="Z109">
        <f t="shared" si="30"/>
        <v>28.557491891120879</v>
      </c>
    </row>
    <row r="110" spans="1:31" x14ac:dyDescent="0.25">
      <c r="A110" s="6">
        <v>44695.333657407406</v>
      </c>
      <c r="B110" s="7">
        <v>6413161.1527258754</v>
      </c>
      <c r="C110" s="7">
        <v>41993404.818373084</v>
      </c>
      <c r="D110" s="7">
        <v>3115.3213666399242</v>
      </c>
      <c r="E110" s="8">
        <v>19239.483458177652</v>
      </c>
      <c r="F110">
        <v>1.2722797749480748E+16</v>
      </c>
      <c r="G110">
        <v>4</v>
      </c>
      <c r="H110">
        <v>8.2308810695017883E-5</v>
      </c>
      <c r="I110">
        <v>12149.36762608975</v>
      </c>
      <c r="J110">
        <v>275</v>
      </c>
      <c r="K110">
        <f t="shared" si="18"/>
        <v>8.2308810695017801E+21</v>
      </c>
      <c r="L110">
        <f t="shared" si="19"/>
        <v>8.2308810695017965E-31</v>
      </c>
      <c r="M110">
        <f t="shared" si="32"/>
        <v>110.22416988161979</v>
      </c>
      <c r="N110">
        <f t="shared" si="20"/>
        <v>9.3459640999197724</v>
      </c>
      <c r="O110" s="2">
        <f t="shared" si="21"/>
        <v>8.6635166299109286E-3</v>
      </c>
      <c r="P110" s="2">
        <f t="shared" si="33"/>
        <v>29.553654121804996</v>
      </c>
      <c r="Q110">
        <f t="shared" si="22"/>
        <v>7.7857782834010889E-2</v>
      </c>
      <c r="R110">
        <f t="shared" si="31"/>
        <v>1.6569838983521845</v>
      </c>
      <c r="S110">
        <f t="shared" si="34"/>
        <v>0.20706526092212513</v>
      </c>
      <c r="T110">
        <f t="shared" si="24"/>
        <v>2.9534097600367093</v>
      </c>
      <c r="U110">
        <f t="shared" si="25"/>
        <v>1.3860117917653931</v>
      </c>
      <c r="V110">
        <f t="shared" si="26"/>
        <v>4.7720235835307863</v>
      </c>
      <c r="W110">
        <f t="shared" si="35"/>
        <v>4.8293953101872003</v>
      </c>
      <c r="X110">
        <f t="shared" si="28"/>
        <v>2.9534097600367093</v>
      </c>
      <c r="Y110">
        <f t="shared" si="29"/>
        <v>10.522994157203149</v>
      </c>
      <c r="Z110">
        <f t="shared" si="30"/>
        <v>23.045988314406298</v>
      </c>
    </row>
    <row r="111" spans="1:31" x14ac:dyDescent="0.25">
      <c r="A111" s="6">
        <v>44696.333425925928</v>
      </c>
      <c r="B111" s="7">
        <v>2765043.3636850119</v>
      </c>
      <c r="C111" s="7">
        <v>15157591.493623018</v>
      </c>
      <c r="D111" s="7">
        <v>1370.8799907719076</v>
      </c>
      <c r="E111" s="8">
        <v>8295.1300910548307</v>
      </c>
      <c r="F111">
        <v>1.3354509309268052E+16</v>
      </c>
      <c r="G111">
        <v>5</v>
      </c>
      <c r="H111">
        <v>8.5411120411523132E-5</v>
      </c>
      <c r="I111">
        <v>11708.077299324203</v>
      </c>
      <c r="J111">
        <v>276</v>
      </c>
      <c r="K111">
        <f t="shared" si="18"/>
        <v>8.5411120411523049E+21</v>
      </c>
      <c r="L111">
        <f t="shared" si="19"/>
        <v>8.5411120411523216E-31</v>
      </c>
      <c r="M111">
        <f t="shared" si="32"/>
        <v>108.20386915136882</v>
      </c>
      <c r="N111">
        <f t="shared" si="20"/>
        <v>4.1126399723157228</v>
      </c>
      <c r="O111" s="2">
        <f t="shared" si="21"/>
        <v>8.1024219344603809E-3</v>
      </c>
      <c r="P111" s="2">
        <f t="shared" si="33"/>
        <v>12.162655676883746</v>
      </c>
      <c r="Q111">
        <f>LN(1+P111/365)</f>
        <v>3.2779188237633719E-2</v>
      </c>
      <c r="R111">
        <f>Q111+R110</f>
        <v>1.6897630865898183</v>
      </c>
      <c r="S111">
        <f t="shared" si="34"/>
        <v>0.2148697786339609</v>
      </c>
      <c r="T111">
        <f>2*SQRT(S111)*EXP(R111)/(1+S111)-1</f>
        <v>3.1346877702554261</v>
      </c>
      <c r="U111">
        <f t="shared" si="25"/>
        <v>1.5115536080853773</v>
      </c>
      <c r="V111">
        <f t="shared" si="26"/>
        <v>5.0231072161707546</v>
      </c>
      <c r="W111">
        <f t="shared" si="35"/>
        <v>4.6539816178781441</v>
      </c>
      <c r="X111">
        <f>2*SQRT(W111)*EXP(R111)/(1+W111)-1</f>
        <v>3.1346877702554261</v>
      </c>
      <c r="Y111">
        <f t="shared" si="29"/>
        <v>10.688724324344875</v>
      </c>
      <c r="Z111">
        <f>2*1*SQRT(W111)*EXP(R111)</f>
        <v>23.37744864868975</v>
      </c>
    </row>
    <row r="112" spans="1:31" s="16" customFormat="1" x14ac:dyDescent="0.25">
      <c r="A112" s="10">
        <v>44697.333460648151</v>
      </c>
      <c r="B112" s="11">
        <v>2042545.1784585714</v>
      </c>
      <c r="C112" s="11">
        <v>9126269.2537620068</v>
      </c>
      <c r="D112" s="11">
        <v>985.9740764175076</v>
      </c>
      <c r="E112" s="17">
        <v>6127.6355353759136</v>
      </c>
      <c r="F112" s="13">
        <v>3531650989637616</v>
      </c>
      <c r="G112" s="13">
        <v>5</v>
      </c>
      <c r="H112" s="13">
        <v>4.1704629862503841E-5</v>
      </c>
      <c r="I112" s="13">
        <v>23978.153104269331</v>
      </c>
      <c r="J112" s="13">
        <v>277</v>
      </c>
      <c r="K112" s="13">
        <f t="shared" si="18"/>
        <v>4.1704629862503799E+21</v>
      </c>
      <c r="L112" s="13">
        <f t="shared" si="19"/>
        <v>4.1704629862503881E-31</v>
      </c>
      <c r="M112" s="13">
        <f t="shared" si="32"/>
        <v>154.84880724201312</v>
      </c>
      <c r="N112" s="13">
        <f t="shared" si="20"/>
        <v>2.9579222292525227</v>
      </c>
      <c r="O112" s="14">
        <f t="shared" si="21"/>
        <v>4.3846010745784994E-2</v>
      </c>
      <c r="P112" s="15">
        <f t="shared" si="33"/>
        <v>47.33797779488588</v>
      </c>
      <c r="Q112" s="13">
        <f t="shared" si="22"/>
        <v>0.12194599393023477</v>
      </c>
      <c r="R112" s="13">
        <f>Q112+R111</f>
        <v>1.8117090805200531</v>
      </c>
      <c r="S112" s="16">
        <f t="shared" si="34"/>
        <v>0.10491683686376867</v>
      </c>
      <c r="T112" s="13">
        <f>2*SQRT(S112)*EXP(R112)/(1+S112)-1</f>
        <v>2.5887090920314293</v>
      </c>
      <c r="U112" s="13">
        <f t="shared" si="25"/>
        <v>0.98261254919580709</v>
      </c>
      <c r="V112" s="13">
        <f>2*1*SQRT(S112)*EXP(R112)</f>
        <v>3.9652250983916142</v>
      </c>
      <c r="W112" s="16">
        <f>I112/$I$2</f>
        <v>9.5313586445469145</v>
      </c>
      <c r="X112" s="16">
        <f>2*SQRT(W112)*EXP(R112)/(1+W112)-1</f>
        <v>2.5887090920314297</v>
      </c>
      <c r="Y112" s="13">
        <f t="shared" si="29"/>
        <v>17.896991259564654</v>
      </c>
      <c r="Z112" s="13">
        <f>2*1*SQRT(W112)*EXP(R112)</f>
        <v>37.793982519129308</v>
      </c>
      <c r="AA112" s="13"/>
      <c r="AB112" s="13"/>
      <c r="AC112" s="13"/>
      <c r="AD112" s="13"/>
      <c r="AE112" s="13"/>
    </row>
    <row r="113" spans="15:31" x14ac:dyDescent="0.25">
      <c r="O113" s="2"/>
      <c r="P113" s="2"/>
    </row>
    <row r="114" spans="15:31" x14ac:dyDescent="0.25">
      <c r="O114" s="2"/>
      <c r="P114" s="2"/>
    </row>
    <row r="115" spans="15:31" x14ac:dyDescent="0.25">
      <c r="O115" s="2"/>
      <c r="P115" s="2"/>
      <c r="AD115">
        <f>0.000516</f>
        <v>5.1599999999999997E-4</v>
      </c>
      <c r="AE115">
        <v>2.7929999999999999E-3</v>
      </c>
    </row>
    <row r="116" spans="15:31" x14ac:dyDescent="0.25">
      <c r="O116" s="2"/>
      <c r="P116" s="2"/>
      <c r="AD116">
        <f>POWER(1+AD115,365)</f>
        <v>1.2071852680458923</v>
      </c>
      <c r="AE116">
        <f>POWER(1+AE115,365)</f>
        <v>2.767720314947498</v>
      </c>
    </row>
    <row r="117" spans="15:31" x14ac:dyDescent="0.25">
      <c r="O117" s="2"/>
      <c r="P117" s="2"/>
    </row>
    <row r="118" spans="15:31" x14ac:dyDescent="0.25">
      <c r="O118" s="2"/>
      <c r="P118" s="2"/>
      <c r="Z118">
        <f>V112*S112</f>
        <v>0.41601887477607402</v>
      </c>
    </row>
    <row r="119" spans="15:31" x14ac:dyDescent="0.25">
      <c r="O119" s="2"/>
      <c r="P119" s="2"/>
    </row>
    <row r="120" spans="15:31" x14ac:dyDescent="0.25">
      <c r="O120" s="2"/>
      <c r="P120" s="2"/>
      <c r="AA120" t="s">
        <v>58</v>
      </c>
      <c r="AB120" t="s">
        <v>59</v>
      </c>
    </row>
    <row r="121" spans="15:31" x14ac:dyDescent="0.25">
      <c r="O121" s="2"/>
      <c r="P121" s="2"/>
      <c r="Z121">
        <f>1*EXP(R112)</f>
        <v>6.1208996081667904</v>
      </c>
      <c r="AA121">
        <f>Z121*SQRT(S112)</f>
        <v>1.9826125491958071</v>
      </c>
      <c r="AB121">
        <f>Z121/SQRT(S112)</f>
        <v>18.896991259564654</v>
      </c>
      <c r="AC121">
        <f>AA121/AB121</f>
        <v>0.10491683686376867</v>
      </c>
      <c r="AD121">
        <f>1/AC121</f>
        <v>9.5313586445469163</v>
      </c>
      <c r="AE121">
        <f>AB121*AC121+AA121</f>
        <v>3.9652250983916142</v>
      </c>
    </row>
    <row r="122" spans="15:31" x14ac:dyDescent="0.25">
      <c r="O122" s="2"/>
      <c r="P122" s="2"/>
      <c r="Z122">
        <v>1</v>
      </c>
      <c r="AA122">
        <v>1</v>
      </c>
      <c r="AB122">
        <v>1</v>
      </c>
    </row>
    <row r="123" spans="15:31" x14ac:dyDescent="0.25">
      <c r="O123" s="2"/>
      <c r="P123" s="2"/>
      <c r="AA123">
        <v>3.9750178435760542E-4</v>
      </c>
      <c r="AB123">
        <v>1</v>
      </c>
      <c r="AC123">
        <f>AA123*2500</f>
        <v>0.99375446089401354</v>
      </c>
      <c r="AD123">
        <v>1</v>
      </c>
      <c r="AE123">
        <f>AC123+AD123</f>
        <v>1.9937544608940136</v>
      </c>
    </row>
    <row r="124" spans="15:31" x14ac:dyDescent="0.25">
      <c r="O124" s="2"/>
      <c r="P124" s="2"/>
      <c r="AA124">
        <f>AA123*AA121</f>
        <v>7.8809202599511405E-4</v>
      </c>
      <c r="AB124">
        <f>AB123*AB121</f>
        <v>18.896991259564654</v>
      </c>
      <c r="AC124">
        <f>AA124*2500</f>
        <v>1.9702300649877851</v>
      </c>
      <c r="AD124">
        <f>AB124*0.02</f>
        <v>0.3779398251912931</v>
      </c>
      <c r="AE124">
        <f>AC124+AD124</f>
        <v>2.3481698901790784</v>
      </c>
    </row>
    <row r="125" spans="15:31" x14ac:dyDescent="0.25">
      <c r="O125" s="2"/>
      <c r="P125" s="2"/>
      <c r="AB125">
        <f>AB124/AA124</f>
        <v>23978.153104269335</v>
      </c>
      <c r="AD125">
        <f>AA124*2</f>
        <v>1.5761840519902281E-3</v>
      </c>
      <c r="AE125">
        <f>AD125*AB125</f>
        <v>37.793982519129308</v>
      </c>
    </row>
    <row r="126" spans="15:31" x14ac:dyDescent="0.25">
      <c r="O126" s="2"/>
      <c r="P126" s="2"/>
    </row>
    <row r="127" spans="15:31" x14ac:dyDescent="0.25">
      <c r="AA127">
        <f>AA123</f>
        <v>3.9750178435760542E-4</v>
      </c>
      <c r="AB127">
        <v>1</v>
      </c>
    </row>
    <row r="128" spans="15:31" x14ac:dyDescent="0.25">
      <c r="AA128">
        <f>AA127*AB125</f>
        <v>9.5313586445469163</v>
      </c>
      <c r="AB128">
        <f>AA128+AB127</f>
        <v>10.531358644546916</v>
      </c>
    </row>
    <row r="129" spans="28:28" x14ac:dyDescent="0.25">
      <c r="AB129">
        <f>AB128*0.02</f>
        <v>0.21062717289093832</v>
      </c>
    </row>
    <row r="130" spans="28:28" x14ac:dyDescent="0.25">
      <c r="AB130">
        <f>AF125/AB129-1</f>
        <v>-1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128"/>
  <sheetViews>
    <sheetView workbookViewId="0">
      <selection activeCell="T19" sqref="T19:U21"/>
    </sheetView>
  </sheetViews>
  <sheetFormatPr defaultRowHeight="15" x14ac:dyDescent="0.25"/>
  <cols>
    <col min="1" max="1" width="13.8554687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T1" t="s">
        <v>16</v>
      </c>
      <c r="U1" t="s">
        <v>82</v>
      </c>
    </row>
    <row r="2" spans="1:23" x14ac:dyDescent="0.25">
      <c r="A2" s="1">
        <v>44585.333923611113</v>
      </c>
      <c r="B2">
        <v>839103.92187967896</v>
      </c>
      <c r="C2">
        <v>355.55256428928988</v>
      </c>
      <c r="D2">
        <v>12981.849226335995</v>
      </c>
      <c r="E2">
        <v>8391.0392187968828</v>
      </c>
      <c r="F2">
        <v>2.040575404578271E+22</v>
      </c>
      <c r="G2">
        <v>41</v>
      </c>
      <c r="H2">
        <v>36.551421120839557</v>
      </c>
      <c r="I2" s="18">
        <v>2.7358717372273564E-2</v>
      </c>
      <c r="J2">
        <v>265</v>
      </c>
      <c r="K2">
        <f t="shared" ref="K2:K16" si="0">(1+$U$16)*H2</f>
        <v>3655142.1120839557</v>
      </c>
      <c r="L2">
        <f t="shared" ref="L2:L16" si="1">H2/(1+$U$16)</f>
        <v>3.6551421120839555E-4</v>
      </c>
      <c r="M2">
        <f>1/(SQRT(H2)-SQRT(L2))</f>
        <v>0.16592942273652081</v>
      </c>
      <c r="N2">
        <f t="shared" ref="N2:N16" si="2">D2*0.003</f>
        <v>38.945547679007987</v>
      </c>
      <c r="O2" s="2">
        <f>M2/(F2/POWER(10,$U$21))</f>
        <v>8.1315016521437352E-6</v>
      </c>
      <c r="P2" s="2">
        <f t="shared" ref="P2:P16" si="3">O2*N2*365</f>
        <v>0.11559031163285606</v>
      </c>
      <c r="S2" s="3"/>
      <c r="T2" t="s">
        <v>19</v>
      </c>
      <c r="U2">
        <v>264</v>
      </c>
    </row>
    <row r="3" spans="1:23" x14ac:dyDescent="0.25">
      <c r="A3" s="1">
        <v>44586.33357638889</v>
      </c>
      <c r="B3">
        <v>1511038.6137990355</v>
      </c>
      <c r="C3">
        <v>660.17849321984977</v>
      </c>
      <c r="D3">
        <v>23586.951445544139</v>
      </c>
      <c r="E3">
        <v>15110.386137990281</v>
      </c>
      <c r="F3">
        <v>2.3932458047432435E+22</v>
      </c>
      <c r="G3">
        <v>40</v>
      </c>
      <c r="H3">
        <v>37.181793225672777</v>
      </c>
      <c r="I3">
        <v>2.6894883577307769E-2</v>
      </c>
      <c r="J3">
        <v>266</v>
      </c>
      <c r="K3">
        <f t="shared" si="0"/>
        <v>3718179.3225672776</v>
      </c>
      <c r="L3">
        <f t="shared" si="1"/>
        <v>3.718179322567278E-4</v>
      </c>
      <c r="M3">
        <f>1/(SQRT(H3)-SQRT(L3))</f>
        <v>0.16451684417802337</v>
      </c>
      <c r="N3">
        <f t="shared" si="2"/>
        <v>70.76085433663242</v>
      </c>
      <c r="O3" s="2">
        <f t="shared" ref="O3:O16" si="4">M3/(F3/POWER(10,$U$21))</f>
        <v>6.874214251288465E-6</v>
      </c>
      <c r="P3" s="2">
        <f t="shared" si="3"/>
        <v>0.17754522475969239</v>
      </c>
      <c r="S3" s="3"/>
      <c r="T3" t="s">
        <v>20</v>
      </c>
      <c r="U3">
        <v>300</v>
      </c>
    </row>
    <row r="4" spans="1:23" x14ac:dyDescent="0.25">
      <c r="A4" s="1">
        <v>44587.333379629628</v>
      </c>
      <c r="B4">
        <v>727595.30116462708</v>
      </c>
      <c r="C4">
        <v>295.26507713088358</v>
      </c>
      <c r="D4">
        <v>11478.726975963451</v>
      </c>
      <c r="E4">
        <v>7275.9530116464011</v>
      </c>
      <c r="F4">
        <v>2.5004278223225917E+22</v>
      </c>
      <c r="G4">
        <v>38</v>
      </c>
      <c r="H4">
        <v>39.409870382264003</v>
      </c>
      <c r="I4">
        <v>2.5374353944844219E-2</v>
      </c>
      <c r="J4">
        <v>267</v>
      </c>
      <c r="K4">
        <f t="shared" si="0"/>
        <v>3940987.0382264005</v>
      </c>
      <c r="L4">
        <f t="shared" si="1"/>
        <v>3.9409870382264004E-4</v>
      </c>
      <c r="M4">
        <f t="shared" ref="M4:M16" si="5">1/(SQRT(H4)-SQRT(L4))</f>
        <v>0.15979862296988087</v>
      </c>
      <c r="N4">
        <f t="shared" si="2"/>
        <v>34.436180927890355</v>
      </c>
      <c r="O4" s="2">
        <f t="shared" si="4"/>
        <v>6.3908512592636047E-6</v>
      </c>
      <c r="P4" s="2">
        <f t="shared" si="3"/>
        <v>8.0327926240241654E-2</v>
      </c>
      <c r="T4" t="s">
        <v>21</v>
      </c>
      <c r="U4">
        <v>2</v>
      </c>
    </row>
    <row r="5" spans="1:23" x14ac:dyDescent="0.25">
      <c r="A5" s="1">
        <v>44588.333333333336</v>
      </c>
      <c r="B5">
        <v>1120085.5387278497</v>
      </c>
      <c r="C5">
        <v>442.62382636016991</v>
      </c>
      <c r="D5">
        <v>18232.683022853918</v>
      </c>
      <c r="E5">
        <v>11200.855387278367</v>
      </c>
      <c r="F5">
        <v>2.4872146574117828E+22</v>
      </c>
      <c r="G5">
        <v>39</v>
      </c>
      <c r="H5">
        <v>41.182528562283537</v>
      </c>
      <c r="I5">
        <v>2.4282141842932793E-2</v>
      </c>
      <c r="J5">
        <v>268</v>
      </c>
      <c r="K5">
        <f t="shared" si="0"/>
        <v>4118252.8562283535</v>
      </c>
      <c r="L5">
        <f t="shared" si="1"/>
        <v>4.1182528562283538E-4</v>
      </c>
      <c r="M5">
        <f t="shared" si="5"/>
        <v>0.15632161443713494</v>
      </c>
      <c r="N5">
        <f t="shared" si="2"/>
        <v>54.698049068561758</v>
      </c>
      <c r="O5" s="2">
        <f t="shared" si="4"/>
        <v>6.2850069643689119E-6</v>
      </c>
      <c r="P5" s="2">
        <f t="shared" si="3"/>
        <v>0.12547883105665564</v>
      </c>
      <c r="T5" t="s">
        <v>22</v>
      </c>
      <c r="U5" t="s">
        <v>23</v>
      </c>
    </row>
    <row r="6" spans="1:23" x14ac:dyDescent="0.25">
      <c r="A6" s="1">
        <v>44589.333344907405</v>
      </c>
      <c r="B6">
        <v>1506800.0475589931</v>
      </c>
      <c r="C6">
        <v>628.40211858444673</v>
      </c>
      <c r="D6">
        <v>28103.029792840593</v>
      </c>
      <c r="E6">
        <v>15068.000475590117</v>
      </c>
      <c r="F6">
        <v>1.4974146031152674E+22</v>
      </c>
      <c r="G6">
        <v>37</v>
      </c>
      <c r="H6">
        <v>48.901374915417897</v>
      </c>
      <c r="I6">
        <v>2.0449322779362476E-2</v>
      </c>
      <c r="J6">
        <v>269</v>
      </c>
      <c r="K6">
        <f t="shared" si="0"/>
        <v>4890137.4915417898</v>
      </c>
      <c r="L6">
        <f t="shared" si="1"/>
        <v>4.8901374915417896E-4</v>
      </c>
      <c r="M6">
        <f t="shared" si="5"/>
        <v>0.14345477241677401</v>
      </c>
      <c r="N6">
        <f t="shared" si="2"/>
        <v>84.309089378521776</v>
      </c>
      <c r="O6" s="2">
        <f t="shared" si="4"/>
        <v>9.5801638449582559E-6</v>
      </c>
      <c r="P6" s="2">
        <f t="shared" si="3"/>
        <v>0.29480863480089597</v>
      </c>
      <c r="T6" t="s">
        <v>24</v>
      </c>
      <c r="U6" t="s">
        <v>25</v>
      </c>
    </row>
    <row r="7" spans="1:23" x14ac:dyDescent="0.25">
      <c r="A7" s="1">
        <v>44590.333356481482</v>
      </c>
      <c r="B7">
        <v>589025.00948214531</v>
      </c>
      <c r="C7">
        <v>234.90903075582173</v>
      </c>
      <c r="D7">
        <v>11603.128998635337</v>
      </c>
      <c r="E7">
        <v>5890.250094821211</v>
      </c>
      <c r="F7">
        <v>1.50918651089597E+22</v>
      </c>
      <c r="G7">
        <v>37</v>
      </c>
      <c r="H7">
        <v>48.896485266891204</v>
      </c>
      <c r="I7">
        <v>2.0451367711640415E-2</v>
      </c>
      <c r="J7">
        <v>270</v>
      </c>
      <c r="K7">
        <f t="shared" si="0"/>
        <v>4889648.5266891206</v>
      </c>
      <c r="L7">
        <f t="shared" si="1"/>
        <v>4.8896485266891208E-4</v>
      </c>
      <c r="M7">
        <f t="shared" si="5"/>
        <v>0.14346194497608539</v>
      </c>
      <c r="N7">
        <f t="shared" si="2"/>
        <v>34.80938699590601</v>
      </c>
      <c r="O7" s="2">
        <f t="shared" si="4"/>
        <v>9.5059122209431396E-6</v>
      </c>
      <c r="P7" s="2">
        <f t="shared" si="3"/>
        <v>0.12077666669549159</v>
      </c>
      <c r="T7" t="s">
        <v>26</v>
      </c>
      <c r="U7" t="s">
        <v>27</v>
      </c>
      <c r="W7" s="4"/>
    </row>
    <row r="8" spans="1:23" x14ac:dyDescent="0.25">
      <c r="A8" s="1">
        <v>44591.333379629628</v>
      </c>
      <c r="B8">
        <v>403069.3938960433</v>
      </c>
      <c r="C8">
        <v>156.86783445361652</v>
      </c>
      <c r="D8">
        <v>7853.0380004364997</v>
      </c>
      <c r="E8">
        <v>4030.6939389607869</v>
      </c>
      <c r="F8">
        <v>1.1569105493814334E+22</v>
      </c>
      <c r="G8">
        <v>35</v>
      </c>
      <c r="H8">
        <v>52.368333607989591</v>
      </c>
      <c r="I8">
        <v>1.9095509272562278E-2</v>
      </c>
      <c r="J8">
        <v>271</v>
      </c>
      <c r="K8">
        <f t="shared" si="0"/>
        <v>5236833.3607989587</v>
      </c>
      <c r="L8">
        <f t="shared" si="1"/>
        <v>5.2368333607989595E-4</v>
      </c>
      <c r="M8">
        <f>1/(SQRT(H8)-SQRT(L8))</f>
        <v>0.1386248721103143</v>
      </c>
      <c r="N8">
        <f t="shared" si="2"/>
        <v>23.559114001309499</v>
      </c>
      <c r="O8" s="2">
        <f t="shared" si="4"/>
        <v>1.198233279007033E-5</v>
      </c>
      <c r="P8" s="2">
        <f t="shared" si="3"/>
        <v>0.10303699763405699</v>
      </c>
      <c r="T8" t="s">
        <v>29</v>
      </c>
      <c r="U8" t="s">
        <v>30</v>
      </c>
      <c r="W8" s="5"/>
    </row>
    <row r="9" spans="1:23" x14ac:dyDescent="0.25">
      <c r="A9" s="1">
        <v>44592.333611111113</v>
      </c>
      <c r="B9">
        <v>314865.61335965991</v>
      </c>
      <c r="C9">
        <v>122.46998746262398</v>
      </c>
      <c r="D9">
        <v>6714.5333562344313</v>
      </c>
      <c r="E9">
        <v>3148.6561335963197</v>
      </c>
      <c r="F9">
        <v>7.6201835199128236E+21</v>
      </c>
      <c r="G9">
        <v>31</v>
      </c>
      <c r="H9">
        <v>54.926707374659252</v>
      </c>
      <c r="I9">
        <v>1.8206079479312749E-2</v>
      </c>
      <c r="J9">
        <v>272</v>
      </c>
      <c r="K9">
        <f t="shared" si="0"/>
        <v>5492670.7374659255</v>
      </c>
      <c r="L9">
        <f t="shared" si="1"/>
        <v>5.4926707374659248E-4</v>
      </c>
      <c r="M9">
        <f t="shared" si="5"/>
        <v>0.13535794520668276</v>
      </c>
      <c r="N9">
        <f t="shared" si="2"/>
        <v>20.143600068703293</v>
      </c>
      <c r="O9" s="2">
        <f t="shared" si="4"/>
        <v>1.7763082063964686E-5</v>
      </c>
      <c r="P9" s="2">
        <f t="shared" si="3"/>
        <v>0.13060153369568236</v>
      </c>
      <c r="T9" t="s">
        <v>32</v>
      </c>
      <c r="U9" t="s">
        <v>33</v>
      </c>
    </row>
    <row r="10" spans="1:23" x14ac:dyDescent="0.25">
      <c r="A10" s="1">
        <v>44593.333356481482</v>
      </c>
      <c r="B10">
        <v>980980.31460925937</v>
      </c>
      <c r="C10">
        <v>363.81510533438995</v>
      </c>
      <c r="D10">
        <v>18935.684719902463</v>
      </c>
      <c r="E10">
        <v>9809.8031460926868</v>
      </c>
      <c r="F10">
        <v>1.0553814149315365E+22</v>
      </c>
      <c r="G10">
        <v>34</v>
      </c>
      <c r="H10">
        <v>53.223566535289166</v>
      </c>
      <c r="I10">
        <v>1.8788669476649287E-2</v>
      </c>
      <c r="J10">
        <v>273</v>
      </c>
      <c r="K10">
        <f t="shared" si="0"/>
        <v>5322356.6535289166</v>
      </c>
      <c r="L10">
        <f t="shared" si="1"/>
        <v>5.3223566535289164E-4</v>
      </c>
      <c r="M10">
        <f t="shared" si="5"/>
        <v>0.13750660166793408</v>
      </c>
      <c r="N10">
        <f t="shared" si="2"/>
        <v>56.807054159707391</v>
      </c>
      <c r="O10" s="2">
        <f t="shared" si="4"/>
        <v>1.3029090689156607E-5</v>
      </c>
      <c r="P10" s="2">
        <f t="shared" si="3"/>
        <v>0.27015265505719044</v>
      </c>
      <c r="T10" t="s">
        <v>34</v>
      </c>
      <c r="U10" t="s">
        <v>35</v>
      </c>
    </row>
    <row r="11" spans="1:23" x14ac:dyDescent="0.25">
      <c r="A11" s="1">
        <v>44594.333553240744</v>
      </c>
      <c r="B11">
        <v>212926.1606143713</v>
      </c>
      <c r="C11">
        <v>76.679053238636698</v>
      </c>
      <c r="D11">
        <v>4045.3924429360777</v>
      </c>
      <c r="E11">
        <v>2129.2616061437875</v>
      </c>
      <c r="F11">
        <v>1.9496130316469382E+22</v>
      </c>
      <c r="G11">
        <v>33</v>
      </c>
      <c r="H11">
        <v>52.410242940942382</v>
      </c>
      <c r="I11">
        <v>1.9080239737236736E-2</v>
      </c>
      <c r="J11">
        <v>274</v>
      </c>
      <c r="K11">
        <f t="shared" si="0"/>
        <v>5241024.2940942384</v>
      </c>
      <c r="L11">
        <f t="shared" si="1"/>
        <v>5.2410242940942385E-4</v>
      </c>
      <c r="M11">
        <f>1/(SQRT(H11)-SQRT(L11))</f>
        <v>0.13856943602118538</v>
      </c>
      <c r="N11">
        <f t="shared" si="2"/>
        <v>12.136177328808234</v>
      </c>
      <c r="O11" s="2">
        <f t="shared" si="4"/>
        <v>7.1075353812201731E-6</v>
      </c>
      <c r="P11" s="2">
        <f t="shared" si="3"/>
        <v>3.1484283061402329E-2</v>
      </c>
      <c r="T11" t="s">
        <v>37</v>
      </c>
      <c r="U11" t="s">
        <v>38</v>
      </c>
    </row>
    <row r="12" spans="1:23" x14ac:dyDescent="0.25">
      <c r="A12" s="1">
        <v>44595.333460648151</v>
      </c>
      <c r="B12">
        <v>612228.26256841421</v>
      </c>
      <c r="C12">
        <v>228.6489949204115</v>
      </c>
      <c r="D12">
        <v>12508.77994514443</v>
      </c>
      <c r="E12">
        <v>6122.282625684049</v>
      </c>
      <c r="F12">
        <v>2.0425836934579863E+22</v>
      </c>
      <c r="G12">
        <v>33</v>
      </c>
      <c r="H12">
        <v>54.795047914369114</v>
      </c>
      <c r="I12">
        <v>1.8249824355710913E-2</v>
      </c>
      <c r="J12">
        <v>275</v>
      </c>
      <c r="K12">
        <f t="shared" si="0"/>
        <v>5479504.7914369116</v>
      </c>
      <c r="L12">
        <f t="shared" si="1"/>
        <v>5.4795047914369115E-4</v>
      </c>
      <c r="M12">
        <f t="shared" si="5"/>
        <v>0.13552046410696006</v>
      </c>
      <c r="N12">
        <f t="shared" si="2"/>
        <v>37.526339835433291</v>
      </c>
      <c r="O12" s="2">
        <f t="shared" si="4"/>
        <v>6.6347569767156549E-6</v>
      </c>
      <c r="P12" s="2">
        <f t="shared" si="3"/>
        <v>9.0877022937316421E-2</v>
      </c>
      <c r="T12" t="s">
        <v>39</v>
      </c>
      <c r="U12" t="s">
        <v>40</v>
      </c>
    </row>
    <row r="13" spans="1:23" x14ac:dyDescent="0.25">
      <c r="A13" s="1">
        <v>44596.333402777775</v>
      </c>
      <c r="B13">
        <v>492772.92503446341</v>
      </c>
      <c r="C13">
        <v>183.08372344821692</v>
      </c>
      <c r="D13">
        <v>9844.1643958380446</v>
      </c>
      <c r="E13">
        <v>4927.7292503444478</v>
      </c>
      <c r="F13">
        <v>2.0425836934579863E+22</v>
      </c>
      <c r="G13">
        <v>33</v>
      </c>
      <c r="H13">
        <v>55.284875851029767</v>
      </c>
      <c r="I13">
        <v>1.8088129612420456E-2</v>
      </c>
      <c r="J13">
        <v>276</v>
      </c>
      <c r="K13">
        <f t="shared" si="0"/>
        <v>5528487.5851029763</v>
      </c>
      <c r="L13">
        <f t="shared" si="1"/>
        <v>5.5284875851029764E-4</v>
      </c>
      <c r="M13">
        <f t="shared" si="5"/>
        <v>0.1349187678929438</v>
      </c>
      <c r="N13">
        <f t="shared" si="2"/>
        <v>29.532493187514135</v>
      </c>
      <c r="O13" s="2">
        <f t="shared" si="4"/>
        <v>6.6052993728023671E-6</v>
      </c>
      <c r="P13" s="2">
        <f t="shared" si="3"/>
        <v>7.1200899936003717E-2</v>
      </c>
      <c r="T13" t="s">
        <v>41</v>
      </c>
      <c r="U13" t="s">
        <v>42</v>
      </c>
    </row>
    <row r="14" spans="1:23" x14ac:dyDescent="0.25">
      <c r="A14" s="1">
        <v>44597.333344907405</v>
      </c>
      <c r="B14">
        <v>689104.71364057064</v>
      </c>
      <c r="C14">
        <v>233.36668405313685</v>
      </c>
      <c r="D14">
        <v>12767.165757916868</v>
      </c>
      <c r="E14">
        <v>6891.0471364059485</v>
      </c>
      <c r="F14">
        <v>2.7163262599481411E+22</v>
      </c>
      <c r="G14">
        <v>35</v>
      </c>
      <c r="H14">
        <v>53.069449475802607</v>
      </c>
      <c r="I14">
        <v>1.8843232968828085E-2</v>
      </c>
      <c r="J14">
        <v>277</v>
      </c>
      <c r="K14">
        <f t="shared" si="0"/>
        <v>5306944.9475802602</v>
      </c>
      <c r="L14">
        <f t="shared" si="1"/>
        <v>5.3069449475802606E-4</v>
      </c>
      <c r="M14">
        <f t="shared" si="5"/>
        <v>0.13770612088103196</v>
      </c>
      <c r="N14">
        <f t="shared" si="2"/>
        <v>38.301497273750606</v>
      </c>
      <c r="O14" s="2">
        <f t="shared" si="4"/>
        <v>5.0695721979899786E-6</v>
      </c>
      <c r="P14" s="2">
        <f t="shared" si="3"/>
        <v>7.0872855087944192E-2</v>
      </c>
      <c r="T14" t="s">
        <v>43</v>
      </c>
      <c r="U14" t="s">
        <v>44</v>
      </c>
    </row>
    <row r="15" spans="1:23" x14ac:dyDescent="0.25">
      <c r="A15" s="1">
        <v>44598.333425925928</v>
      </c>
      <c r="B15">
        <v>524245.96645689011</v>
      </c>
      <c r="C15">
        <v>173.42874709898024</v>
      </c>
      <c r="D15">
        <v>9344.9544791644439</v>
      </c>
      <c r="E15">
        <v>5242.4596645687707</v>
      </c>
      <c r="F15">
        <v>3.0339152322276461E+22</v>
      </c>
      <c r="G15">
        <v>35</v>
      </c>
      <c r="H15">
        <v>54.46727830717083</v>
      </c>
      <c r="I15">
        <v>1.8359646949136176E-2</v>
      </c>
      <c r="J15">
        <v>278</v>
      </c>
      <c r="K15">
        <f t="shared" si="0"/>
        <v>5446727.8307170831</v>
      </c>
      <c r="L15">
        <f t="shared" si="1"/>
        <v>5.4467278307170834E-4</v>
      </c>
      <c r="M15">
        <f t="shared" si="5"/>
        <v>0.13592761556388444</v>
      </c>
      <c r="N15">
        <f t="shared" si="2"/>
        <v>28.034863437493332</v>
      </c>
      <c r="O15" s="2">
        <f t="shared" si="4"/>
        <v>4.4802707115874117E-6</v>
      </c>
      <c r="P15" s="2">
        <f t="shared" si="3"/>
        <v>4.5845378810259269E-2</v>
      </c>
    </row>
    <row r="16" spans="1:23" x14ac:dyDescent="0.25">
      <c r="A16" s="1">
        <v>44599.333402777775</v>
      </c>
      <c r="B16">
        <v>659236.00733238459</v>
      </c>
      <c r="C16">
        <v>216.07442474643176</v>
      </c>
      <c r="D16">
        <v>11660.53515089862</v>
      </c>
      <c r="E16">
        <v>6592.3600733238272</v>
      </c>
      <c r="F16">
        <v>3.1224525749633329E+22</v>
      </c>
      <c r="G16">
        <v>35</v>
      </c>
      <c r="H16">
        <v>53.501036003447993</v>
      </c>
      <c r="I16">
        <v>1.8691226837842034E-2</v>
      </c>
      <c r="J16">
        <v>279</v>
      </c>
      <c r="K16">
        <f t="shared" si="0"/>
        <v>5350103.6003447995</v>
      </c>
      <c r="L16">
        <f t="shared" si="1"/>
        <v>5.3501036003447992E-4</v>
      </c>
      <c r="M16">
        <f t="shared" si="5"/>
        <v>0.13714956670162409</v>
      </c>
      <c r="N16">
        <f t="shared" si="2"/>
        <v>34.98160545269586</v>
      </c>
      <c r="O16" s="2">
        <f t="shared" si="4"/>
        <v>4.3923666864094694E-6</v>
      </c>
      <c r="P16" s="2">
        <f t="shared" si="3"/>
        <v>5.6082994026052518E-2</v>
      </c>
      <c r="T16" t="s">
        <v>45</v>
      </c>
      <c r="U16">
        <v>99999</v>
      </c>
    </row>
    <row r="17" spans="1:23" x14ac:dyDescent="0.25">
      <c r="A17" s="1">
        <v>44600.333564814813</v>
      </c>
      <c r="B17">
        <v>784264.41627347469</v>
      </c>
      <c r="C17">
        <v>249.04129948461195</v>
      </c>
      <c r="D17">
        <v>13377.916356615722</v>
      </c>
      <c r="E17">
        <v>7842.6441627349705</v>
      </c>
      <c r="F17">
        <v>3.0470116022672628E+22</v>
      </c>
      <c r="G17">
        <v>34</v>
      </c>
      <c r="H17">
        <v>54.358458048009545</v>
      </c>
      <c r="I17">
        <v>1.8396401147302545E-2</v>
      </c>
      <c r="J17">
        <v>280</v>
      </c>
      <c r="K17">
        <f t="shared" ref="K17:K80" si="6">(1+$U$16)*H17</f>
        <v>5435845.8048009546</v>
      </c>
      <c r="L17">
        <f t="shared" ref="L17:L80" si="7">H17/(1+$U$16)</f>
        <v>5.4358458048009547E-4</v>
      </c>
      <c r="M17">
        <f t="shared" ref="M17:M80" si="8">1/(SQRT(H17)-SQRT(L17))</f>
        <v>0.13606360436318948</v>
      </c>
      <c r="N17">
        <f t="shared" ref="N17:N80" si="9">D17*0.003</f>
        <v>40.13374906984717</v>
      </c>
      <c r="O17" s="2">
        <f t="shared" ref="O17:O80" si="10">M17/(F17/POWER(10,$U$21))</f>
        <v>4.4654770681524609E-6</v>
      </c>
      <c r="P17" s="2">
        <f t="shared" ref="P17:P80" si="11">O17*N17*365</f>
        <v>6.5413962687591504E-2</v>
      </c>
      <c r="T17" t="s">
        <v>46</v>
      </c>
      <c r="U17">
        <v>2.3E-3</v>
      </c>
      <c r="V17">
        <v>4.529E-3</v>
      </c>
      <c r="W17">
        <f>U17*365</f>
        <v>0.83950000000000002</v>
      </c>
    </row>
    <row r="18" spans="1:23" x14ac:dyDescent="0.25">
      <c r="A18" s="1">
        <v>44601.333391203705</v>
      </c>
      <c r="B18">
        <v>405851.34361934662</v>
      </c>
      <c r="C18">
        <v>131.92432158459269</v>
      </c>
      <c r="D18">
        <v>7308.6961621651426</v>
      </c>
      <c r="E18">
        <v>4058.5134361935779</v>
      </c>
      <c r="F18">
        <v>2.9244627893927669E+22</v>
      </c>
      <c r="G18">
        <v>34</v>
      </c>
      <c r="H18">
        <v>56.305851466764011</v>
      </c>
      <c r="I18">
        <v>1.7760143465555725E-2</v>
      </c>
      <c r="J18">
        <v>281</v>
      </c>
      <c r="K18">
        <f t="shared" si="6"/>
        <v>5630585.1466764007</v>
      </c>
      <c r="L18">
        <f t="shared" si="7"/>
        <v>5.6305851466764006E-4</v>
      </c>
      <c r="M18">
        <f t="shared" si="8"/>
        <v>0.13368995300739248</v>
      </c>
      <c r="N18">
        <f t="shared" si="9"/>
        <v>21.926088486495427</v>
      </c>
      <c r="O18" s="2">
        <f t="shared" si="10"/>
        <v>4.5714362819829815E-6</v>
      </c>
      <c r="P18" s="2">
        <f t="shared" si="11"/>
        <v>3.6585306496634093E-2</v>
      </c>
    </row>
    <row r="19" spans="1:23" x14ac:dyDescent="0.25">
      <c r="A19" s="1">
        <v>44602.333495370367</v>
      </c>
      <c r="B19">
        <v>368694.02368342876</v>
      </c>
      <c r="C19">
        <v>113.94165727235668</v>
      </c>
      <c r="D19">
        <v>6403.0555344074965</v>
      </c>
      <c r="E19">
        <v>3686.9402368338779</v>
      </c>
      <c r="F19">
        <v>1.7080009492415495E+22</v>
      </c>
      <c r="G19">
        <v>34</v>
      </c>
      <c r="H19">
        <v>57.213945063470476</v>
      </c>
      <c r="I19">
        <v>1.7478256374222172E-2</v>
      </c>
      <c r="J19">
        <v>282</v>
      </c>
      <c r="K19">
        <f t="shared" si="6"/>
        <v>5721394.5063470472</v>
      </c>
      <c r="L19">
        <f t="shared" si="7"/>
        <v>5.7213945063470473E-4</v>
      </c>
      <c r="M19">
        <f t="shared" si="8"/>
        <v>0.13262475312275457</v>
      </c>
      <c r="N19">
        <f t="shared" si="9"/>
        <v>19.209166603222489</v>
      </c>
      <c r="O19" s="2">
        <f t="shared" si="10"/>
        <v>7.7649109727747848E-6</v>
      </c>
      <c r="P19" s="2">
        <f t="shared" si="11"/>
        <v>5.4442476015355755E-2</v>
      </c>
      <c r="T19" t="s">
        <v>47</v>
      </c>
      <c r="U19">
        <v>18</v>
      </c>
    </row>
    <row r="20" spans="1:23" x14ac:dyDescent="0.25">
      <c r="A20" s="1">
        <v>44603.333460648151</v>
      </c>
      <c r="B20">
        <v>196128.49402230978</v>
      </c>
      <c r="C20">
        <v>62.867731146689039</v>
      </c>
      <c r="D20">
        <v>3645.5648526391014</v>
      </c>
      <c r="E20">
        <v>1961.2849402236752</v>
      </c>
      <c r="F20">
        <v>1.5827529278773025E+22</v>
      </c>
      <c r="G20">
        <v>34</v>
      </c>
      <c r="H20">
        <v>57.638877321025461</v>
      </c>
      <c r="I20">
        <v>1.7349401072307508E-2</v>
      </c>
      <c r="J20">
        <v>283</v>
      </c>
      <c r="K20">
        <f t="shared" si="6"/>
        <v>5763887.7321025459</v>
      </c>
      <c r="L20">
        <f t="shared" si="7"/>
        <v>5.7638877321025466E-4</v>
      </c>
      <c r="M20">
        <f t="shared" si="8"/>
        <v>0.13213497267736832</v>
      </c>
      <c r="N20">
        <f t="shared" si="9"/>
        <v>10.936694557917304</v>
      </c>
      <c r="O20" s="2">
        <f t="shared" si="10"/>
        <v>8.34842699388212E-6</v>
      </c>
      <c r="P20" s="2">
        <f t="shared" si="11"/>
        <v>3.3326031565973586E-2</v>
      </c>
      <c r="T20" t="s">
        <v>48</v>
      </c>
      <c r="U20">
        <v>18</v>
      </c>
    </row>
    <row r="21" spans="1:23" x14ac:dyDescent="0.25">
      <c r="A21" s="1">
        <v>44604.333483796298</v>
      </c>
      <c r="B21">
        <v>422946.99357414246</v>
      </c>
      <c r="C21">
        <v>144.15253335554735</v>
      </c>
      <c r="D21">
        <v>8164.0554562257603</v>
      </c>
      <c r="E21">
        <v>4229.4699357408099</v>
      </c>
      <c r="F21">
        <v>2.817330865980562E+22</v>
      </c>
      <c r="G21">
        <v>36</v>
      </c>
      <c r="H21">
        <v>56.272079776960346</v>
      </c>
      <c r="I21">
        <v>1.7770802216011804E-2</v>
      </c>
      <c r="J21">
        <v>284</v>
      </c>
      <c r="K21">
        <f t="shared" si="6"/>
        <v>5627207.9776960351</v>
      </c>
      <c r="L21">
        <f t="shared" si="7"/>
        <v>5.6272079776960348E-4</v>
      </c>
      <c r="M21">
        <f t="shared" si="8"/>
        <v>0.13373006400412696</v>
      </c>
      <c r="N21">
        <f t="shared" si="9"/>
        <v>24.492166368677282</v>
      </c>
      <c r="O21" s="2">
        <f t="shared" si="10"/>
        <v>4.7466936034714784E-6</v>
      </c>
      <c r="P21" s="2">
        <f t="shared" si="11"/>
        <v>4.2433735444636293E-2</v>
      </c>
      <c r="T21" t="s">
        <v>49</v>
      </c>
      <c r="U21">
        <f>AVERAGE(U19:U20)</f>
        <v>18</v>
      </c>
    </row>
    <row r="22" spans="1:23" x14ac:dyDescent="0.25">
      <c r="A22" s="1">
        <v>44605.333356481482</v>
      </c>
      <c r="B22">
        <v>491627.85266071558</v>
      </c>
      <c r="C22">
        <v>167.99563337725704</v>
      </c>
      <c r="D22">
        <v>9254.868953528814</v>
      </c>
      <c r="E22">
        <v>4916.2785266069695</v>
      </c>
      <c r="F22">
        <v>3.0085718252023246E+22</v>
      </c>
      <c r="G22">
        <v>38</v>
      </c>
      <c r="H22">
        <v>54.899252258055981</v>
      </c>
      <c r="I22">
        <v>1.821518433984242E-2</v>
      </c>
      <c r="J22">
        <v>285</v>
      </c>
      <c r="K22">
        <f t="shared" si="6"/>
        <v>5489925.2258055983</v>
      </c>
      <c r="L22">
        <f t="shared" si="7"/>
        <v>5.4899252258055976E-4</v>
      </c>
      <c r="M22">
        <f t="shared" si="8"/>
        <v>0.13539178723098821</v>
      </c>
      <c r="N22">
        <f t="shared" si="9"/>
        <v>27.764606860586444</v>
      </c>
      <c r="O22" s="2">
        <f t="shared" si="10"/>
        <v>4.5002012615033112E-6</v>
      </c>
      <c r="P22" s="2">
        <f t="shared" si="11"/>
        <v>4.5605406368991429E-2</v>
      </c>
    </row>
    <row r="23" spans="1:23" x14ac:dyDescent="0.25">
      <c r="A23" s="1">
        <v>44606.333472222221</v>
      </c>
      <c r="B23">
        <v>205045.06600826979</v>
      </c>
      <c r="C23">
        <v>71.337074565308285</v>
      </c>
      <c r="D23">
        <v>3927.2262540552765</v>
      </c>
      <c r="E23">
        <v>2050.4506600829773</v>
      </c>
      <c r="F23">
        <v>3.0401757211376155E+22</v>
      </c>
      <c r="G23">
        <v>38</v>
      </c>
      <c r="H23">
        <v>55.31805507037754</v>
      </c>
      <c r="I23">
        <v>1.8077280532147515E-2</v>
      </c>
      <c r="J23">
        <v>286</v>
      </c>
      <c r="K23">
        <f t="shared" si="6"/>
        <v>5531805.5070377542</v>
      </c>
      <c r="L23">
        <f t="shared" si="7"/>
        <v>5.5318055070377535E-4</v>
      </c>
      <c r="M23">
        <f t="shared" si="8"/>
        <v>0.13487830035635298</v>
      </c>
      <c r="N23">
        <f t="shared" si="9"/>
        <v>11.78167876216583</v>
      </c>
      <c r="O23" s="2">
        <f t="shared" si="10"/>
        <v>4.4365297511777488E-6</v>
      </c>
      <c r="P23" s="2">
        <f t="shared" si="11"/>
        <v>1.9078465446716226E-2</v>
      </c>
    </row>
    <row r="24" spans="1:23" x14ac:dyDescent="0.25">
      <c r="A24" s="1">
        <v>44607.333472222221</v>
      </c>
      <c r="B24">
        <v>295470.97741389275</v>
      </c>
      <c r="C24">
        <v>98.675411239804816</v>
      </c>
      <c r="D24">
        <v>5400.026505514048</v>
      </c>
      <c r="E24">
        <v>2954.7097741388716</v>
      </c>
      <c r="F24">
        <v>3.0067352908034069E+22</v>
      </c>
      <c r="G24">
        <v>37</v>
      </c>
      <c r="H24">
        <v>55.113766647497741</v>
      </c>
      <c r="I24">
        <v>1.8144287005384736E-2</v>
      </c>
      <c r="J24">
        <v>287</v>
      </c>
      <c r="K24">
        <f t="shared" si="6"/>
        <v>5511376.6647497742</v>
      </c>
      <c r="L24">
        <f t="shared" si="7"/>
        <v>5.5113766647497736E-4</v>
      </c>
      <c r="M24">
        <f t="shared" si="8"/>
        <v>0.13512804366639131</v>
      </c>
      <c r="N24">
        <f t="shared" si="9"/>
        <v>16.200079516542143</v>
      </c>
      <c r="O24" s="2">
        <f t="shared" si="10"/>
        <v>4.4941782563866722E-6</v>
      </c>
      <c r="P24" s="2">
        <f t="shared" si="11"/>
        <v>2.657420646696727E-2</v>
      </c>
    </row>
    <row r="25" spans="1:23" x14ac:dyDescent="0.25">
      <c r="A25" s="1">
        <v>44608.333599537036</v>
      </c>
      <c r="B25">
        <v>1099130.5736128688</v>
      </c>
      <c r="C25">
        <v>351.96520394555409</v>
      </c>
      <c r="D25">
        <v>19348.759843613021</v>
      </c>
      <c r="E25">
        <v>10991.305736129172</v>
      </c>
      <c r="F25">
        <v>3.1948589228188481E+22</v>
      </c>
      <c r="G25">
        <v>37</v>
      </c>
      <c r="H25">
        <v>54.729336577071329</v>
      </c>
      <c r="I25">
        <v>1.8271736193837707E-2</v>
      </c>
      <c r="J25">
        <v>288</v>
      </c>
      <c r="K25">
        <f t="shared" si="6"/>
        <v>5472933.6577071333</v>
      </c>
      <c r="L25">
        <f t="shared" si="7"/>
        <v>5.4729336577071333E-4</v>
      </c>
      <c r="M25">
        <f t="shared" si="8"/>
        <v>0.13560179671620448</v>
      </c>
      <c r="N25">
        <f t="shared" si="9"/>
        <v>58.046279530839065</v>
      </c>
      <c r="O25" s="2">
        <f t="shared" si="10"/>
        <v>4.2443751036293645E-6</v>
      </c>
      <c r="P25" s="2">
        <f t="shared" si="11"/>
        <v>8.9925117050136505E-2</v>
      </c>
    </row>
    <row r="26" spans="1:23" x14ac:dyDescent="0.25">
      <c r="A26" s="1">
        <v>44609.333368055559</v>
      </c>
      <c r="B26">
        <v>432000.80973315239</v>
      </c>
      <c r="C26">
        <v>139.81058090599254</v>
      </c>
      <c r="D26">
        <v>7712.9022874757648</v>
      </c>
      <c r="E26">
        <v>4320.0080973310396</v>
      </c>
      <c r="F26">
        <v>3.1948589228188481E+22</v>
      </c>
      <c r="G26">
        <v>37</v>
      </c>
      <c r="H26">
        <v>54.992655687222296</v>
      </c>
      <c r="I26">
        <v>1.818424637805504E-2</v>
      </c>
      <c r="J26">
        <v>289</v>
      </c>
      <c r="K26">
        <f t="shared" si="6"/>
        <v>5499265.5687222295</v>
      </c>
      <c r="L26">
        <f t="shared" si="7"/>
        <v>5.4992655687222298E-4</v>
      </c>
      <c r="M26">
        <f t="shared" si="8"/>
        <v>0.13527675885714893</v>
      </c>
      <c r="N26">
        <f t="shared" si="9"/>
        <v>23.138706862427295</v>
      </c>
      <c r="O26" s="2">
        <f t="shared" si="10"/>
        <v>4.2342013254780346E-6</v>
      </c>
      <c r="P26" s="2">
        <f t="shared" si="11"/>
        <v>3.5760489292359129E-2</v>
      </c>
    </row>
    <row r="27" spans="1:23" x14ac:dyDescent="0.25">
      <c r="A27" s="1">
        <v>44610.333553240744</v>
      </c>
      <c r="B27">
        <v>442393.66270679235</v>
      </c>
      <c r="C27">
        <v>152.12082838501374</v>
      </c>
      <c r="D27">
        <v>8561.8153930259869</v>
      </c>
      <c r="E27">
        <v>4423.9366270680912</v>
      </c>
      <c r="F27">
        <v>3.4634304106989928E+22</v>
      </c>
      <c r="G27">
        <v>38</v>
      </c>
      <c r="H27">
        <v>56.729711649048944</v>
      </c>
      <c r="I27">
        <v>1.7627447257027695E-2</v>
      </c>
      <c r="J27">
        <v>290</v>
      </c>
      <c r="K27">
        <f t="shared" si="6"/>
        <v>5672971.1649048943</v>
      </c>
      <c r="L27">
        <f t="shared" si="7"/>
        <v>5.6729711649048948E-4</v>
      </c>
      <c r="M27">
        <f t="shared" si="8"/>
        <v>0.13318957948856736</v>
      </c>
      <c r="N27">
        <f t="shared" si="9"/>
        <v>25.68544617907796</v>
      </c>
      <c r="O27" s="2">
        <f t="shared" si="10"/>
        <v>3.8455971015651764E-6</v>
      </c>
      <c r="P27" s="2">
        <f t="shared" si="11"/>
        <v>3.605319524321475E-2</v>
      </c>
    </row>
    <row r="28" spans="1:23" x14ac:dyDescent="0.25">
      <c r="A28" s="1">
        <v>44611.333460648151</v>
      </c>
      <c r="B28">
        <v>591471.55379837751</v>
      </c>
      <c r="C28">
        <v>210.61525829546736</v>
      </c>
      <c r="D28">
        <v>11663.919884826057</v>
      </c>
      <c r="E28">
        <v>5914.7155379834585</v>
      </c>
      <c r="F28">
        <v>3.6735827235142864E+22</v>
      </c>
      <c r="G28">
        <v>37</v>
      </c>
      <c r="H28">
        <v>53.887614145466436</v>
      </c>
      <c r="I28">
        <v>1.8557140000679172E-2</v>
      </c>
      <c r="J28">
        <v>291</v>
      </c>
      <c r="K28">
        <f t="shared" si="6"/>
        <v>5388761.4145466434</v>
      </c>
      <c r="L28">
        <f t="shared" si="7"/>
        <v>5.3887614145466437E-4</v>
      </c>
      <c r="M28">
        <f t="shared" si="8"/>
        <v>0.13665674052174595</v>
      </c>
      <c r="N28">
        <f t="shared" si="9"/>
        <v>34.991759654478173</v>
      </c>
      <c r="O28" s="2">
        <f t="shared" si="10"/>
        <v>3.7199853877528857E-6</v>
      </c>
      <c r="P28" s="2">
        <f t="shared" si="11"/>
        <v>4.7511624631343209E-2</v>
      </c>
    </row>
    <row r="29" spans="1:23" x14ac:dyDescent="0.25">
      <c r="A29" s="1">
        <v>44612.333495370367</v>
      </c>
      <c r="B29">
        <v>543912.1057522893</v>
      </c>
      <c r="C29">
        <v>204.84617603210791</v>
      </c>
      <c r="D29">
        <v>11216.600472434424</v>
      </c>
      <c r="E29">
        <v>5439.1210575234145</v>
      </c>
      <c r="F29">
        <v>3.7107547816124249E+22</v>
      </c>
      <c r="G29">
        <v>37</v>
      </c>
      <c r="H29">
        <v>54.006291460001485</v>
      </c>
      <c r="I29">
        <v>1.8516361204705695E-2</v>
      </c>
      <c r="J29">
        <v>292</v>
      </c>
      <c r="K29">
        <f t="shared" si="6"/>
        <v>5400629.1460001487</v>
      </c>
      <c r="L29">
        <f t="shared" si="7"/>
        <v>5.4006291460001487E-4</v>
      </c>
      <c r="M29">
        <f t="shared" si="8"/>
        <v>0.13650650826155064</v>
      </c>
      <c r="N29">
        <f t="shared" si="9"/>
        <v>33.649801417303273</v>
      </c>
      <c r="O29" s="2">
        <f t="shared" si="10"/>
        <v>3.6786722997156607E-6</v>
      </c>
      <c r="P29" s="2">
        <f t="shared" si="11"/>
        <v>4.5182106213139714E-2</v>
      </c>
    </row>
    <row r="30" spans="1:23" x14ac:dyDescent="0.25">
      <c r="A30" s="1">
        <v>44613.333379629628</v>
      </c>
      <c r="B30">
        <v>663608.7600159049</v>
      </c>
      <c r="C30">
        <v>246.76753113961604</v>
      </c>
      <c r="D30">
        <v>13083.976124507375</v>
      </c>
      <c r="E30">
        <v>6636.0876001585275</v>
      </c>
      <c r="F30">
        <v>3.7403846855076591E+22</v>
      </c>
      <c r="G30">
        <v>37</v>
      </c>
      <c r="H30">
        <v>52.894617665116861</v>
      </c>
      <c r="I30">
        <v>1.8905515232781119E-2</v>
      </c>
      <c r="J30">
        <v>293</v>
      </c>
      <c r="K30">
        <f t="shared" si="6"/>
        <v>5289461.7665116861</v>
      </c>
      <c r="L30">
        <f t="shared" si="7"/>
        <v>5.289461766511686E-4</v>
      </c>
      <c r="M30">
        <f t="shared" si="8"/>
        <v>0.13793351215732744</v>
      </c>
      <c r="N30">
        <f t="shared" si="9"/>
        <v>39.251928373522126</v>
      </c>
      <c r="O30" s="2">
        <f t="shared" si="10"/>
        <v>3.6876825181045939E-6</v>
      </c>
      <c r="P30" s="2">
        <f t="shared" si="11"/>
        <v>5.2833257273699905E-2</v>
      </c>
    </row>
    <row r="31" spans="1:23" x14ac:dyDescent="0.25">
      <c r="A31" s="1">
        <v>44614.333391203705</v>
      </c>
      <c r="B31">
        <v>1084145.57407552</v>
      </c>
      <c r="C31">
        <v>414.38027962845808</v>
      </c>
      <c r="D31">
        <v>21142.31734267436</v>
      </c>
      <c r="E31">
        <v>10841.455740755424</v>
      </c>
      <c r="F31">
        <v>1.7011020016945885E+22</v>
      </c>
      <c r="G31">
        <v>36</v>
      </c>
      <c r="H31">
        <v>50.014071110195616</v>
      </c>
      <c r="I31">
        <v>1.9994373139445253E-2</v>
      </c>
      <c r="J31">
        <v>294</v>
      </c>
      <c r="K31">
        <f t="shared" si="6"/>
        <v>5001407.111019562</v>
      </c>
      <c r="L31">
        <f t="shared" si="7"/>
        <v>5.0014071110195612E-4</v>
      </c>
      <c r="M31">
        <f t="shared" si="8"/>
        <v>0.14185003006274252</v>
      </c>
      <c r="N31">
        <f t="shared" si="9"/>
        <v>63.426952028023081</v>
      </c>
      <c r="O31" s="2">
        <f t="shared" si="10"/>
        <v>8.3387139584478554E-6</v>
      </c>
      <c r="P31" s="2">
        <f t="shared" si="11"/>
        <v>0.19304821172952569</v>
      </c>
    </row>
    <row r="32" spans="1:23" x14ac:dyDescent="0.25">
      <c r="A32" s="1">
        <v>44615.333518518521</v>
      </c>
      <c r="B32">
        <v>1533179.9679846168</v>
      </c>
      <c r="C32">
        <v>581.6849449443107</v>
      </c>
      <c r="D32">
        <v>27978.790165470913</v>
      </c>
      <c r="E32">
        <v>15331.799679846037</v>
      </c>
      <c r="F32">
        <v>1.7176763885122956E+22</v>
      </c>
      <c r="G32">
        <v>37</v>
      </c>
      <c r="H32">
        <v>46.293809719122152</v>
      </c>
      <c r="I32">
        <v>2.1601160199760775E-2</v>
      </c>
      <c r="J32">
        <v>295</v>
      </c>
      <c r="K32">
        <f t="shared" si="6"/>
        <v>4629380.9719122155</v>
      </c>
      <c r="L32">
        <f t="shared" si="7"/>
        <v>4.6293809719122152E-4</v>
      </c>
      <c r="M32">
        <f t="shared" si="8"/>
        <v>0.147439576472635</v>
      </c>
      <c r="N32">
        <f t="shared" si="9"/>
        <v>83.936370496412735</v>
      </c>
      <c r="O32" s="2">
        <f t="shared" si="10"/>
        <v>8.5836643886299533E-6</v>
      </c>
      <c r="P32" s="2">
        <f t="shared" si="11"/>
        <v>0.26297579653443137</v>
      </c>
    </row>
    <row r="33" spans="1:16" x14ac:dyDescent="0.25">
      <c r="A33" s="1">
        <v>44616.333333333336</v>
      </c>
      <c r="B33">
        <v>1841906.9378710985</v>
      </c>
      <c r="C33">
        <v>723.93948708588141</v>
      </c>
      <c r="D33">
        <v>32741.458461922593</v>
      </c>
      <c r="E33">
        <v>18419.069378711283</v>
      </c>
      <c r="F33">
        <v>2.3572131669346089E+22</v>
      </c>
      <c r="G33">
        <v>36</v>
      </c>
      <c r="H33">
        <v>45.146353284072454</v>
      </c>
      <c r="I33">
        <v>2.2150183287401821E-2</v>
      </c>
      <c r="J33">
        <v>296</v>
      </c>
      <c r="K33">
        <f t="shared" si="6"/>
        <v>4514635.3284072457</v>
      </c>
      <c r="L33">
        <f t="shared" si="7"/>
        <v>4.5146353284072454E-4</v>
      </c>
      <c r="M33">
        <f t="shared" si="8"/>
        <v>0.14930150925350916</v>
      </c>
      <c r="N33">
        <f t="shared" si="9"/>
        <v>98.224375385767786</v>
      </c>
      <c r="O33" s="2">
        <f t="shared" si="10"/>
        <v>6.3338144953460163E-6</v>
      </c>
      <c r="P33" s="2">
        <f t="shared" si="11"/>
        <v>0.22707926500435982</v>
      </c>
    </row>
    <row r="34" spans="1:16" x14ac:dyDescent="0.25">
      <c r="A34" s="1">
        <v>44617.333368055559</v>
      </c>
      <c r="B34">
        <v>1334946.8952679038</v>
      </c>
      <c r="C34">
        <v>526.51869272330077</v>
      </c>
      <c r="D34">
        <v>22173.156247257255</v>
      </c>
      <c r="E34">
        <v>13349.46895267861</v>
      </c>
      <c r="F34">
        <v>1.7358683621699294E+22</v>
      </c>
      <c r="G34">
        <v>35</v>
      </c>
      <c r="H34">
        <v>40.10557801689427</v>
      </c>
      <c r="I34">
        <v>2.4934187448408175E-2</v>
      </c>
      <c r="J34">
        <v>297</v>
      </c>
      <c r="K34">
        <f t="shared" si="6"/>
        <v>4010557.8016894269</v>
      </c>
      <c r="L34">
        <f t="shared" si="7"/>
        <v>4.0105578016894273E-4</v>
      </c>
      <c r="M34">
        <f t="shared" si="8"/>
        <v>0.15840655380502494</v>
      </c>
      <c r="N34">
        <f t="shared" si="9"/>
        <v>66.51946874177176</v>
      </c>
      <c r="O34" s="2">
        <f t="shared" si="10"/>
        <v>9.125493456601064E-6</v>
      </c>
      <c r="P34" s="2">
        <f t="shared" si="11"/>
        <v>0.22156338650996027</v>
      </c>
    </row>
    <row r="35" spans="1:16" x14ac:dyDescent="0.25">
      <c r="A35" s="1">
        <v>44618.333449074074</v>
      </c>
      <c r="B35">
        <v>1292841.2442628741</v>
      </c>
      <c r="C35">
        <v>469.83272420648427</v>
      </c>
      <c r="D35">
        <v>18185.027456568554</v>
      </c>
      <c r="E35">
        <v>12928.412442629226</v>
      </c>
      <c r="F35">
        <v>8.2366438072816805E+21</v>
      </c>
      <c r="G35">
        <v>34</v>
      </c>
      <c r="H35">
        <v>36.533150891713269</v>
      </c>
      <c r="I35">
        <v>2.737239946710503E-2</v>
      </c>
      <c r="J35">
        <v>298</v>
      </c>
      <c r="K35">
        <f t="shared" si="6"/>
        <v>3653315.0891713267</v>
      </c>
      <c r="L35">
        <f t="shared" si="7"/>
        <v>3.6533150891713271E-4</v>
      </c>
      <c r="M35">
        <f t="shared" si="8"/>
        <v>0.16597090820343346</v>
      </c>
      <c r="N35">
        <f t="shared" si="9"/>
        <v>54.555082369705666</v>
      </c>
      <c r="O35" s="2">
        <f t="shared" si="10"/>
        <v>2.0150307830078239E-5</v>
      </c>
      <c r="P35" s="2">
        <f t="shared" si="11"/>
        <v>0.40124512175736782</v>
      </c>
    </row>
    <row r="36" spans="1:16" x14ac:dyDescent="0.25">
      <c r="A36" s="1">
        <v>44619.333449074074</v>
      </c>
      <c r="B36">
        <v>1018197.2284772396</v>
      </c>
      <c r="C36">
        <v>367.14075193789904</v>
      </c>
      <c r="D36">
        <v>13507.922889891081</v>
      </c>
      <c r="E36">
        <v>10181.972284771968</v>
      </c>
      <c r="F36">
        <v>1.1892595069686657E+22</v>
      </c>
      <c r="G36">
        <v>34</v>
      </c>
      <c r="H36">
        <v>36.358220682149806</v>
      </c>
      <c r="I36">
        <v>2.7504096219179215E-2</v>
      </c>
      <c r="J36">
        <v>299</v>
      </c>
      <c r="K36">
        <f t="shared" si="6"/>
        <v>3635822.0682149804</v>
      </c>
      <c r="L36">
        <f t="shared" si="7"/>
        <v>3.6358220682149807E-4</v>
      </c>
      <c r="M36">
        <f t="shared" si="8"/>
        <v>0.16636969679892982</v>
      </c>
      <c r="N36">
        <f t="shared" si="9"/>
        <v>40.523768669673245</v>
      </c>
      <c r="O36" s="2">
        <f t="shared" si="10"/>
        <v>1.3989351846595185E-5</v>
      </c>
      <c r="P36" s="2">
        <f t="shared" si="11"/>
        <v>0.20691895919558265</v>
      </c>
    </row>
    <row r="37" spans="1:16" x14ac:dyDescent="0.25">
      <c r="A37" s="1">
        <v>44620.333402777775</v>
      </c>
      <c r="B37">
        <v>1108333.6791509986</v>
      </c>
      <c r="C37">
        <v>419.30985022759705</v>
      </c>
      <c r="D37">
        <v>15082.609296051785</v>
      </c>
      <c r="E37">
        <v>11083.336791510228</v>
      </c>
      <c r="F37">
        <v>9.7028948296628773E+21</v>
      </c>
      <c r="G37">
        <v>34</v>
      </c>
      <c r="H37">
        <v>35.223797406867568</v>
      </c>
      <c r="I37">
        <v>2.8389897558433904E-2</v>
      </c>
      <c r="J37">
        <v>300</v>
      </c>
      <c r="K37">
        <f t="shared" si="6"/>
        <v>3522379.740686757</v>
      </c>
      <c r="L37">
        <f t="shared" si="7"/>
        <v>3.5223797406867569E-4</v>
      </c>
      <c r="M37">
        <f t="shared" si="8"/>
        <v>0.1690275313028213</v>
      </c>
      <c r="N37">
        <f t="shared" si="9"/>
        <v>45.247827888155356</v>
      </c>
      <c r="O37" s="2">
        <f t="shared" si="10"/>
        <v>1.7420319839609566E-5</v>
      </c>
      <c r="P37" s="2">
        <f t="shared" si="11"/>
        <v>0.28770454635863418</v>
      </c>
    </row>
    <row r="38" spans="1:16" x14ac:dyDescent="0.25">
      <c r="A38" s="1">
        <v>44621.333854166667</v>
      </c>
      <c r="B38">
        <v>3091133.1682510972</v>
      </c>
      <c r="C38">
        <v>1083.1080711005197</v>
      </c>
      <c r="D38">
        <v>35756.36209188588</v>
      </c>
      <c r="E38">
        <v>30911.33168251114</v>
      </c>
      <c r="F38">
        <v>9.3811326548305185E+21</v>
      </c>
      <c r="G38">
        <v>39</v>
      </c>
      <c r="H38">
        <v>31.491810140853318</v>
      </c>
      <c r="I38">
        <v>3.1754287718848272E-2</v>
      </c>
      <c r="J38">
        <v>301</v>
      </c>
      <c r="K38">
        <f t="shared" si="6"/>
        <v>3149181.0140853319</v>
      </c>
      <c r="L38">
        <f t="shared" si="7"/>
        <v>3.1491810140853318E-4</v>
      </c>
      <c r="M38">
        <f t="shared" si="8"/>
        <v>0.17876262509089585</v>
      </c>
      <c r="N38">
        <f t="shared" si="9"/>
        <v>107.26908627565764</v>
      </c>
      <c r="O38" s="2">
        <f t="shared" si="10"/>
        <v>1.9055548159085851E-5</v>
      </c>
      <c r="P38" s="2">
        <f t="shared" si="11"/>
        <v>0.7460860024200292</v>
      </c>
    </row>
    <row r="39" spans="1:16" x14ac:dyDescent="0.25">
      <c r="A39" s="1">
        <v>44622.333483796298</v>
      </c>
      <c r="B39">
        <v>2208489.073351562</v>
      </c>
      <c r="C39">
        <v>742.96229623186809</v>
      </c>
      <c r="D39">
        <v>23990.336217319593</v>
      </c>
      <c r="E39">
        <v>22084.890733515378</v>
      </c>
      <c r="F39">
        <v>1.3043842847162489E+22</v>
      </c>
      <c r="G39">
        <v>40</v>
      </c>
      <c r="H39">
        <v>32.079801379276475</v>
      </c>
      <c r="I39">
        <v>3.1172262825978691E-2</v>
      </c>
      <c r="J39">
        <v>302</v>
      </c>
      <c r="K39">
        <f t="shared" si="6"/>
        <v>3207980.1379276477</v>
      </c>
      <c r="L39">
        <f t="shared" si="7"/>
        <v>3.2079801379276474E-4</v>
      </c>
      <c r="M39">
        <f t="shared" si="8"/>
        <v>0.17711677688244543</v>
      </c>
      <c r="N39">
        <f t="shared" si="9"/>
        <v>71.971008651958783</v>
      </c>
      <c r="O39" s="2">
        <f t="shared" si="10"/>
        <v>1.3578573351255515E-5</v>
      </c>
      <c r="P39" s="2">
        <f t="shared" si="11"/>
        <v>0.35670122135273069</v>
      </c>
    </row>
    <row r="40" spans="1:16" x14ac:dyDescent="0.25">
      <c r="A40" s="1">
        <v>44623.333495370367</v>
      </c>
      <c r="B40">
        <v>1575218.5643393397</v>
      </c>
      <c r="C40">
        <v>536.6000141248951</v>
      </c>
      <c r="D40">
        <v>17222.46105733607</v>
      </c>
      <c r="E40">
        <v>15752.185643393546</v>
      </c>
      <c r="F40">
        <v>1.9632096345560369E+22</v>
      </c>
      <c r="G40">
        <v>40</v>
      </c>
      <c r="H40">
        <v>31.209669493646935</v>
      </c>
      <c r="I40">
        <v>3.2041351806162535E-2</v>
      </c>
      <c r="J40">
        <v>303</v>
      </c>
      <c r="K40">
        <f t="shared" si="6"/>
        <v>3120966.9493646934</v>
      </c>
      <c r="L40">
        <f t="shared" si="7"/>
        <v>3.1209669493646936E-4</v>
      </c>
      <c r="M40">
        <f t="shared" si="8"/>
        <v>0.17956882919310049</v>
      </c>
      <c r="N40">
        <f t="shared" si="9"/>
        <v>51.667383172008208</v>
      </c>
      <c r="O40" s="2">
        <f t="shared" si="10"/>
        <v>9.1466966151940486E-6</v>
      </c>
      <c r="P40" s="2">
        <f t="shared" si="11"/>
        <v>0.17249384575299961</v>
      </c>
    </row>
    <row r="41" spans="1:16" x14ac:dyDescent="0.25">
      <c r="A41" s="1">
        <v>44624.333356481482</v>
      </c>
      <c r="B41">
        <v>1460786.9038613439</v>
      </c>
      <c r="C41">
        <v>525.28792363175307</v>
      </c>
      <c r="D41">
        <v>16141.139686858281</v>
      </c>
      <c r="E41">
        <v>14607.869038613513</v>
      </c>
      <c r="F41">
        <v>1.315550540625291E+22</v>
      </c>
      <c r="G41">
        <v>41</v>
      </c>
      <c r="H41">
        <v>30.097128885678138</v>
      </c>
      <c r="I41">
        <v>3.3225760629807276E-2</v>
      </c>
      <c r="J41">
        <v>304</v>
      </c>
      <c r="K41">
        <f t="shared" si="6"/>
        <v>3009712.8885678137</v>
      </c>
      <c r="L41">
        <f t="shared" si="7"/>
        <v>3.0097128885678141E-4</v>
      </c>
      <c r="M41">
        <f t="shared" si="8"/>
        <v>0.18285759427278112</v>
      </c>
      <c r="N41">
        <f t="shared" si="9"/>
        <v>48.423419060574844</v>
      </c>
      <c r="O41" s="2">
        <f t="shared" si="10"/>
        <v>1.3899701199306833E-5</v>
      </c>
      <c r="P41" s="2">
        <f t="shared" si="11"/>
        <v>0.24567093543664548</v>
      </c>
    </row>
    <row r="42" spans="1:16" x14ac:dyDescent="0.25">
      <c r="A42" s="1">
        <v>44625.333437499998</v>
      </c>
      <c r="B42">
        <v>2162798.4496341944</v>
      </c>
      <c r="C42">
        <v>816.59968877898064</v>
      </c>
      <c r="D42">
        <v>24993.331400510855</v>
      </c>
      <c r="E42">
        <v>21627.984496342018</v>
      </c>
      <c r="F42">
        <v>1.5688068402610306E+22</v>
      </c>
      <c r="G42">
        <v>42</v>
      </c>
      <c r="H42">
        <v>30.998174214547252</v>
      </c>
      <c r="I42">
        <v>3.2259964508835691E-2</v>
      </c>
      <c r="J42">
        <v>305</v>
      </c>
      <c r="K42">
        <f t="shared" si="6"/>
        <v>3099817.4214547253</v>
      </c>
      <c r="L42">
        <f t="shared" si="7"/>
        <v>3.0998174214547249E-4</v>
      </c>
      <c r="M42">
        <f t="shared" si="8"/>
        <v>0.18018037166886186</v>
      </c>
      <c r="N42">
        <f t="shared" si="9"/>
        <v>74.979994201532563</v>
      </c>
      <c r="O42" s="2">
        <f t="shared" si="10"/>
        <v>1.1485185240452037E-5</v>
      </c>
      <c r="P42" s="2">
        <f t="shared" si="11"/>
        <v>0.3143230797974067</v>
      </c>
    </row>
    <row r="43" spans="1:16" x14ac:dyDescent="0.25">
      <c r="A43" s="1">
        <v>44626.333425925928</v>
      </c>
      <c r="B43">
        <v>1066831.9250187874</v>
      </c>
      <c r="C43">
        <v>402.67045836048783</v>
      </c>
      <c r="D43">
        <v>12535.179080633447</v>
      </c>
      <c r="E43">
        <v>10668.319250187837</v>
      </c>
      <c r="F43">
        <v>2.2504749415259288E+22</v>
      </c>
      <c r="G43">
        <v>46</v>
      </c>
      <c r="H43">
        <v>31.447754655428856</v>
      </c>
      <c r="I43">
        <v>3.1798772629618222E-2</v>
      </c>
      <c r="J43">
        <v>306</v>
      </c>
      <c r="K43">
        <f t="shared" si="6"/>
        <v>3144775.4655428855</v>
      </c>
      <c r="L43">
        <f t="shared" si="7"/>
        <v>3.1447754655428855E-4</v>
      </c>
      <c r="M43">
        <f t="shared" si="8"/>
        <v>0.17888779647486805</v>
      </c>
      <c r="N43">
        <f t="shared" si="9"/>
        <v>37.605537241900343</v>
      </c>
      <c r="O43" s="2">
        <f t="shared" si="10"/>
        <v>7.948890839618665E-6</v>
      </c>
      <c r="P43" s="2">
        <f t="shared" si="11"/>
        <v>0.10910664333289428</v>
      </c>
    </row>
    <row r="44" spans="1:16" x14ac:dyDescent="0.25">
      <c r="A44" s="1">
        <v>44627.333333333336</v>
      </c>
      <c r="B44">
        <v>1266824.07973212</v>
      </c>
      <c r="C44">
        <v>496.46264003774559</v>
      </c>
      <c r="D44">
        <v>15655.655955951661</v>
      </c>
      <c r="E44">
        <v>12668.240797321312</v>
      </c>
      <c r="F44">
        <v>2.3940416086353293E+22</v>
      </c>
      <c r="G44">
        <v>47</v>
      </c>
      <c r="H44">
        <v>31.001274031968705</v>
      </c>
      <c r="I44">
        <v>3.2256738834952198E-2</v>
      </c>
      <c r="J44">
        <v>307</v>
      </c>
      <c r="K44">
        <f t="shared" si="6"/>
        <v>3100127.4031968703</v>
      </c>
      <c r="L44">
        <f t="shared" si="7"/>
        <v>3.1001274031968704E-4</v>
      </c>
      <c r="M44">
        <f t="shared" si="8"/>
        <v>0.18017136332589856</v>
      </c>
      <c r="N44">
        <f t="shared" si="9"/>
        <v>46.966967867854983</v>
      </c>
      <c r="O44" s="2">
        <f t="shared" si="10"/>
        <v>7.5258242244420002E-6</v>
      </c>
      <c r="P44" s="2">
        <f t="shared" si="11"/>
        <v>0.1290147777528996</v>
      </c>
    </row>
    <row r="45" spans="1:16" x14ac:dyDescent="0.25">
      <c r="A45" s="1">
        <v>44628.333368055559</v>
      </c>
      <c r="B45">
        <v>1381301.5276334882</v>
      </c>
      <c r="C45">
        <v>537.07564064179314</v>
      </c>
      <c r="D45">
        <v>16782.798776261508</v>
      </c>
      <c r="E45">
        <v>13813.015276334248</v>
      </c>
      <c r="F45">
        <v>2.4216948610359942E+22</v>
      </c>
      <c r="G45">
        <v>52</v>
      </c>
      <c r="H45">
        <v>31.687656066635405</v>
      </c>
      <c r="I45">
        <v>3.1558029975366997E-2</v>
      </c>
      <c r="J45">
        <v>308</v>
      </c>
      <c r="K45">
        <f t="shared" si="6"/>
        <v>3168765.6066635405</v>
      </c>
      <c r="L45">
        <f t="shared" si="7"/>
        <v>3.1687656066635406E-4</v>
      </c>
      <c r="M45">
        <f t="shared" si="8"/>
        <v>0.17820934664123417</v>
      </c>
      <c r="N45">
        <f t="shared" si="9"/>
        <v>50.348396328784524</v>
      </c>
      <c r="O45" s="2">
        <f t="shared" si="10"/>
        <v>7.3588687620618198E-6</v>
      </c>
      <c r="P45" s="2">
        <f t="shared" si="11"/>
        <v>0.13523514295178718</v>
      </c>
    </row>
    <row r="46" spans="1:16" x14ac:dyDescent="0.25">
      <c r="A46" s="1">
        <v>44629.333333333336</v>
      </c>
      <c r="B46">
        <v>3080384.7593023777</v>
      </c>
      <c r="C46">
        <v>1157.722973093536</v>
      </c>
      <c r="D46">
        <v>33759.535844836384</v>
      </c>
      <c r="E46">
        <v>30803.847593024373</v>
      </c>
      <c r="F46">
        <v>2.0609868946815479E+22</v>
      </c>
      <c r="G46">
        <v>60</v>
      </c>
      <c r="H46">
        <v>27.766598654357907</v>
      </c>
      <c r="I46">
        <v>3.6014493977030645E-2</v>
      </c>
      <c r="J46">
        <v>309</v>
      </c>
      <c r="K46">
        <f t="shared" si="6"/>
        <v>2776659.8654357907</v>
      </c>
      <c r="L46">
        <f t="shared" si="7"/>
        <v>2.7766598654357905E-4</v>
      </c>
      <c r="M46">
        <f t="shared" si="8"/>
        <v>0.19037687528933403</v>
      </c>
      <c r="N46">
        <f t="shared" si="9"/>
        <v>101.27860753450915</v>
      </c>
      <c r="O46" s="2">
        <f t="shared" si="10"/>
        <v>9.2371705895175026E-6</v>
      </c>
      <c r="P46" s="2">
        <f t="shared" si="11"/>
        <v>0.34146763782574457</v>
      </c>
    </row>
    <row r="47" spans="1:16" x14ac:dyDescent="0.25">
      <c r="A47" s="1">
        <v>44630.33357638889</v>
      </c>
      <c r="B47">
        <v>4738133.0329462886</v>
      </c>
      <c r="C47">
        <v>1754.4865409502818</v>
      </c>
      <c r="D47">
        <v>48650.303326431662</v>
      </c>
      <c r="E47">
        <v>47381.33032946242</v>
      </c>
      <c r="F47">
        <v>2.9638745789636452E+22</v>
      </c>
      <c r="G47">
        <v>59</v>
      </c>
      <c r="H47">
        <v>27.222254012469019</v>
      </c>
      <c r="I47">
        <v>3.6734650978642508E-2</v>
      </c>
      <c r="J47">
        <v>310</v>
      </c>
      <c r="K47">
        <f t="shared" si="6"/>
        <v>2722225.4012469021</v>
      </c>
      <c r="L47">
        <f t="shared" si="7"/>
        <v>2.7222254012469017E-4</v>
      </c>
      <c r="M47">
        <f t="shared" si="8"/>
        <v>0.19227087146914243</v>
      </c>
      <c r="N47">
        <f t="shared" si="9"/>
        <v>145.95090997929498</v>
      </c>
      <c r="O47" s="2">
        <f t="shared" si="10"/>
        <v>6.4871460092745306E-6</v>
      </c>
      <c r="P47" s="2">
        <f t="shared" si="11"/>
        <v>0.34558377507609195</v>
      </c>
    </row>
    <row r="48" spans="1:16" x14ac:dyDescent="0.25">
      <c r="A48" s="1">
        <v>44631.333414351851</v>
      </c>
      <c r="B48">
        <v>3226048.5916445851</v>
      </c>
      <c r="C48">
        <v>1249.9820989988657</v>
      </c>
      <c r="D48">
        <v>32748.283500527032</v>
      </c>
      <c r="E48">
        <v>32260.485916445963</v>
      </c>
      <c r="F48">
        <v>3.4699063134762926E+22</v>
      </c>
      <c r="G48">
        <v>64</v>
      </c>
      <c r="H48">
        <v>26.76340986125853</v>
      </c>
      <c r="I48">
        <v>3.7364446652500494E-2</v>
      </c>
      <c r="J48">
        <v>311</v>
      </c>
      <c r="K48">
        <f t="shared" si="6"/>
        <v>2676340.9861258529</v>
      </c>
      <c r="L48">
        <f t="shared" si="7"/>
        <v>2.6763409861258532E-4</v>
      </c>
      <c r="M48">
        <f t="shared" si="8"/>
        <v>0.19391205697632927</v>
      </c>
      <c r="N48">
        <f t="shared" si="9"/>
        <v>98.244850501581098</v>
      </c>
      <c r="O48" s="2">
        <f t="shared" si="10"/>
        <v>5.5883945979527134E-6</v>
      </c>
      <c r="P48" s="2">
        <f t="shared" si="11"/>
        <v>0.20039631201419331</v>
      </c>
    </row>
    <row r="49" spans="1:16" x14ac:dyDescent="0.25">
      <c r="A49" s="1">
        <v>44632.334016203706</v>
      </c>
      <c r="B49">
        <v>2464710.171890676</v>
      </c>
      <c r="C49">
        <v>957.73632966600417</v>
      </c>
      <c r="D49">
        <v>27135.409268485382</v>
      </c>
      <c r="E49">
        <v>24647.101718906779</v>
      </c>
      <c r="F49">
        <v>2.0789460689100741E+22</v>
      </c>
      <c r="G49">
        <v>65</v>
      </c>
      <c r="H49">
        <v>28.8506319157507</v>
      </c>
      <c r="I49">
        <v>3.4661285857453282E-2</v>
      </c>
      <c r="J49">
        <v>312</v>
      </c>
      <c r="K49">
        <f t="shared" si="6"/>
        <v>2885063.1915750699</v>
      </c>
      <c r="L49">
        <f t="shared" si="7"/>
        <v>2.8850631915750701E-4</v>
      </c>
      <c r="M49">
        <f t="shared" si="8"/>
        <v>0.18676602292079125</v>
      </c>
      <c r="N49">
        <f t="shared" si="9"/>
        <v>81.406227805456155</v>
      </c>
      <c r="O49" s="2">
        <f t="shared" si="10"/>
        <v>8.9836877307118789E-6</v>
      </c>
      <c r="P49" s="2">
        <f t="shared" si="11"/>
        <v>0.26693476742788563</v>
      </c>
    </row>
    <row r="50" spans="1:16" x14ac:dyDescent="0.25">
      <c r="A50" s="1">
        <v>44633.333425925928</v>
      </c>
      <c r="B50">
        <v>523534.21160513163</v>
      </c>
      <c r="C50">
        <v>202.43283491450711</v>
      </c>
      <c r="D50">
        <v>5931.2169084409252</v>
      </c>
      <c r="E50">
        <v>5235.3421160513535</v>
      </c>
      <c r="F50">
        <v>1.941637625044079E+22</v>
      </c>
      <c r="G50">
        <v>67</v>
      </c>
      <c r="H50">
        <v>29.616468838692448</v>
      </c>
      <c r="I50">
        <v>3.3764997625022386E-2</v>
      </c>
      <c r="J50">
        <v>313</v>
      </c>
      <c r="K50">
        <f t="shared" si="6"/>
        <v>2961646.8838692447</v>
      </c>
      <c r="L50">
        <f t="shared" si="7"/>
        <v>2.9616468838692447E-4</v>
      </c>
      <c r="M50">
        <f t="shared" si="8"/>
        <v>0.18433546446150925</v>
      </c>
      <c r="N50">
        <f t="shared" si="9"/>
        <v>17.793650725322777</v>
      </c>
      <c r="O50" s="2">
        <f t="shared" si="10"/>
        <v>9.4938139889684348E-6</v>
      </c>
      <c r="P50" s="2">
        <f t="shared" si="11"/>
        <v>6.1659307712374017E-2</v>
      </c>
    </row>
    <row r="51" spans="1:16" x14ac:dyDescent="0.25">
      <c r="A51" s="1">
        <v>44634.333749999998</v>
      </c>
      <c r="B51">
        <v>1826934.2512159348</v>
      </c>
      <c r="C51">
        <v>713.34211873452296</v>
      </c>
      <c r="D51">
        <v>20321.805157991126</v>
      </c>
      <c r="E51">
        <v>18269.342512159608</v>
      </c>
      <c r="F51">
        <v>3.8057548167453033E+22</v>
      </c>
      <c r="G51">
        <v>70</v>
      </c>
      <c r="H51">
        <v>27.589468699747858</v>
      </c>
      <c r="I51">
        <v>3.6245714293481085E-2</v>
      </c>
      <c r="J51">
        <v>314</v>
      </c>
      <c r="K51">
        <f t="shared" si="6"/>
        <v>2758946.869974786</v>
      </c>
      <c r="L51">
        <f t="shared" si="7"/>
        <v>2.758946869974786E-4</v>
      </c>
      <c r="M51">
        <f t="shared" si="8"/>
        <v>0.19098702650451554</v>
      </c>
      <c r="N51">
        <f t="shared" si="9"/>
        <v>60.96541547397338</v>
      </c>
      <c r="O51" s="2">
        <f t="shared" si="10"/>
        <v>5.0183744277002173E-6</v>
      </c>
      <c r="P51" s="2">
        <f t="shared" si="11"/>
        <v>0.11167075792587809</v>
      </c>
    </row>
    <row r="52" spans="1:16" x14ac:dyDescent="0.25">
      <c r="A52" s="1">
        <v>44635.333379629628</v>
      </c>
      <c r="B52">
        <v>1489880.8948588967</v>
      </c>
      <c r="C52">
        <v>582.81543113738007</v>
      </c>
      <c r="D52">
        <v>16010.262466070242</v>
      </c>
      <c r="E52">
        <v>14898.808948589023</v>
      </c>
      <c r="F52">
        <v>5.0176000904481668E+22</v>
      </c>
      <c r="G52">
        <v>72</v>
      </c>
      <c r="H52">
        <v>27.6474645586121</v>
      </c>
      <c r="I52">
        <v>3.6169681956912142E-2</v>
      </c>
      <c r="J52">
        <v>315</v>
      </c>
      <c r="K52">
        <f t="shared" si="6"/>
        <v>2764746.4558612099</v>
      </c>
      <c r="L52">
        <f t="shared" si="7"/>
        <v>2.7647464558612099E-4</v>
      </c>
      <c r="M52">
        <f t="shared" si="8"/>
        <v>0.19078660538707412</v>
      </c>
      <c r="N52">
        <f t="shared" si="9"/>
        <v>48.030787398210727</v>
      </c>
      <c r="O52" s="2">
        <f t="shared" si="10"/>
        <v>3.8023477747911405E-6</v>
      </c>
      <c r="P52" s="2">
        <f t="shared" si="11"/>
        <v>6.6659861518544319E-2</v>
      </c>
    </row>
    <row r="53" spans="1:16" x14ac:dyDescent="0.25">
      <c r="A53" s="1">
        <v>44636.333379629628</v>
      </c>
      <c r="B53">
        <v>1331639.4905894399</v>
      </c>
      <c r="C53">
        <v>508.76552147741313</v>
      </c>
      <c r="D53">
        <v>14899.752983096056</v>
      </c>
      <c r="E53">
        <v>13316.394905894063</v>
      </c>
      <c r="F53">
        <v>3.2960620469272585E+22</v>
      </c>
      <c r="G53">
        <v>71</v>
      </c>
      <c r="H53">
        <v>30.067048303594134</v>
      </c>
      <c r="I53">
        <v>3.3259001346017149E-2</v>
      </c>
      <c r="J53">
        <v>316</v>
      </c>
      <c r="K53">
        <f t="shared" si="6"/>
        <v>3006704.8303594133</v>
      </c>
      <c r="L53">
        <f t="shared" si="7"/>
        <v>3.0067048303594133E-4</v>
      </c>
      <c r="M53">
        <f t="shared" si="8"/>
        <v>0.18294904135750559</v>
      </c>
      <c r="N53">
        <f t="shared" si="9"/>
        <v>44.699258949288165</v>
      </c>
      <c r="O53" s="2">
        <f t="shared" si="10"/>
        <v>5.5505339023596095E-6</v>
      </c>
      <c r="P53" s="2">
        <f t="shared" si="11"/>
        <v>9.0558234556056924E-2</v>
      </c>
    </row>
    <row r="54" spans="1:16" x14ac:dyDescent="0.25">
      <c r="A54" s="1">
        <v>44637.333587962959</v>
      </c>
      <c r="B54">
        <v>2353956.589681685</v>
      </c>
      <c r="C54">
        <v>857.26851289547631</v>
      </c>
      <c r="D54">
        <v>26834.104405622929</v>
      </c>
      <c r="E54">
        <v>23539.565896816552</v>
      </c>
      <c r="F54">
        <v>2.356815947373782E+22</v>
      </c>
      <c r="G54">
        <v>69</v>
      </c>
      <c r="H54">
        <v>31.209669493646935</v>
      </c>
      <c r="I54">
        <v>3.2041351806162535E-2</v>
      </c>
      <c r="J54">
        <v>317</v>
      </c>
      <c r="K54">
        <f t="shared" si="6"/>
        <v>3120966.9493646934</v>
      </c>
      <c r="L54">
        <f t="shared" si="7"/>
        <v>3.1209669493646936E-4</v>
      </c>
      <c r="M54">
        <f t="shared" si="8"/>
        <v>0.17956882919310049</v>
      </c>
      <c r="N54">
        <f t="shared" si="9"/>
        <v>80.502313216868785</v>
      </c>
      <c r="O54" s="2">
        <f t="shared" si="10"/>
        <v>7.6191282307468863E-6</v>
      </c>
      <c r="P54" s="2">
        <f t="shared" si="11"/>
        <v>0.22387546825394172</v>
      </c>
    </row>
    <row r="55" spans="1:16" x14ac:dyDescent="0.25">
      <c r="A55" s="1">
        <v>44638.33384259259</v>
      </c>
      <c r="B55">
        <v>1381523.5026112795</v>
      </c>
      <c r="C55">
        <v>492.12211151077645</v>
      </c>
      <c r="D55">
        <v>16104.473076192662</v>
      </c>
      <c r="E55">
        <v>13815.235026112758</v>
      </c>
      <c r="F55">
        <v>2.2355620615915768E+22</v>
      </c>
      <c r="G55">
        <v>68</v>
      </c>
      <c r="H55">
        <v>33.697516211661515</v>
      </c>
      <c r="I55">
        <v>2.9675777695862802E-2</v>
      </c>
      <c r="J55">
        <v>318</v>
      </c>
      <c r="K55">
        <f t="shared" si="6"/>
        <v>3369751.6211661515</v>
      </c>
      <c r="L55">
        <f t="shared" si="7"/>
        <v>3.3697516211661515E-4</v>
      </c>
      <c r="M55">
        <f t="shared" si="8"/>
        <v>0.17281307194631296</v>
      </c>
      <c r="N55">
        <f t="shared" si="9"/>
        <v>48.313419228577985</v>
      </c>
      <c r="O55" s="2">
        <f t="shared" si="10"/>
        <v>7.7301844988047944E-6</v>
      </c>
      <c r="P55" s="2">
        <f t="shared" si="11"/>
        <v>0.13631715020782903</v>
      </c>
    </row>
    <row r="56" spans="1:16" x14ac:dyDescent="0.25">
      <c r="A56" s="1">
        <v>44639.333356481482</v>
      </c>
      <c r="B56">
        <v>744129.94429337978</v>
      </c>
      <c r="C56">
        <v>255.53322498722991</v>
      </c>
      <c r="D56">
        <v>8571.0820459965616</v>
      </c>
      <c r="E56">
        <v>7441.299442934338</v>
      </c>
      <c r="F56">
        <v>2.9751300934814604E+22</v>
      </c>
      <c r="G56">
        <v>69</v>
      </c>
      <c r="H56">
        <v>32.957710566143007</v>
      </c>
      <c r="I56">
        <v>3.0341913404242526E-2</v>
      </c>
      <c r="J56">
        <v>319</v>
      </c>
      <c r="K56">
        <f t="shared" si="6"/>
        <v>3295771.0566143007</v>
      </c>
      <c r="L56">
        <f t="shared" si="7"/>
        <v>3.2957710566143008E-4</v>
      </c>
      <c r="M56">
        <f t="shared" si="8"/>
        <v>0.1747418857192104</v>
      </c>
      <c r="N56">
        <f t="shared" si="9"/>
        <v>25.713246137989685</v>
      </c>
      <c r="O56" s="2">
        <f t="shared" si="10"/>
        <v>5.8734199926944908E-6</v>
      </c>
      <c r="P56" s="2">
        <f t="shared" si="11"/>
        <v>5.5124013289539205E-2</v>
      </c>
    </row>
    <row r="57" spans="1:16" x14ac:dyDescent="0.25">
      <c r="A57" s="1">
        <v>44640.333379629628</v>
      </c>
      <c r="B57">
        <v>1076820.5729181767</v>
      </c>
      <c r="C57">
        <v>365.58197075154749</v>
      </c>
      <c r="D57">
        <v>11693.763907458633</v>
      </c>
      <c r="E57">
        <v>10768.205729181878</v>
      </c>
      <c r="F57">
        <v>3.1011211647114388E+22</v>
      </c>
      <c r="G57">
        <v>68</v>
      </c>
      <c r="H57">
        <v>31.278402908955208</v>
      </c>
      <c r="I57">
        <v>3.1970941831997876E-2</v>
      </c>
      <c r="J57">
        <v>320</v>
      </c>
      <c r="K57">
        <f t="shared" si="6"/>
        <v>3127840.2908955207</v>
      </c>
      <c r="L57">
        <f t="shared" si="7"/>
        <v>3.1278402908955209E-4</v>
      </c>
      <c r="M57">
        <f t="shared" si="8"/>
        <v>0.17937142194507666</v>
      </c>
      <c r="N57">
        <f t="shared" si="9"/>
        <v>35.081291722375902</v>
      </c>
      <c r="O57" s="2">
        <f t="shared" si="10"/>
        <v>5.7840829950856584E-6</v>
      </c>
      <c r="P57" s="2">
        <f t="shared" si="11"/>
        <v>7.4063282557417301E-2</v>
      </c>
    </row>
    <row r="58" spans="1:16" x14ac:dyDescent="0.25">
      <c r="A58" s="1">
        <v>44641.333333333336</v>
      </c>
      <c r="B58">
        <v>1286368.18700701</v>
      </c>
      <c r="C58">
        <v>448.76975545316236</v>
      </c>
      <c r="D58">
        <v>13895.641757532954</v>
      </c>
      <c r="E58">
        <v>12863.68187006982</v>
      </c>
      <c r="F58">
        <v>3.2066463311680231E+22</v>
      </c>
      <c r="G58">
        <v>70</v>
      </c>
      <c r="H58">
        <v>30.402634820431018</v>
      </c>
      <c r="I58">
        <v>3.2891886045612904E-2</v>
      </c>
      <c r="J58">
        <v>321</v>
      </c>
      <c r="K58">
        <f t="shared" si="6"/>
        <v>3040263.4820431019</v>
      </c>
      <c r="L58">
        <f t="shared" si="7"/>
        <v>3.0402634820431016E-4</v>
      </c>
      <c r="M58">
        <f t="shared" si="8"/>
        <v>0.18193653710049446</v>
      </c>
      <c r="N58">
        <f t="shared" si="9"/>
        <v>41.686925272598863</v>
      </c>
      <c r="O58" s="2">
        <f t="shared" si="10"/>
        <v>5.6737325638971833E-6</v>
      </c>
      <c r="P58" s="2">
        <f t="shared" si="11"/>
        <v>8.6329969873880807E-2</v>
      </c>
    </row>
    <row r="59" spans="1:16" x14ac:dyDescent="0.25">
      <c r="A59" s="1">
        <v>44642.333344907405</v>
      </c>
      <c r="B59">
        <v>1843668.6795459986</v>
      </c>
      <c r="C59">
        <v>626.62907424083096</v>
      </c>
      <c r="D59">
        <v>19290.497250874527</v>
      </c>
      <c r="E59">
        <v>18436.68679546006</v>
      </c>
      <c r="F59">
        <v>2.4429094625163927E+22</v>
      </c>
      <c r="G59">
        <v>70</v>
      </c>
      <c r="H59">
        <v>32.034923323179882</v>
      </c>
      <c r="I59">
        <v>3.1215932372044054E-2</v>
      </c>
      <c r="J59">
        <v>322</v>
      </c>
      <c r="K59">
        <f t="shared" si="6"/>
        <v>3203492.3323179884</v>
      </c>
      <c r="L59">
        <f t="shared" si="7"/>
        <v>3.2034923323179883E-4</v>
      </c>
      <c r="M59">
        <f t="shared" si="8"/>
        <v>0.17724079582698601</v>
      </c>
      <c r="N59">
        <f t="shared" si="9"/>
        <v>57.871491752623584</v>
      </c>
      <c r="O59" s="2">
        <f t="shared" si="10"/>
        <v>7.2553157841721157E-6</v>
      </c>
      <c r="P59" s="2">
        <f t="shared" si="11"/>
        <v>0.15325472086173464</v>
      </c>
    </row>
    <row r="60" spans="1:16" x14ac:dyDescent="0.25">
      <c r="A60" s="1">
        <v>44643.333379629628</v>
      </c>
      <c r="B60">
        <v>875378.91152381897</v>
      </c>
      <c r="C60">
        <v>294.38061016758729</v>
      </c>
      <c r="D60">
        <v>9444.05635288544</v>
      </c>
      <c r="E60">
        <v>8753.7891152380034</v>
      </c>
      <c r="F60">
        <v>3.6414866800418025E+22</v>
      </c>
      <c r="G60">
        <v>72</v>
      </c>
      <c r="H60">
        <v>31.903855563336172</v>
      </c>
      <c r="I60">
        <v>3.1344173998493069E-2</v>
      </c>
      <c r="J60">
        <v>323</v>
      </c>
      <c r="K60">
        <f t="shared" si="6"/>
        <v>3190385.5563336173</v>
      </c>
      <c r="L60">
        <f t="shared" si="7"/>
        <v>3.190385556333617E-4</v>
      </c>
      <c r="M60">
        <f t="shared" si="8"/>
        <v>0.1776044939370279</v>
      </c>
      <c r="N60">
        <f t="shared" si="9"/>
        <v>28.332169058656319</v>
      </c>
      <c r="O60" s="2">
        <f t="shared" si="10"/>
        <v>4.8772523296718225E-6</v>
      </c>
      <c r="P60" s="2">
        <f t="shared" si="11"/>
        <v>5.0436845204285423E-2</v>
      </c>
    </row>
    <row r="61" spans="1:16" x14ac:dyDescent="0.25">
      <c r="A61" s="1">
        <v>44644.333402777775</v>
      </c>
      <c r="B61">
        <v>983884.56416785717</v>
      </c>
      <c r="C61">
        <v>328.4698785043438</v>
      </c>
      <c r="D61">
        <v>10442.32312275283</v>
      </c>
      <c r="E61">
        <v>9838.8456416786648</v>
      </c>
      <c r="F61">
        <v>3.6414866800418025E+22</v>
      </c>
      <c r="G61">
        <v>72</v>
      </c>
      <c r="H61">
        <v>32.385996306068222</v>
      </c>
      <c r="I61">
        <v>3.0877543199516397E-2</v>
      </c>
      <c r="J61">
        <v>324</v>
      </c>
      <c r="K61">
        <f t="shared" si="6"/>
        <v>3238599.6306068222</v>
      </c>
      <c r="L61">
        <f t="shared" si="7"/>
        <v>3.2385996306068222E-4</v>
      </c>
      <c r="M61">
        <f t="shared" si="8"/>
        <v>0.17627750899410277</v>
      </c>
      <c r="N61">
        <f t="shared" si="9"/>
        <v>31.326969368258492</v>
      </c>
      <c r="O61" s="2">
        <f t="shared" si="10"/>
        <v>4.8408115828142809E-6</v>
      </c>
      <c r="P61" s="2">
        <f t="shared" si="11"/>
        <v>5.5351504002901869E-2</v>
      </c>
    </row>
    <row r="62" spans="1:16" x14ac:dyDescent="0.25">
      <c r="A62" s="1">
        <v>44645.333344907405</v>
      </c>
      <c r="B62">
        <v>1258450.2465698123</v>
      </c>
      <c r="C62">
        <v>403.70133299572626</v>
      </c>
      <c r="D62">
        <v>13557.388574985787</v>
      </c>
      <c r="E62">
        <v>12584.502465697937</v>
      </c>
      <c r="F62">
        <v>2.9850813754625292E+22</v>
      </c>
      <c r="G62">
        <v>72</v>
      </c>
      <c r="H62">
        <v>34.049781371209129</v>
      </c>
      <c r="I62">
        <v>2.9368764195518517E-2</v>
      </c>
      <c r="J62">
        <v>325</v>
      </c>
      <c r="K62">
        <f t="shared" si="6"/>
        <v>3404978.1371209128</v>
      </c>
      <c r="L62">
        <f t="shared" si="7"/>
        <v>3.404978137120913E-4</v>
      </c>
      <c r="M62">
        <f t="shared" si="8"/>
        <v>0.17191682105575548</v>
      </c>
      <c r="N62">
        <f t="shared" si="9"/>
        <v>40.67216572495736</v>
      </c>
      <c r="O62" s="2">
        <f t="shared" si="10"/>
        <v>5.7592004850828396E-6</v>
      </c>
      <c r="P62" s="2">
        <f t="shared" si="11"/>
        <v>8.5497292148978582E-2</v>
      </c>
    </row>
    <row r="63" spans="1:16" x14ac:dyDescent="0.25">
      <c r="A63" s="1">
        <v>44646.333460648151</v>
      </c>
      <c r="B63">
        <v>739632.86555671692</v>
      </c>
      <c r="C63">
        <v>236.60044701329025</v>
      </c>
      <c r="D63">
        <v>8134.612544904463</v>
      </c>
      <c r="E63">
        <v>7396.3286555674858</v>
      </c>
      <c r="F63">
        <v>2.2399247200057989E+22</v>
      </c>
      <c r="G63">
        <v>70</v>
      </c>
      <c r="H63">
        <v>34.79321970835835</v>
      </c>
      <c r="I63">
        <v>2.8741232009631197E-2</v>
      </c>
      <c r="J63">
        <v>326</v>
      </c>
      <c r="K63">
        <f t="shared" si="6"/>
        <v>3479321.9708358352</v>
      </c>
      <c r="L63">
        <f t="shared" si="7"/>
        <v>3.4793219708358352E-4</v>
      </c>
      <c r="M63">
        <f t="shared" si="8"/>
        <v>0.17007020141208343</v>
      </c>
      <c r="N63">
        <f t="shared" si="9"/>
        <v>24.403837634713391</v>
      </c>
      <c r="O63" s="2">
        <f t="shared" si="10"/>
        <v>7.5926748739860844E-6</v>
      </c>
      <c r="P63" s="2">
        <f t="shared" si="11"/>
        <v>6.7630997765842388E-2</v>
      </c>
    </row>
    <row r="64" spans="1:16" x14ac:dyDescent="0.25">
      <c r="A64" s="1">
        <v>44647.333368055559</v>
      </c>
      <c r="B64">
        <v>330969.77879571915</v>
      </c>
      <c r="C64">
        <v>105.24680852326856</v>
      </c>
      <c r="D64">
        <v>3622.226784966886</v>
      </c>
      <c r="E64">
        <v>3309.6977879568003</v>
      </c>
      <c r="F64">
        <v>2.2983578647346087E+22</v>
      </c>
      <c r="G64">
        <v>71</v>
      </c>
      <c r="H64">
        <v>34.664729074114462</v>
      </c>
      <c r="I64">
        <v>2.884776620818133E-2</v>
      </c>
      <c r="J64">
        <v>327</v>
      </c>
      <c r="K64">
        <f t="shared" si="6"/>
        <v>3466472.9074114463</v>
      </c>
      <c r="L64">
        <f t="shared" si="7"/>
        <v>3.466472907411446E-4</v>
      </c>
      <c r="M64">
        <f t="shared" si="8"/>
        <v>0.17038510673730861</v>
      </c>
      <c r="N64">
        <f t="shared" si="9"/>
        <v>10.866680354900659</v>
      </c>
      <c r="O64" s="2">
        <f t="shared" si="10"/>
        <v>7.4133410358609655E-6</v>
      </c>
      <c r="P64" s="2">
        <f t="shared" si="11"/>
        <v>2.9403818700477775E-2</v>
      </c>
    </row>
    <row r="65" spans="1:16" x14ac:dyDescent="0.25">
      <c r="A65" s="1">
        <v>44648.333854166667</v>
      </c>
      <c r="B65">
        <v>1658322.4608325958</v>
      </c>
      <c r="C65">
        <v>502.56916932936292</v>
      </c>
      <c r="D65">
        <v>17581.906183126383</v>
      </c>
      <c r="E65">
        <v>16583.224608326331</v>
      </c>
      <c r="F65">
        <v>2.7815919040704465E+22</v>
      </c>
      <c r="G65">
        <v>71</v>
      </c>
      <c r="H65">
        <v>35.223797406867568</v>
      </c>
      <c r="I65">
        <v>2.8389897558433904E-2</v>
      </c>
      <c r="J65">
        <v>328</v>
      </c>
      <c r="K65">
        <f t="shared" si="6"/>
        <v>3522379.740686757</v>
      </c>
      <c r="L65">
        <f t="shared" si="7"/>
        <v>3.5223797406867569E-4</v>
      </c>
      <c r="M65">
        <f t="shared" si="8"/>
        <v>0.1690275313028213</v>
      </c>
      <c r="N65">
        <f t="shared" si="9"/>
        <v>52.745718549379148</v>
      </c>
      <c r="O65" s="2">
        <f t="shared" si="10"/>
        <v>6.0766473707187101E-6</v>
      </c>
      <c r="P65" s="2">
        <f t="shared" si="11"/>
        <v>0.11698875315801018</v>
      </c>
    </row>
    <row r="66" spans="1:16" x14ac:dyDescent="0.25">
      <c r="A66" s="1">
        <v>44649.333425925928</v>
      </c>
      <c r="B66">
        <v>2391193.7671937346</v>
      </c>
      <c r="C66">
        <v>706.41243603992916</v>
      </c>
      <c r="D66">
        <v>23851.35641065333</v>
      </c>
      <c r="E66">
        <v>23911.937671937048</v>
      </c>
      <c r="F66">
        <v>3.5034407775839529E+22</v>
      </c>
      <c r="G66">
        <v>68</v>
      </c>
      <c r="H66">
        <v>33.322228329119582</v>
      </c>
      <c r="I66">
        <v>3.0009997834572227E-2</v>
      </c>
      <c r="J66">
        <v>329</v>
      </c>
      <c r="K66">
        <f t="shared" si="6"/>
        <v>3332222.8329119585</v>
      </c>
      <c r="L66">
        <f t="shared" si="7"/>
        <v>3.3322228329119583E-4</v>
      </c>
      <c r="M66">
        <f t="shared" si="8"/>
        <v>0.17378349126725237</v>
      </c>
      <c r="N66">
        <f t="shared" si="9"/>
        <v>71.554069231959986</v>
      </c>
      <c r="O66" s="2">
        <f t="shared" si="10"/>
        <v>4.9603661742813059E-6</v>
      </c>
      <c r="P66" s="2">
        <f t="shared" si="11"/>
        <v>0.12955105039739492</v>
      </c>
    </row>
    <row r="67" spans="1:16" x14ac:dyDescent="0.25">
      <c r="A67" s="1">
        <v>44650.333506944444</v>
      </c>
      <c r="B67">
        <v>2659816.9192771316</v>
      </c>
      <c r="C67">
        <v>782.11572293349309</v>
      </c>
      <c r="D67">
        <v>24914.861446187831</v>
      </c>
      <c r="E67">
        <v>26598.169192771427</v>
      </c>
      <c r="F67">
        <v>3.9645109264669276E+22</v>
      </c>
      <c r="G67">
        <v>72</v>
      </c>
      <c r="H67">
        <v>32.002906012019146</v>
      </c>
      <c r="I67">
        <v>3.1247162355332224E-2</v>
      </c>
      <c r="J67">
        <v>330</v>
      </c>
      <c r="K67">
        <f t="shared" si="6"/>
        <v>3200290.6012019147</v>
      </c>
      <c r="L67">
        <f t="shared" si="7"/>
        <v>3.2002906012019148E-4</v>
      </c>
      <c r="M67">
        <f t="shared" si="8"/>
        <v>0.17732943395075154</v>
      </c>
      <c r="N67">
        <f t="shared" si="9"/>
        <v>74.744584338563499</v>
      </c>
      <c r="O67" s="2">
        <f t="shared" si="10"/>
        <v>4.472920802586438E-6</v>
      </c>
      <c r="P67" s="2">
        <f t="shared" si="11"/>
        <v>0.12202921125155257</v>
      </c>
    </row>
    <row r="68" spans="1:16" x14ac:dyDescent="0.25">
      <c r="A68" s="1">
        <v>44651.333379629628</v>
      </c>
      <c r="B68">
        <v>2118325.1426665187</v>
      </c>
      <c r="C68">
        <v>625.13480488637288</v>
      </c>
      <c r="D68">
        <v>19742.791824253276</v>
      </c>
      <c r="E68">
        <v>21183.251426665112</v>
      </c>
      <c r="F68">
        <v>3.9449864402746554E+22</v>
      </c>
      <c r="G68">
        <v>73</v>
      </c>
      <c r="H68">
        <v>31.763793963295566</v>
      </c>
      <c r="I68">
        <v>3.1482385295520526E-2</v>
      </c>
      <c r="J68">
        <v>331</v>
      </c>
      <c r="K68">
        <f t="shared" si="6"/>
        <v>3176379.3963295566</v>
      </c>
      <c r="L68">
        <f t="shared" si="7"/>
        <v>3.1763793963295565E-4</v>
      </c>
      <c r="M68">
        <f t="shared" si="8"/>
        <v>0.17799563436371121</v>
      </c>
      <c r="N68">
        <f t="shared" si="9"/>
        <v>59.228375472759829</v>
      </c>
      <c r="O68" s="2">
        <f t="shared" si="10"/>
        <v>4.5119454035770755E-6</v>
      </c>
      <c r="P68" s="2">
        <f t="shared" si="11"/>
        <v>9.7540846713614404E-2</v>
      </c>
    </row>
    <row r="69" spans="1:16" x14ac:dyDescent="0.25">
      <c r="A69" s="1">
        <v>44652.333541666667</v>
      </c>
      <c r="B69">
        <v>2038941.3578978181</v>
      </c>
      <c r="C69">
        <v>617.83305570190714</v>
      </c>
      <c r="D69">
        <v>19846.395120851696</v>
      </c>
      <c r="E69">
        <v>20389.41357897874</v>
      </c>
      <c r="F69">
        <v>4.0198365260524322E+22</v>
      </c>
      <c r="G69">
        <v>74</v>
      </c>
      <c r="H69">
        <v>32.092635224744591</v>
      </c>
      <c r="I69">
        <v>3.1159797037451246E-2</v>
      </c>
      <c r="J69">
        <v>332</v>
      </c>
      <c r="K69">
        <f t="shared" si="6"/>
        <v>3209263.5224744589</v>
      </c>
      <c r="L69">
        <f t="shared" si="7"/>
        <v>3.2092635224744592E-4</v>
      </c>
      <c r="M69">
        <f t="shared" si="8"/>
        <v>0.17708135883986389</v>
      </c>
      <c r="N69">
        <f t="shared" si="9"/>
        <v>59.539185362555088</v>
      </c>
      <c r="O69" s="2">
        <f t="shared" si="10"/>
        <v>4.4051880640470151E-6</v>
      </c>
      <c r="P69" s="2">
        <f t="shared" si="11"/>
        <v>9.5732677676306818E-2</v>
      </c>
    </row>
    <row r="70" spans="1:16" x14ac:dyDescent="0.25">
      <c r="A70" s="1">
        <v>44653.333506944444</v>
      </c>
      <c r="B70">
        <v>1597945.5487250686</v>
      </c>
      <c r="C70">
        <v>462.42002340927138</v>
      </c>
      <c r="D70">
        <v>14734.275141834281</v>
      </c>
      <c r="E70">
        <v>15979.455487249885</v>
      </c>
      <c r="F70">
        <v>5.1223816740086263E+22</v>
      </c>
      <c r="G70">
        <v>75</v>
      </c>
      <c r="H70">
        <v>31.181594830305876</v>
      </c>
      <c r="I70">
        <v>3.2070200560366607E-2</v>
      </c>
      <c r="J70">
        <v>333</v>
      </c>
      <c r="K70">
        <f t="shared" si="6"/>
        <v>3118159.4830305874</v>
      </c>
      <c r="L70">
        <f t="shared" si="7"/>
        <v>3.1181594830305875E-4</v>
      </c>
      <c r="M70">
        <f t="shared" si="8"/>
        <v>0.17964964930846114</v>
      </c>
      <c r="N70">
        <f t="shared" si="9"/>
        <v>44.202825425502844</v>
      </c>
      <c r="O70" s="2">
        <f t="shared" si="10"/>
        <v>3.5071507892513712E-6</v>
      </c>
      <c r="P70" s="2">
        <f t="shared" si="11"/>
        <v>5.6584480538540399E-2</v>
      </c>
    </row>
    <row r="71" spans="1:16" x14ac:dyDescent="0.25">
      <c r="A71" s="1">
        <v>44654.333356481482</v>
      </c>
      <c r="B71">
        <v>1777955.6289748549</v>
      </c>
      <c r="C71">
        <v>512.38789522311708</v>
      </c>
      <c r="D71">
        <v>15558.00512356218</v>
      </c>
      <c r="E71">
        <v>17779.556289748754</v>
      </c>
      <c r="F71">
        <v>5.2559731799187907E+22</v>
      </c>
      <c r="G71">
        <v>76</v>
      </c>
      <c r="H71">
        <v>30.251008608913917</v>
      </c>
      <c r="I71">
        <v>3.3056749046884173E-2</v>
      </c>
      <c r="J71">
        <v>334</v>
      </c>
      <c r="K71">
        <f t="shared" si="6"/>
        <v>3025100.8608913915</v>
      </c>
      <c r="L71">
        <f t="shared" si="7"/>
        <v>3.0251008608913916E-4</v>
      </c>
      <c r="M71">
        <f t="shared" si="8"/>
        <v>0.18239192467154125</v>
      </c>
      <c r="N71">
        <f t="shared" si="9"/>
        <v>46.67401537068654</v>
      </c>
      <c r="O71" s="2">
        <f t="shared" si="10"/>
        <v>3.4701837020096695E-6</v>
      </c>
      <c r="P71" s="2">
        <f t="shared" si="11"/>
        <v>5.9118103718047411E-2</v>
      </c>
    </row>
    <row r="72" spans="1:16" x14ac:dyDescent="0.25">
      <c r="A72" s="1">
        <v>44655.333368055559</v>
      </c>
      <c r="B72">
        <v>1384086.3533033729</v>
      </c>
      <c r="C72">
        <v>394.79722077437327</v>
      </c>
      <c r="D72">
        <v>12159.777829647064</v>
      </c>
      <c r="E72">
        <v>13840.863533033989</v>
      </c>
      <c r="F72">
        <v>5.2937716729934932E+22</v>
      </c>
      <c r="G72">
        <v>77</v>
      </c>
      <c r="H72">
        <v>30.548910935725914</v>
      </c>
      <c r="I72">
        <v>3.2734391157314024E-2</v>
      </c>
      <c r="J72">
        <v>335</v>
      </c>
      <c r="K72">
        <f t="shared" si="6"/>
        <v>3054891.0935725914</v>
      </c>
      <c r="L72">
        <f t="shared" si="7"/>
        <v>3.0548910935725913E-4</v>
      </c>
      <c r="M72">
        <f t="shared" si="8"/>
        <v>0.18150043474834876</v>
      </c>
      <c r="N72">
        <f t="shared" si="9"/>
        <v>36.479333488941194</v>
      </c>
      <c r="O72" s="2">
        <f t="shared" si="10"/>
        <v>3.4285656042606552E-6</v>
      </c>
      <c r="P72" s="2">
        <f t="shared" si="11"/>
        <v>4.5651202644286237E-2</v>
      </c>
    </row>
    <row r="73" spans="1:16" x14ac:dyDescent="0.25">
      <c r="A73" s="1">
        <v>44656.333368055559</v>
      </c>
      <c r="B73">
        <v>3280468.2248734832</v>
      </c>
      <c r="C73">
        <v>936.41352750161604</v>
      </c>
      <c r="D73">
        <v>28306.712898945436</v>
      </c>
      <c r="E73">
        <v>32804.682248734869</v>
      </c>
      <c r="F73">
        <v>5.0261585739676276E+22</v>
      </c>
      <c r="G73">
        <v>78</v>
      </c>
      <c r="H73">
        <v>29.863296105129912</v>
      </c>
      <c r="I73">
        <v>3.348592186474085E-2</v>
      </c>
      <c r="J73">
        <v>336</v>
      </c>
      <c r="K73">
        <f t="shared" si="6"/>
        <v>2986329.610512991</v>
      </c>
      <c r="L73">
        <f t="shared" si="7"/>
        <v>2.986329610512991E-4</v>
      </c>
      <c r="M73">
        <f t="shared" si="8"/>
        <v>0.18357209553785908</v>
      </c>
      <c r="N73">
        <f t="shared" si="9"/>
        <v>84.920138696836304</v>
      </c>
      <c r="O73" s="2">
        <f t="shared" si="10"/>
        <v>3.6523339412458703E-6</v>
      </c>
      <c r="P73" s="2">
        <f t="shared" si="11"/>
        <v>0.11320719727308316</v>
      </c>
    </row>
    <row r="74" spans="1:16" x14ac:dyDescent="0.25">
      <c r="A74" s="1">
        <v>44657.333333333336</v>
      </c>
      <c r="B74">
        <v>1492661.8688786626</v>
      </c>
      <c r="C74">
        <v>443.18850970233325</v>
      </c>
      <c r="D74">
        <v>12916.622879016213</v>
      </c>
      <c r="E74">
        <v>14926.618688786402</v>
      </c>
      <c r="F74">
        <v>5.1549606401003343E+22</v>
      </c>
      <c r="G74">
        <v>80</v>
      </c>
      <c r="H74">
        <v>29.365808203195989</v>
      </c>
      <c r="I74">
        <v>3.405320885706685E-2</v>
      </c>
      <c r="J74">
        <v>337</v>
      </c>
      <c r="K74">
        <f t="shared" si="6"/>
        <v>2936580.820319599</v>
      </c>
      <c r="L74">
        <f t="shared" si="7"/>
        <v>2.9365808203195992E-4</v>
      </c>
      <c r="M74">
        <f t="shared" si="8"/>
        <v>0.18512051799058793</v>
      </c>
      <c r="N74">
        <f t="shared" si="9"/>
        <v>38.749868637048642</v>
      </c>
      <c r="O74" s="2">
        <f t="shared" si="10"/>
        <v>3.5911140921336852E-6</v>
      </c>
      <c r="P74" s="2">
        <f t="shared" si="11"/>
        <v>5.0791647755754586E-2</v>
      </c>
    </row>
    <row r="75" spans="1:16" x14ac:dyDescent="0.25">
      <c r="A75" s="1">
        <v>44658.333506944444</v>
      </c>
      <c r="B75">
        <v>2088459.9906930327</v>
      </c>
      <c r="C75">
        <v>644.6567198963894</v>
      </c>
      <c r="D75">
        <v>19389.603300545365</v>
      </c>
      <c r="E75">
        <v>20884.5999069307</v>
      </c>
      <c r="F75">
        <v>5.2534675783762796E+22</v>
      </c>
      <c r="G75">
        <v>80</v>
      </c>
      <c r="H75">
        <v>30.423923050422829</v>
      </c>
      <c r="I75">
        <v>3.286887093234684E-2</v>
      </c>
      <c r="J75">
        <v>338</v>
      </c>
      <c r="K75">
        <f t="shared" si="6"/>
        <v>3042392.3050422827</v>
      </c>
      <c r="L75">
        <f t="shared" si="7"/>
        <v>3.0423923050422827E-4</v>
      </c>
      <c r="M75">
        <f t="shared" si="8"/>
        <v>0.18187287363738533</v>
      </c>
      <c r="N75">
        <f t="shared" si="9"/>
        <v>58.168809901636095</v>
      </c>
      <c r="O75" s="2">
        <f t="shared" si="10"/>
        <v>3.4619586192173258E-6</v>
      </c>
      <c r="P75" s="2">
        <f t="shared" si="11"/>
        <v>7.3502974675132865E-2</v>
      </c>
    </row>
    <row r="76" spans="1:16" x14ac:dyDescent="0.25">
      <c r="A76" s="1">
        <v>44659.333437499998</v>
      </c>
      <c r="B76">
        <v>3045415.980628252</v>
      </c>
      <c r="C76">
        <v>942.29397459057509</v>
      </c>
      <c r="D76">
        <v>29347.702205415815</v>
      </c>
      <c r="E76">
        <v>30454.15980628226</v>
      </c>
      <c r="F76">
        <v>5.5786315372009546E+22</v>
      </c>
      <c r="G76">
        <v>81</v>
      </c>
      <c r="H76">
        <v>32.366571507530601</v>
      </c>
      <c r="I76">
        <v>3.0896074357685183E-2</v>
      </c>
      <c r="J76">
        <v>339</v>
      </c>
      <c r="K76">
        <f t="shared" si="6"/>
        <v>3236657.1507530599</v>
      </c>
      <c r="L76">
        <f t="shared" si="7"/>
        <v>3.2366571507530599E-4</v>
      </c>
      <c r="M76">
        <f t="shared" si="8"/>
        <v>0.17633039753530255</v>
      </c>
      <c r="N76">
        <f t="shared" si="9"/>
        <v>88.043106616247442</v>
      </c>
      <c r="O76" s="2">
        <f t="shared" si="10"/>
        <v>3.1608181389906832E-6</v>
      </c>
      <c r="P76" s="2">
        <f t="shared" si="11"/>
        <v>0.10157521066808982</v>
      </c>
    </row>
    <row r="77" spans="1:16" x14ac:dyDescent="0.25">
      <c r="A77" s="1">
        <v>44660.333414351851</v>
      </c>
      <c r="B77">
        <v>1252678.6419953108</v>
      </c>
      <c r="C77">
        <v>387.43983143124206</v>
      </c>
      <c r="D77">
        <v>12955.586364801973</v>
      </c>
      <c r="E77">
        <v>12526.78641995322</v>
      </c>
      <c r="F77">
        <v>3.6948721011288787E+22</v>
      </c>
      <c r="G77">
        <v>83</v>
      </c>
      <c r="H77">
        <v>33.842720236220266</v>
      </c>
      <c r="I77">
        <v>2.9548452164012137E-2</v>
      </c>
      <c r="J77">
        <v>340</v>
      </c>
      <c r="K77">
        <f t="shared" si="6"/>
        <v>3384272.0236220267</v>
      </c>
      <c r="L77">
        <f t="shared" si="7"/>
        <v>3.3842720236220266E-4</v>
      </c>
      <c r="M77">
        <f t="shared" si="8"/>
        <v>0.17244194150601985</v>
      </c>
      <c r="N77">
        <f t="shared" si="9"/>
        <v>38.866759094405921</v>
      </c>
      <c r="O77" s="2">
        <f t="shared" si="10"/>
        <v>4.6670611806382799E-6</v>
      </c>
      <c r="P77" s="2">
        <f t="shared" si="11"/>
        <v>6.6208643044153428E-2</v>
      </c>
    </row>
    <row r="78" spans="1:16" x14ac:dyDescent="0.25">
      <c r="A78" s="1">
        <v>44661.333344907405</v>
      </c>
      <c r="B78">
        <v>984383.67038929462</v>
      </c>
      <c r="C78">
        <v>304.12472341913963</v>
      </c>
      <c r="D78">
        <v>10370.827271106653</v>
      </c>
      <c r="E78">
        <v>9843.8367038927972</v>
      </c>
      <c r="F78">
        <v>3.869722941273467E+22</v>
      </c>
      <c r="G78">
        <v>78</v>
      </c>
      <c r="H78">
        <v>34.405729020049179</v>
      </c>
      <c r="I78">
        <v>2.9064926931711636E-2</v>
      </c>
      <c r="J78">
        <v>341</v>
      </c>
      <c r="K78">
        <f t="shared" si="6"/>
        <v>3440572.9020049181</v>
      </c>
      <c r="L78">
        <f t="shared" si="7"/>
        <v>3.4405729020049177E-4</v>
      </c>
      <c r="M78">
        <f t="shared" si="8"/>
        <v>0.17102521834169171</v>
      </c>
      <c r="N78">
        <f t="shared" si="9"/>
        <v>31.11248181331996</v>
      </c>
      <c r="O78" s="2">
        <f t="shared" si="10"/>
        <v>4.4195726913051277E-6</v>
      </c>
      <c r="P78" s="2">
        <f t="shared" si="11"/>
        <v>5.0188914368019859E-2</v>
      </c>
    </row>
    <row r="79" spans="1:16" x14ac:dyDescent="0.25">
      <c r="A79" s="1">
        <v>44662.333391203705</v>
      </c>
      <c r="B79">
        <v>1847396.2436674237</v>
      </c>
      <c r="C79">
        <v>591.40205968551163</v>
      </c>
      <c r="D79">
        <v>21365.545174315572</v>
      </c>
      <c r="E79">
        <v>18473.962436674628</v>
      </c>
      <c r="F79">
        <v>3.7668882484416871E+22</v>
      </c>
      <c r="G79">
        <v>77</v>
      </c>
      <c r="H79">
        <v>35.609817485627545</v>
      </c>
      <c r="I79">
        <v>2.8082143369693186E-2</v>
      </c>
      <c r="J79">
        <v>342</v>
      </c>
      <c r="K79">
        <f t="shared" si="6"/>
        <v>3560981.7485627546</v>
      </c>
      <c r="L79">
        <f t="shared" si="7"/>
        <v>3.5609817485627546E-4</v>
      </c>
      <c r="M79">
        <f t="shared" si="8"/>
        <v>0.16810888277983843</v>
      </c>
      <c r="N79">
        <f t="shared" si="9"/>
        <v>64.096635522946713</v>
      </c>
      <c r="O79" s="2">
        <f t="shared" si="10"/>
        <v>4.4628051508929922E-6</v>
      </c>
      <c r="P79" s="2">
        <f t="shared" si="11"/>
        <v>0.10440854023585183</v>
      </c>
    </row>
    <row r="80" spans="1:16" x14ac:dyDescent="0.25">
      <c r="A80" s="1">
        <v>44663.333634259259</v>
      </c>
      <c r="B80">
        <v>4782296.4389332533</v>
      </c>
      <c r="C80">
        <v>1584.8905295085569</v>
      </c>
      <c r="D80">
        <v>53333.487911273725</v>
      </c>
      <c r="E80">
        <v>47822.964389332104</v>
      </c>
      <c r="F80">
        <v>3.6671272848153985E+22</v>
      </c>
      <c r="G80">
        <v>76</v>
      </c>
      <c r="H80">
        <v>35.220275379329635</v>
      </c>
      <c r="I80">
        <v>2.8392736548189745E-2</v>
      </c>
      <c r="J80">
        <v>343</v>
      </c>
      <c r="K80">
        <f t="shared" si="6"/>
        <v>3522027.5379329636</v>
      </c>
      <c r="L80">
        <f t="shared" si="7"/>
        <v>3.5220275379329636E-4</v>
      </c>
      <c r="M80">
        <f t="shared" si="8"/>
        <v>0.16903598246811258</v>
      </c>
      <c r="N80">
        <f t="shared" si="9"/>
        <v>160.00046373382119</v>
      </c>
      <c r="O80" s="2">
        <f t="shared" si="10"/>
        <v>4.6094931901612951E-6</v>
      </c>
      <c r="P80" s="2">
        <f t="shared" si="11"/>
        <v>0.26919518252134977</v>
      </c>
    </row>
    <row r="81" spans="1:16" x14ac:dyDescent="0.25">
      <c r="A81" s="1">
        <v>44664.333333333336</v>
      </c>
      <c r="B81">
        <v>1203655.9178898931</v>
      </c>
      <c r="C81">
        <v>395.50885424453008</v>
      </c>
      <c r="D81">
        <v>14013.076913886704</v>
      </c>
      <c r="E81">
        <v>12036.559178899042</v>
      </c>
      <c r="F81">
        <v>3.9000719160486497E+22</v>
      </c>
      <c r="G81">
        <v>76</v>
      </c>
      <c r="H81">
        <v>35.856362501419817</v>
      </c>
      <c r="I81">
        <v>2.7889053162054648E-2</v>
      </c>
      <c r="J81">
        <v>344</v>
      </c>
      <c r="K81">
        <f t="shared" ref="K81:K128" si="12">(1+$U$16)*H81</f>
        <v>3585636.2501419815</v>
      </c>
      <c r="L81">
        <f t="shared" ref="L81:L128" si="13">H81/(1+$U$16)</f>
        <v>3.5856362501419817E-4</v>
      </c>
      <c r="M81">
        <f t="shared" ref="M81:M128" si="14">1/(SQRT(H81)-SQRT(L81))</f>
        <v>0.16752993533968658</v>
      </c>
      <c r="N81">
        <f t="shared" ref="N81:N128" si="15">D81*0.003</f>
        <v>42.039230741660113</v>
      </c>
      <c r="O81" s="2">
        <f t="shared" ref="O81:O128" si="16">M81/(F81/POWER(10,$U$21))</f>
        <v>4.2955601575013827E-6</v>
      </c>
      <c r="P81" s="2">
        <f t="shared" ref="P81:P128" si="17">O81*N81*365</f>
        <v>6.5912446288447113E-2</v>
      </c>
    </row>
    <row r="82" spans="1:16" x14ac:dyDescent="0.25">
      <c r="A82" s="1">
        <v>44665.333680555559</v>
      </c>
      <c r="B82">
        <v>334826.89032244682</v>
      </c>
      <c r="C82">
        <v>108.90425952353689</v>
      </c>
      <c r="D82">
        <v>3864.4710100917146</v>
      </c>
      <c r="E82">
        <v>3348.2689032242633</v>
      </c>
      <c r="F82">
        <v>3.8264092440539355E+22</v>
      </c>
      <c r="G82">
        <v>75</v>
      </c>
      <c r="H82">
        <v>35.720373665662521</v>
      </c>
      <c r="I82">
        <v>2.7995227859592228E-2</v>
      </c>
      <c r="J82">
        <v>345</v>
      </c>
      <c r="K82">
        <f t="shared" si="12"/>
        <v>3572037.366566252</v>
      </c>
      <c r="L82">
        <f t="shared" si="13"/>
        <v>3.5720373665662519E-4</v>
      </c>
      <c r="M82">
        <f t="shared" si="14"/>
        <v>0.16784852885542284</v>
      </c>
      <c r="N82">
        <f t="shared" si="15"/>
        <v>11.593413030275144</v>
      </c>
      <c r="O82" s="2">
        <f t="shared" si="16"/>
        <v>4.3865806856977406E-6</v>
      </c>
      <c r="P82" s="2">
        <f t="shared" si="17"/>
        <v>1.8562236213171334E-2</v>
      </c>
    </row>
    <row r="83" spans="1:16" x14ac:dyDescent="0.25">
      <c r="A83" s="1">
        <v>44666.333391203705</v>
      </c>
      <c r="B83">
        <v>787113.35342466831</v>
      </c>
      <c r="C83">
        <v>259.01717187985196</v>
      </c>
      <c r="D83">
        <v>9513.0125154992566</v>
      </c>
      <c r="E83">
        <v>7871.1335342470556</v>
      </c>
      <c r="F83">
        <v>5.123677834179595E+22</v>
      </c>
      <c r="G83">
        <v>74</v>
      </c>
      <c r="H83">
        <v>37.118641029321623</v>
      </c>
      <c r="I83">
        <v>2.6940641474725777E-2</v>
      </c>
      <c r="J83">
        <v>346</v>
      </c>
      <c r="K83">
        <f t="shared" si="12"/>
        <v>3711864.1029321621</v>
      </c>
      <c r="L83">
        <f t="shared" si="13"/>
        <v>3.7118641029321625E-4</v>
      </c>
      <c r="M83">
        <f t="shared" si="14"/>
        <v>0.16465673594668226</v>
      </c>
      <c r="N83">
        <f t="shared" si="15"/>
        <v>28.53903754649777</v>
      </c>
      <c r="O83" s="2">
        <f t="shared" si="16"/>
        <v>3.2136434271544545E-6</v>
      </c>
      <c r="P83" s="2">
        <f t="shared" si="17"/>
        <v>3.3475716006445118E-2</v>
      </c>
    </row>
    <row r="84" spans="1:16" x14ac:dyDescent="0.25">
      <c r="A84" s="1">
        <v>44667.33357638889</v>
      </c>
      <c r="B84">
        <v>568481.73636734486</v>
      </c>
      <c r="C84">
        <v>187.388604805863</v>
      </c>
      <c r="D84">
        <v>7088.124524993822</v>
      </c>
      <c r="E84">
        <v>5684.8173636733554</v>
      </c>
      <c r="F84">
        <v>4.7057795601655526E+22</v>
      </c>
      <c r="G84">
        <v>72</v>
      </c>
      <c r="H84">
        <v>37.645694511153955</v>
      </c>
      <c r="I84">
        <v>2.6563462647865677E-2</v>
      </c>
      <c r="J84">
        <v>347</v>
      </c>
      <c r="K84">
        <f t="shared" si="12"/>
        <v>3764569.4511153954</v>
      </c>
      <c r="L84">
        <f t="shared" si="13"/>
        <v>3.7645694511153954E-4</v>
      </c>
      <c r="M84">
        <f t="shared" si="14"/>
        <v>0.16350004591478048</v>
      </c>
      <c r="N84">
        <f t="shared" si="15"/>
        <v>21.264373574981466</v>
      </c>
      <c r="O84" s="2">
        <f t="shared" si="16"/>
        <v>3.4744518697562714E-6</v>
      </c>
      <c r="P84" s="2">
        <f t="shared" si="17"/>
        <v>2.6966945522278424E-2</v>
      </c>
    </row>
    <row r="85" spans="1:16" x14ac:dyDescent="0.25">
      <c r="A85" s="1">
        <v>44668.333449074074</v>
      </c>
      <c r="B85">
        <v>224871.40991592407</v>
      </c>
      <c r="C85">
        <v>74.088235547533259</v>
      </c>
      <c r="D85">
        <v>2762.1924755107611</v>
      </c>
      <c r="E85">
        <v>2248.7140991594642</v>
      </c>
      <c r="F85">
        <v>6.1387216016241808E+22</v>
      </c>
      <c r="G85">
        <v>74</v>
      </c>
      <c r="H85">
        <v>37.386846214777094</v>
      </c>
      <c r="I85">
        <v>2.6747375113035116E-2</v>
      </c>
      <c r="J85">
        <v>348</v>
      </c>
      <c r="K85">
        <f t="shared" si="12"/>
        <v>3738684.6214777096</v>
      </c>
      <c r="L85">
        <f t="shared" si="13"/>
        <v>3.7386846214777092E-4</v>
      </c>
      <c r="M85">
        <f t="shared" si="14"/>
        <v>0.16406506692344472</v>
      </c>
      <c r="N85">
        <f t="shared" si="15"/>
        <v>8.2865774265322845</v>
      </c>
      <c r="O85" s="2">
        <f t="shared" si="16"/>
        <v>2.6726259565189671E-6</v>
      </c>
      <c r="P85" s="2">
        <f t="shared" si="17"/>
        <v>8.0836265011118309E-3</v>
      </c>
    </row>
    <row r="86" spans="1:16" x14ac:dyDescent="0.25">
      <c r="A86" s="1">
        <v>44669.333819444444</v>
      </c>
      <c r="B86">
        <v>1127771.965964973</v>
      </c>
      <c r="C86">
        <v>380.50190167714027</v>
      </c>
      <c r="D86">
        <v>14286.64363309741</v>
      </c>
      <c r="E86">
        <v>11277.719659649301</v>
      </c>
      <c r="F86">
        <v>6.6082337733292952E+22</v>
      </c>
      <c r="G86">
        <v>75</v>
      </c>
      <c r="H86">
        <v>36.752997685782212</v>
      </c>
      <c r="I86">
        <v>2.7208664951616914E-2</v>
      </c>
      <c r="J86">
        <v>349</v>
      </c>
      <c r="K86">
        <f t="shared" si="12"/>
        <v>3675299.7685782211</v>
      </c>
      <c r="L86">
        <f t="shared" si="13"/>
        <v>3.6752997685782213E-4</v>
      </c>
      <c r="M86">
        <f t="shared" si="14"/>
        <v>0.16547376642100931</v>
      </c>
      <c r="N86">
        <f t="shared" si="15"/>
        <v>42.85993089929223</v>
      </c>
      <c r="O86" s="2">
        <f t="shared" si="16"/>
        <v>2.5040543675809147E-6</v>
      </c>
      <c r="P86" s="2">
        <f t="shared" si="17"/>
        <v>3.9173112964344954E-2</v>
      </c>
    </row>
    <row r="87" spans="1:16" x14ac:dyDescent="0.25">
      <c r="A87" s="1">
        <v>44670.333379629628</v>
      </c>
      <c r="B87">
        <v>2150206.1159561276</v>
      </c>
      <c r="C87">
        <v>721.58403167463257</v>
      </c>
      <c r="D87">
        <v>24889.408055725507</v>
      </c>
      <c r="E87">
        <v>21502.061159561854</v>
      </c>
      <c r="F87">
        <v>6.3914532246305991E+22</v>
      </c>
      <c r="G87">
        <v>76</v>
      </c>
      <c r="H87">
        <v>33.785239358403459</v>
      </c>
      <c r="I87">
        <v>2.9598724738685869E-2</v>
      </c>
      <c r="J87">
        <v>350</v>
      </c>
      <c r="K87">
        <f t="shared" si="12"/>
        <v>3378523.9358403459</v>
      </c>
      <c r="L87">
        <f t="shared" si="13"/>
        <v>3.3785239358403459E-4</v>
      </c>
      <c r="M87">
        <f t="shared" si="14"/>
        <v>0.17258857213407972</v>
      </c>
      <c r="N87">
        <f t="shared" si="15"/>
        <v>74.668224167176518</v>
      </c>
      <c r="O87" s="2">
        <f t="shared" si="16"/>
        <v>2.7003025144419274E-6</v>
      </c>
      <c r="P87" s="2">
        <f t="shared" si="17"/>
        <v>7.359377961565218E-2</v>
      </c>
    </row>
    <row r="88" spans="1:16" x14ac:dyDescent="0.25">
      <c r="A88" s="1">
        <v>44671.333495370367</v>
      </c>
      <c r="B88">
        <v>929877.81033617258</v>
      </c>
      <c r="C88">
        <v>299.82967383328651</v>
      </c>
      <c r="D88">
        <v>9843.2910911822692</v>
      </c>
      <c r="E88">
        <v>9298.7781033613719</v>
      </c>
      <c r="F88">
        <v>4.1821638365458087E+22</v>
      </c>
      <c r="G88">
        <v>73</v>
      </c>
      <c r="H88">
        <v>32.45732035949117</v>
      </c>
      <c r="I88">
        <v>3.0809690662204649E-2</v>
      </c>
      <c r="J88">
        <v>351</v>
      </c>
      <c r="K88">
        <f t="shared" si="12"/>
        <v>3245732.035949117</v>
      </c>
      <c r="L88">
        <f t="shared" si="13"/>
        <v>3.2457320359491169E-4</v>
      </c>
      <c r="M88">
        <f t="shared" si="14"/>
        <v>0.17608372002696748</v>
      </c>
      <c r="N88">
        <f t="shared" si="15"/>
        <v>29.529873273546809</v>
      </c>
      <c r="O88" s="2">
        <f t="shared" si="16"/>
        <v>4.2103496397788429E-6</v>
      </c>
      <c r="P88" s="2">
        <f t="shared" si="17"/>
        <v>4.5380848324497333E-2</v>
      </c>
    </row>
    <row r="89" spans="1:16" x14ac:dyDescent="0.25">
      <c r="A89" s="1">
        <v>44672.333425925928</v>
      </c>
      <c r="B89">
        <v>766660.13317203522</v>
      </c>
      <c r="C89">
        <v>247.67715525384119</v>
      </c>
      <c r="D89">
        <v>8031.1743228081614</v>
      </c>
      <c r="E89">
        <v>7666.6013317205943</v>
      </c>
      <c r="F89">
        <v>4.4491997692272696E+22</v>
      </c>
      <c r="G89">
        <v>74</v>
      </c>
      <c r="H89">
        <v>32.327756855870334</v>
      </c>
      <c r="I89">
        <v>3.0933170045122138E-2</v>
      </c>
      <c r="J89">
        <v>352</v>
      </c>
      <c r="K89">
        <f t="shared" si="12"/>
        <v>3232775.6855870332</v>
      </c>
      <c r="L89">
        <f t="shared" si="13"/>
        <v>3.2327756855870333E-4</v>
      </c>
      <c r="M89">
        <f t="shared" si="14"/>
        <v>0.17643622222691022</v>
      </c>
      <c r="N89">
        <f t="shared" si="15"/>
        <v>24.093522968424484</v>
      </c>
      <c r="O89" s="2">
        <f t="shared" si="16"/>
        <v>3.9655720439263035E-6</v>
      </c>
      <c r="P89" s="2">
        <f t="shared" si="17"/>
        <v>3.4873779409997349E-2</v>
      </c>
    </row>
    <row r="90" spans="1:16" x14ac:dyDescent="0.25">
      <c r="A90" s="1">
        <v>44673.333414351851</v>
      </c>
      <c r="B90">
        <v>1923437.816963315</v>
      </c>
      <c r="C90">
        <v>629.4918740617868</v>
      </c>
      <c r="D90">
        <v>20166.593238891102</v>
      </c>
      <c r="E90">
        <v>19234.378169632982</v>
      </c>
      <c r="F90">
        <v>4.1985015406814386E+22</v>
      </c>
      <c r="G90">
        <v>73</v>
      </c>
      <c r="H90">
        <v>31.526468457701018</v>
      </c>
      <c r="I90">
        <v>3.1719378951108892E-2</v>
      </c>
      <c r="J90">
        <v>353</v>
      </c>
      <c r="K90">
        <f t="shared" si="12"/>
        <v>3152646.845770102</v>
      </c>
      <c r="L90">
        <f t="shared" si="13"/>
        <v>3.152646845770102E-4</v>
      </c>
      <c r="M90">
        <f t="shared" si="14"/>
        <v>0.17866433759292835</v>
      </c>
      <c r="N90">
        <f t="shared" si="15"/>
        <v>60.499779716673309</v>
      </c>
      <c r="O90" s="2">
        <f t="shared" si="16"/>
        <v>4.2554310356149154E-6</v>
      </c>
      <c r="P90" s="2">
        <f t="shared" si="17"/>
        <v>9.3970213692782037E-2</v>
      </c>
    </row>
    <row r="91" spans="1:16" x14ac:dyDescent="0.25">
      <c r="A91" s="1">
        <v>44674.333865740744</v>
      </c>
      <c r="B91">
        <v>423112.16074442863</v>
      </c>
      <c r="C91">
        <v>142.45208146021469</v>
      </c>
      <c r="D91">
        <v>4511.4357455056161</v>
      </c>
      <c r="E91">
        <v>4231.1216074442491</v>
      </c>
      <c r="F91">
        <v>4.2102684614476081E+22</v>
      </c>
      <c r="G91">
        <v>72</v>
      </c>
      <c r="H91">
        <v>31.894286320579514</v>
      </c>
      <c r="I91">
        <v>3.1353578191049176E-2</v>
      </c>
      <c r="J91">
        <v>354</v>
      </c>
      <c r="K91">
        <f t="shared" si="12"/>
        <v>3189428.6320579513</v>
      </c>
      <c r="L91">
        <f t="shared" si="13"/>
        <v>3.1894286320579516E-4</v>
      </c>
      <c r="M91">
        <f t="shared" si="14"/>
        <v>0.17763113527712421</v>
      </c>
      <c r="N91">
        <f t="shared" si="15"/>
        <v>13.534307236516849</v>
      </c>
      <c r="O91" s="2">
        <f t="shared" si="16"/>
        <v>4.2189978359729025E-6</v>
      </c>
      <c r="P91" s="2">
        <f t="shared" si="17"/>
        <v>2.0841942723923798E-2</v>
      </c>
    </row>
    <row r="92" spans="1:16" x14ac:dyDescent="0.25">
      <c r="A92" s="1">
        <v>44675.333368055559</v>
      </c>
      <c r="B92">
        <v>356021.5651127696</v>
      </c>
      <c r="C92">
        <v>120.59463843799313</v>
      </c>
      <c r="D92">
        <v>3917.8262897683308</v>
      </c>
      <c r="E92">
        <v>3560.2156511279754</v>
      </c>
      <c r="F92">
        <v>4.2027119688499413E+22</v>
      </c>
      <c r="G92">
        <v>70</v>
      </c>
      <c r="H92">
        <v>32.389234905698835</v>
      </c>
      <c r="I92">
        <v>3.0874455753940998E-2</v>
      </c>
      <c r="J92">
        <v>355</v>
      </c>
      <c r="K92">
        <f t="shared" si="12"/>
        <v>3238923.4905698835</v>
      </c>
      <c r="L92">
        <f t="shared" si="13"/>
        <v>3.2389234905698833E-4</v>
      </c>
      <c r="M92">
        <f t="shared" si="14"/>
        <v>0.17626869577963863</v>
      </c>
      <c r="N92">
        <f t="shared" si="15"/>
        <v>11.753478869304992</v>
      </c>
      <c r="O92" s="2">
        <f t="shared" si="16"/>
        <v>4.1941655075609187E-6</v>
      </c>
      <c r="P92" s="2">
        <f t="shared" si="17"/>
        <v>1.7993053018632063E-2</v>
      </c>
    </row>
    <row r="93" spans="1:16" x14ac:dyDescent="0.25">
      <c r="A93" s="1">
        <v>44676.333333333336</v>
      </c>
      <c r="B93">
        <v>445908.05780148506</v>
      </c>
      <c r="C93">
        <v>154.40446809201967</v>
      </c>
      <c r="D93">
        <v>4958.6470988346264</v>
      </c>
      <c r="E93">
        <v>4459.0805780142546</v>
      </c>
      <c r="F93">
        <v>4.3699118742327897E+22</v>
      </c>
      <c r="G93">
        <v>69</v>
      </c>
      <c r="H93">
        <v>31.94535546970263</v>
      </c>
      <c r="I93">
        <v>3.1303455081237469E-2</v>
      </c>
      <c r="J93">
        <v>356</v>
      </c>
      <c r="K93">
        <f t="shared" si="12"/>
        <v>3194535.5469702631</v>
      </c>
      <c r="L93">
        <f t="shared" si="13"/>
        <v>3.194535546970263E-4</v>
      </c>
      <c r="M93">
        <f t="shared" si="14"/>
        <v>0.17748909429480134</v>
      </c>
      <c r="N93">
        <f t="shared" si="15"/>
        <v>14.87594129650388</v>
      </c>
      <c r="O93" s="2">
        <f t="shared" si="16"/>
        <v>4.0616172454498863E-6</v>
      </c>
      <c r="P93" s="2">
        <f t="shared" si="17"/>
        <v>2.2053438594945809E-2</v>
      </c>
    </row>
    <row r="94" spans="1:16" x14ac:dyDescent="0.25">
      <c r="A94" s="1">
        <v>44677.333807870367</v>
      </c>
      <c r="B94">
        <v>475558.81687152386</v>
      </c>
      <c r="C94">
        <v>163.19862732404727</v>
      </c>
      <c r="D94">
        <v>5099.3479708293453</v>
      </c>
      <c r="E94">
        <v>4755.5881687155925</v>
      </c>
      <c r="F94">
        <v>4.3704959917320919E+22</v>
      </c>
      <c r="G94">
        <v>70</v>
      </c>
      <c r="H94">
        <v>31.26902126447396</v>
      </c>
      <c r="I94">
        <v>3.1980534073707698E-2</v>
      </c>
      <c r="J94">
        <v>357</v>
      </c>
      <c r="K94">
        <f t="shared" si="12"/>
        <v>3126902.1264473959</v>
      </c>
      <c r="L94">
        <f t="shared" si="13"/>
        <v>3.1269021264473962E-4</v>
      </c>
      <c r="M94">
        <f t="shared" si="14"/>
        <v>0.17939832833100003</v>
      </c>
      <c r="N94">
        <f t="shared" si="15"/>
        <v>15.298043912488037</v>
      </c>
      <c r="O94" s="2">
        <f t="shared" si="16"/>
        <v>4.1047590175206135E-6</v>
      </c>
      <c r="P94" s="2">
        <f t="shared" si="17"/>
        <v>2.2920096050577234E-2</v>
      </c>
    </row>
    <row r="95" spans="1:16" x14ac:dyDescent="0.25">
      <c r="A95" s="1">
        <v>44678.333344907405</v>
      </c>
      <c r="B95">
        <v>901711.31919980049</v>
      </c>
      <c r="C95">
        <v>314.10394342894142</v>
      </c>
      <c r="D95">
        <v>9986.6397943506017</v>
      </c>
      <c r="E95">
        <v>9017.1131919976324</v>
      </c>
      <c r="F95">
        <v>4.3710542401636955E+22</v>
      </c>
      <c r="G95">
        <v>70</v>
      </c>
      <c r="H95">
        <v>32.208371124486149</v>
      </c>
      <c r="I95">
        <v>3.1047829029756745E-2</v>
      </c>
      <c r="J95">
        <v>358</v>
      </c>
      <c r="K95">
        <f t="shared" si="12"/>
        <v>3220837.112448615</v>
      </c>
      <c r="L95">
        <f t="shared" si="13"/>
        <v>3.2208371124486148E-4</v>
      </c>
      <c r="M95">
        <f t="shared" si="14"/>
        <v>0.17676291500130895</v>
      </c>
      <c r="N95">
        <f t="shared" si="15"/>
        <v>29.959919383051805</v>
      </c>
      <c r="O95" s="2">
        <f t="shared" si="16"/>
        <v>4.0439423829865166E-6</v>
      </c>
      <c r="P95" s="2">
        <f t="shared" si="17"/>
        <v>4.4222008541153594E-2</v>
      </c>
    </row>
    <row r="96" spans="1:16" x14ac:dyDescent="0.25">
      <c r="A96" s="1">
        <v>44679.333344907405</v>
      </c>
      <c r="B96">
        <v>271610.2145024538</v>
      </c>
      <c r="C96">
        <v>93.444253424429917</v>
      </c>
      <c r="D96">
        <v>3005.6251963814721</v>
      </c>
      <c r="E96">
        <v>2716.1021450245753</v>
      </c>
      <c r="F96">
        <v>4.3710542401636955E+22</v>
      </c>
      <c r="G96">
        <v>70</v>
      </c>
      <c r="H96">
        <v>32.083009359414405</v>
      </c>
      <c r="I96">
        <v>3.1169145911387551E-2</v>
      </c>
      <c r="J96">
        <v>359</v>
      </c>
      <c r="K96">
        <f t="shared" si="12"/>
        <v>3208300.9359414405</v>
      </c>
      <c r="L96">
        <f t="shared" si="13"/>
        <v>3.2083009359414402E-4</v>
      </c>
      <c r="M96">
        <f t="shared" si="14"/>
        <v>0.17710792170773387</v>
      </c>
      <c r="N96">
        <f t="shared" si="15"/>
        <v>9.0168755891444157</v>
      </c>
      <c r="O96" s="2">
        <f t="shared" si="16"/>
        <v>4.0518353691511545E-6</v>
      </c>
      <c r="P96" s="2">
        <f t="shared" si="17"/>
        <v>1.3335236832435813E-2</v>
      </c>
    </row>
    <row r="97" spans="1:16" x14ac:dyDescent="0.25">
      <c r="A97" s="1">
        <v>44680.333402777775</v>
      </c>
      <c r="B97">
        <v>1162774.4036632776</v>
      </c>
      <c r="C97">
        <v>401.32792793295812</v>
      </c>
      <c r="D97">
        <v>13432.681325946935</v>
      </c>
      <c r="E97">
        <v>11627.744036633056</v>
      </c>
      <c r="F97">
        <v>4.3622274338581075E+22</v>
      </c>
      <c r="G97">
        <v>70</v>
      </c>
      <c r="H97">
        <v>33.465815222297763</v>
      </c>
      <c r="I97">
        <v>2.9881238313110486E-2</v>
      </c>
      <c r="J97">
        <v>360</v>
      </c>
      <c r="K97">
        <f t="shared" si="12"/>
        <v>3346581.5222297763</v>
      </c>
      <c r="L97">
        <f t="shared" si="13"/>
        <v>3.3465815222297765E-4</v>
      </c>
      <c r="M97">
        <f t="shared" si="14"/>
        <v>0.17341027677078349</v>
      </c>
      <c r="N97">
        <f t="shared" si="15"/>
        <v>40.298043977840805</v>
      </c>
      <c r="O97" s="2">
        <f t="shared" si="16"/>
        <v>3.9752690431689241E-6</v>
      </c>
      <c r="P97" s="2">
        <f t="shared" si="17"/>
        <v>5.8471381854760217E-2</v>
      </c>
    </row>
    <row r="98" spans="1:16" x14ac:dyDescent="0.25">
      <c r="A98" s="1">
        <v>44681.333854166667</v>
      </c>
      <c r="B98">
        <v>732441.39536744356</v>
      </c>
      <c r="C98">
        <v>258.53688828169834</v>
      </c>
      <c r="D98">
        <v>8564.2173236031085</v>
      </c>
      <c r="E98">
        <v>7324.4139536744915</v>
      </c>
      <c r="F98">
        <v>4.2491050469828086E+22</v>
      </c>
      <c r="G98">
        <v>71</v>
      </c>
      <c r="H98">
        <v>33.663837221672729</v>
      </c>
      <c r="I98">
        <v>2.9705466831220342E-2</v>
      </c>
      <c r="J98">
        <v>361</v>
      </c>
      <c r="K98">
        <f t="shared" si="12"/>
        <v>3366383.7221672731</v>
      </c>
      <c r="L98">
        <f t="shared" si="13"/>
        <v>3.3663837221672727E-4</v>
      </c>
      <c r="M98">
        <f t="shared" si="14"/>
        <v>0.17289949576532149</v>
      </c>
      <c r="N98">
        <f t="shared" si="15"/>
        <v>25.692651970809326</v>
      </c>
      <c r="O98" s="2">
        <f t="shared" si="16"/>
        <v>4.0690802852260249E-6</v>
      </c>
      <c r="P98" s="2">
        <f t="shared" si="17"/>
        <v>3.8159094217501736E-2</v>
      </c>
    </row>
    <row r="99" spans="1:16" x14ac:dyDescent="0.25">
      <c r="A99" s="1">
        <v>44682.333796296298</v>
      </c>
      <c r="B99">
        <v>577379.54119765759</v>
      </c>
      <c r="C99">
        <v>207.20955574883556</v>
      </c>
      <c r="D99">
        <v>7181.8960203221068</v>
      </c>
      <c r="E99">
        <v>5773.79541197652</v>
      </c>
      <c r="F99">
        <v>3.1473844492826667E+22</v>
      </c>
      <c r="G99">
        <v>71</v>
      </c>
      <c r="H99">
        <v>34.595472358544299</v>
      </c>
      <c r="I99">
        <v>2.8905516584253912E-2</v>
      </c>
      <c r="J99">
        <v>362</v>
      </c>
      <c r="K99">
        <f t="shared" si="12"/>
        <v>3459547.2358544301</v>
      </c>
      <c r="L99">
        <f t="shared" si="13"/>
        <v>3.4595472358544302E-4</v>
      </c>
      <c r="M99">
        <f t="shared" si="14"/>
        <v>0.17055556853779369</v>
      </c>
      <c r="N99">
        <f t="shared" si="15"/>
        <v>21.54568806096632</v>
      </c>
      <c r="O99" s="2">
        <f t="shared" si="16"/>
        <v>5.4189620393106317E-6</v>
      </c>
      <c r="P99" s="2">
        <f t="shared" si="17"/>
        <v>4.2615671985319743E-2</v>
      </c>
    </row>
    <row r="100" spans="1:16" x14ac:dyDescent="0.25">
      <c r="A100" s="1">
        <v>44683.333344907405</v>
      </c>
      <c r="B100">
        <v>864947.61056703329</v>
      </c>
      <c r="C100">
        <v>307.5780056209187</v>
      </c>
      <c r="D100">
        <v>10583.118016093038</v>
      </c>
      <c r="E100">
        <v>8649.4761056704447</v>
      </c>
      <c r="F100">
        <v>4.5048186083094202E+22</v>
      </c>
      <c r="G100">
        <v>72</v>
      </c>
      <c r="H100">
        <v>33.968163956792644</v>
      </c>
      <c r="I100">
        <v>2.9439330346850527E-2</v>
      </c>
      <c r="J100">
        <v>363</v>
      </c>
      <c r="K100">
        <f t="shared" si="12"/>
        <v>3396816.3956792643</v>
      </c>
      <c r="L100">
        <f t="shared" si="13"/>
        <v>3.3968163956792644E-4</v>
      </c>
      <c r="M100">
        <f t="shared" si="14"/>
        <v>0.1721232347439545</v>
      </c>
      <c r="N100">
        <f t="shared" si="15"/>
        <v>31.749354048279116</v>
      </c>
      <c r="O100" s="2">
        <f t="shared" si="16"/>
        <v>3.8208693781024256E-6</v>
      </c>
      <c r="P100" s="2">
        <f t="shared" si="17"/>
        <v>4.4278199150024712E-2</v>
      </c>
    </row>
    <row r="101" spans="1:16" x14ac:dyDescent="0.25">
      <c r="A101" s="1">
        <v>44684.33388888889</v>
      </c>
      <c r="B101">
        <v>887644.56596761942</v>
      </c>
      <c r="C101">
        <v>314.90362227767764</v>
      </c>
      <c r="D101">
        <v>10656.811630195938</v>
      </c>
      <c r="E101">
        <v>8876.4456596761011</v>
      </c>
      <c r="F101">
        <v>4.6482659144559111E+22</v>
      </c>
      <c r="G101">
        <v>72</v>
      </c>
      <c r="H101">
        <v>33.455777485345379</v>
      </c>
      <c r="I101">
        <v>2.9890203581071449E-2</v>
      </c>
      <c r="J101">
        <v>364</v>
      </c>
      <c r="K101">
        <f t="shared" si="12"/>
        <v>3345577.7485345379</v>
      </c>
      <c r="L101">
        <f t="shared" si="13"/>
        <v>3.3455777485345378E-4</v>
      </c>
      <c r="M101">
        <f t="shared" si="14"/>
        <v>0.17343628896257679</v>
      </c>
      <c r="N101">
        <f t="shared" si="15"/>
        <v>31.970434890587814</v>
      </c>
      <c r="O101" s="2">
        <f t="shared" si="16"/>
        <v>3.7312041125529681E-6</v>
      </c>
      <c r="P101" s="2">
        <f t="shared" si="17"/>
        <v>4.3540199622511877E-2</v>
      </c>
    </row>
    <row r="102" spans="1:16" x14ac:dyDescent="0.25">
      <c r="A102" s="1">
        <v>44685.333495370367</v>
      </c>
      <c r="B102">
        <v>371980.95236855745</v>
      </c>
      <c r="C102">
        <v>132.22012455775985</v>
      </c>
      <c r="D102">
        <v>4418.8013915941119</v>
      </c>
      <c r="E102">
        <v>3719.8095236858353</v>
      </c>
      <c r="F102">
        <v>4.6923250626206137E+22</v>
      </c>
      <c r="G102">
        <v>72</v>
      </c>
      <c r="H102">
        <v>33.119591538505134</v>
      </c>
      <c r="I102">
        <v>3.0193609085951166E-2</v>
      </c>
      <c r="J102">
        <v>365</v>
      </c>
      <c r="K102">
        <f t="shared" si="12"/>
        <v>3311959.1538505135</v>
      </c>
      <c r="L102">
        <f t="shared" si="13"/>
        <v>3.3119591538505134E-4</v>
      </c>
      <c r="M102">
        <f t="shared" si="14"/>
        <v>0.17431431346732773</v>
      </c>
      <c r="N102">
        <f t="shared" si="15"/>
        <v>13.256404174782336</v>
      </c>
      <c r="O102" s="2">
        <f t="shared" si="16"/>
        <v>3.7148814530333292E-6</v>
      </c>
      <c r="P102" s="2">
        <f t="shared" si="17"/>
        <v>1.7974779051026561E-2</v>
      </c>
    </row>
    <row r="103" spans="1:16" x14ac:dyDescent="0.25">
      <c r="A103" s="1">
        <v>44686.333402777775</v>
      </c>
      <c r="B103">
        <v>487235.67117261887</v>
      </c>
      <c r="C103">
        <v>169.30567266496655</v>
      </c>
      <c r="D103">
        <v>5727.3931181170046</v>
      </c>
      <c r="E103">
        <v>4872.3567117257044</v>
      </c>
      <c r="F103">
        <v>4.5356696290918606E+22</v>
      </c>
      <c r="G103">
        <v>71</v>
      </c>
      <c r="H103">
        <v>34.059997327147983</v>
      </c>
      <c r="I103">
        <v>2.9359955328092067E-2</v>
      </c>
      <c r="J103">
        <v>366</v>
      </c>
      <c r="K103">
        <f t="shared" si="12"/>
        <v>3405999.7327147983</v>
      </c>
      <c r="L103">
        <f t="shared" si="13"/>
        <v>3.4059997327147982E-4</v>
      </c>
      <c r="M103">
        <f t="shared" si="14"/>
        <v>0.1718910367556615</v>
      </c>
      <c r="N103">
        <f t="shared" si="15"/>
        <v>17.182179354351014</v>
      </c>
      <c r="O103" s="2">
        <f t="shared" si="16"/>
        <v>3.7897609573049486E-6</v>
      </c>
      <c r="P103" s="2">
        <f t="shared" si="17"/>
        <v>2.3767468654663677E-2</v>
      </c>
    </row>
    <row r="104" spans="1:16" x14ac:dyDescent="0.25">
      <c r="A104" s="1">
        <v>44687.333425925928</v>
      </c>
      <c r="B104">
        <v>833231.10731124878</v>
      </c>
      <c r="C104">
        <v>301.98994965248858</v>
      </c>
      <c r="D104">
        <v>10217.860161355697</v>
      </c>
      <c r="E104">
        <v>8332.3110731123015</v>
      </c>
      <c r="F104">
        <v>4.5633068558129513E+22</v>
      </c>
      <c r="G104">
        <v>71</v>
      </c>
      <c r="H104">
        <v>33.825803951325938</v>
      </c>
      <c r="I104">
        <v>2.9563229345234854E-2</v>
      </c>
      <c r="J104">
        <v>367</v>
      </c>
      <c r="K104">
        <f t="shared" si="12"/>
        <v>3382580.3951325938</v>
      </c>
      <c r="L104">
        <f t="shared" si="13"/>
        <v>3.3825803951325939E-4</v>
      </c>
      <c r="M104">
        <f t="shared" si="14"/>
        <v>0.17248505522473664</v>
      </c>
      <c r="N104">
        <f t="shared" si="15"/>
        <v>30.653580484067092</v>
      </c>
      <c r="O104" s="2">
        <f t="shared" si="16"/>
        <v>3.7798259173611614E-6</v>
      </c>
      <c r="P104" s="2">
        <f t="shared" si="17"/>
        <v>4.229079726036148E-2</v>
      </c>
    </row>
    <row r="105" spans="1:16" x14ac:dyDescent="0.25">
      <c r="A105" s="1">
        <v>44688.333356481482</v>
      </c>
      <c r="B105">
        <v>1219293.0780679584</v>
      </c>
      <c r="C105">
        <v>454.91829207370756</v>
      </c>
      <c r="D105">
        <v>15922.944148792885</v>
      </c>
      <c r="E105">
        <v>12192.930780679919</v>
      </c>
      <c r="F105">
        <v>4.5234415938028964E+22</v>
      </c>
      <c r="G105">
        <v>69</v>
      </c>
      <c r="H105">
        <v>36.503937518551446</v>
      </c>
      <c r="I105">
        <v>2.7394305052483612E-2</v>
      </c>
      <c r="J105">
        <v>368</v>
      </c>
      <c r="K105">
        <f t="shared" si="12"/>
        <v>3650393.7518551447</v>
      </c>
      <c r="L105">
        <f t="shared" si="13"/>
        <v>3.6503937518551444E-4</v>
      </c>
      <c r="M105">
        <f t="shared" si="14"/>
        <v>0.1660373065256332</v>
      </c>
      <c r="N105">
        <f t="shared" si="15"/>
        <v>47.76883244637866</v>
      </c>
      <c r="O105" s="2">
        <f t="shared" si="16"/>
        <v>3.6705968913825238E-6</v>
      </c>
      <c r="P105" s="2">
        <f t="shared" si="17"/>
        <v>6.3999146677167301E-2</v>
      </c>
    </row>
    <row r="106" spans="1:16" x14ac:dyDescent="0.25">
      <c r="A106" s="1">
        <v>44689.333425925928</v>
      </c>
      <c r="B106">
        <v>3604515.9291363955</v>
      </c>
      <c r="C106">
        <v>1376.2181920578005</v>
      </c>
      <c r="D106">
        <v>53333.414978680201</v>
      </c>
      <c r="E106">
        <v>36045.159291363787</v>
      </c>
      <c r="F106">
        <v>1.9690550035469105E+22</v>
      </c>
      <c r="G106">
        <v>67</v>
      </c>
      <c r="H106">
        <v>40.435779221654357</v>
      </c>
      <c r="I106">
        <v>2.4730573250940972E-2</v>
      </c>
      <c r="J106">
        <v>369</v>
      </c>
      <c r="K106">
        <f t="shared" si="12"/>
        <v>4043577.9221654357</v>
      </c>
      <c r="L106">
        <f t="shared" si="13"/>
        <v>4.0435779221654355E-4</v>
      </c>
      <c r="M106">
        <f t="shared" si="14"/>
        <v>0.15775844886210588</v>
      </c>
      <c r="N106">
        <f t="shared" si="15"/>
        <v>160.00024493604062</v>
      </c>
      <c r="O106" s="2">
        <f t="shared" si="16"/>
        <v>8.0118863402968151E-6</v>
      </c>
      <c r="P106" s="2">
        <f t="shared" si="17"/>
        <v>0.46789487854923112</v>
      </c>
    </row>
    <row r="107" spans="1:16" x14ac:dyDescent="0.25">
      <c r="A107" s="1">
        <v>44690.333344907405</v>
      </c>
      <c r="B107">
        <v>2236769.4745250344</v>
      </c>
      <c r="C107">
        <v>895.64129536440305</v>
      </c>
      <c r="D107">
        <v>35450.10178492777</v>
      </c>
      <c r="E107">
        <v>22367.694745250978</v>
      </c>
      <c r="F107">
        <v>2.0935087672923863E+22</v>
      </c>
      <c r="G107">
        <v>68</v>
      </c>
      <c r="H107">
        <v>40.037459856957042</v>
      </c>
      <c r="I107">
        <v>2.497660949452658E-2</v>
      </c>
      <c r="J107">
        <v>370</v>
      </c>
      <c r="K107">
        <f t="shared" si="12"/>
        <v>4003745.9856957044</v>
      </c>
      <c r="L107">
        <f t="shared" si="13"/>
        <v>4.0037459856957043E-4</v>
      </c>
      <c r="M107">
        <f t="shared" si="14"/>
        <v>0.1585412498787897</v>
      </c>
      <c r="N107">
        <f t="shared" si="15"/>
        <v>106.35030535478332</v>
      </c>
      <c r="O107" s="2">
        <f t="shared" si="16"/>
        <v>7.5729919241674382E-6</v>
      </c>
      <c r="P107" s="2">
        <f t="shared" si="17"/>
        <v>0.293967351308348</v>
      </c>
    </row>
    <row r="108" spans="1:16" x14ac:dyDescent="0.25">
      <c r="A108" s="1">
        <v>44691.333379629628</v>
      </c>
      <c r="B108">
        <v>9143124.2180086374</v>
      </c>
      <c r="C108">
        <v>3934.4325170218362</v>
      </c>
      <c r="D108">
        <v>254544.69154347479</v>
      </c>
      <c r="E108">
        <v>91431.242180085741</v>
      </c>
      <c r="F108">
        <v>3.4504171955602519E+21</v>
      </c>
      <c r="G108">
        <v>66</v>
      </c>
      <c r="H108">
        <v>73.265168086426144</v>
      </c>
      <c r="I108">
        <v>1.3649050785229417E-2</v>
      </c>
      <c r="J108">
        <v>371</v>
      </c>
      <c r="K108">
        <f t="shared" si="12"/>
        <v>7326516.8086426146</v>
      </c>
      <c r="L108">
        <f t="shared" si="13"/>
        <v>7.3265168086426142E-4</v>
      </c>
      <c r="M108">
        <f t="shared" si="14"/>
        <v>0.1171997703361585</v>
      </c>
      <c r="N108">
        <f t="shared" si="15"/>
        <v>763.63407463042438</v>
      </c>
      <c r="O108" s="2">
        <f t="shared" si="16"/>
        <v>3.3966840440907467E-5</v>
      </c>
      <c r="P108" s="2">
        <f t="shared" si="17"/>
        <v>9.4674564203972515</v>
      </c>
    </row>
    <row r="109" spans="1:16" x14ac:dyDescent="0.25">
      <c r="A109" s="1">
        <v>44692.333391203705</v>
      </c>
      <c r="B109">
        <v>2744462.9751384854</v>
      </c>
      <c r="C109">
        <v>1162.2820866902475</v>
      </c>
      <c r="D109">
        <v>144550.65028042067</v>
      </c>
      <c r="E109">
        <v>27444.62975138519</v>
      </c>
      <c r="F109">
        <v>1.7040604895032682E+19</v>
      </c>
      <c r="G109">
        <v>55</v>
      </c>
      <c r="H109">
        <v>1020.6077866592682</v>
      </c>
      <c r="I109">
        <v>9.7980831919113292E-4</v>
      </c>
      <c r="J109">
        <v>372</v>
      </c>
      <c r="K109">
        <f t="shared" si="12"/>
        <v>102060778.66592681</v>
      </c>
      <c r="L109">
        <f t="shared" si="13"/>
        <v>1.0206077866592682E-2</v>
      </c>
      <c r="M109">
        <f t="shared" si="14"/>
        <v>3.1401189305304465E-2</v>
      </c>
      <c r="N109">
        <f t="shared" si="15"/>
        <v>433.65195084126202</v>
      </c>
      <c r="O109" s="2">
        <f t="shared" si="16"/>
        <v>1.8427273854848825E-3</v>
      </c>
      <c r="P109" s="2">
        <f t="shared" si="17"/>
        <v>291.67234883821021</v>
      </c>
    </row>
    <row r="110" spans="1:16" x14ac:dyDescent="0.25">
      <c r="A110" s="1">
        <v>44693.333414351851</v>
      </c>
      <c r="B110">
        <v>468520.93187695742</v>
      </c>
      <c r="C110">
        <v>220.50261483555369</v>
      </c>
      <c r="D110">
        <v>437762.62574457657</v>
      </c>
      <c r="E110">
        <v>4685.20931876963</v>
      </c>
      <c r="F110">
        <v>1.8353658574830469E+20</v>
      </c>
      <c r="G110">
        <v>60</v>
      </c>
      <c r="H110">
        <v>4743.7193415733582</v>
      </c>
      <c r="I110">
        <v>2.1080505147851519E-4</v>
      </c>
      <c r="J110">
        <v>373</v>
      </c>
      <c r="K110">
        <f t="shared" si="12"/>
        <v>474371934.15733582</v>
      </c>
      <c r="L110">
        <f t="shared" si="13"/>
        <v>4.7437193415733582E-2</v>
      </c>
      <c r="M110">
        <f t="shared" si="14"/>
        <v>1.4565186253896995E-2</v>
      </c>
      <c r="N110">
        <f t="shared" si="15"/>
        <v>1313.2878772337297</v>
      </c>
      <c r="O110" s="2">
        <f t="shared" si="16"/>
        <v>7.9358489722976291E-5</v>
      </c>
      <c r="P110" s="2">
        <f t="shared" si="17"/>
        <v>38.040498015698233</v>
      </c>
    </row>
    <row r="111" spans="1:16" x14ac:dyDescent="0.25">
      <c r="A111" s="1">
        <v>44694.333553240744</v>
      </c>
      <c r="B111">
        <v>419667.80248475075</v>
      </c>
      <c r="C111">
        <v>215.48576266680902</v>
      </c>
      <c r="D111">
        <v>50703381.73305586</v>
      </c>
      <c r="E111">
        <v>4196.6780248470604</v>
      </c>
      <c r="F111">
        <v>3.8322856067034867E+20</v>
      </c>
      <c r="G111">
        <v>59</v>
      </c>
      <c r="H111">
        <v>3197408.257009496</v>
      </c>
      <c r="I111">
        <v>3.1275330505816921E-7</v>
      </c>
      <c r="J111">
        <v>374</v>
      </c>
      <c r="K111">
        <f t="shared" si="12"/>
        <v>319740825700.94958</v>
      </c>
      <c r="L111">
        <f t="shared" si="13"/>
        <v>31.974082570094961</v>
      </c>
      <c r="M111">
        <f t="shared" si="14"/>
        <v>5.6101760485234629E-4</v>
      </c>
      <c r="N111">
        <f t="shared" si="15"/>
        <v>152110.14519916757</v>
      </c>
      <c r="O111" s="2">
        <f t="shared" si="16"/>
        <v>1.463924306348688E-6</v>
      </c>
      <c r="P111" s="2">
        <f t="shared" si="17"/>
        <v>81.277374661740708</v>
      </c>
    </row>
    <row r="112" spans="1:16" x14ac:dyDescent="0.25">
      <c r="A112" s="1">
        <v>44695.333657407406</v>
      </c>
      <c r="B112">
        <v>5307579.0010674</v>
      </c>
      <c r="C112">
        <v>2607.4748613115953</v>
      </c>
      <c r="D112">
        <v>30757183985.244987</v>
      </c>
      <c r="E112">
        <v>53075.790010674391</v>
      </c>
      <c r="F112">
        <v>2.7720199351842257E+23</v>
      </c>
      <c r="G112">
        <v>67</v>
      </c>
      <c r="H112">
        <v>5518539.6756595867</v>
      </c>
      <c r="I112">
        <v>1.8120735897046496E-7</v>
      </c>
      <c r="J112">
        <v>375</v>
      </c>
      <c r="K112">
        <f t="shared" si="12"/>
        <v>551853967565.95862</v>
      </c>
      <c r="L112">
        <f t="shared" si="13"/>
        <v>55.185396756595864</v>
      </c>
      <c r="M112">
        <f t="shared" si="14"/>
        <v>4.270349800303987E-4</v>
      </c>
      <c r="N112">
        <f t="shared" si="15"/>
        <v>92271551.955734968</v>
      </c>
      <c r="O112" s="2">
        <f t="shared" si="16"/>
        <v>1.5405191521539991E-9</v>
      </c>
      <c r="P112" s="2">
        <f t="shared" si="17"/>
        <v>51.883323940175622</v>
      </c>
    </row>
    <row r="113" spans="1:16" x14ac:dyDescent="0.25">
      <c r="A113" s="1">
        <v>44696.333425925928</v>
      </c>
      <c r="B113">
        <v>9984404.9543222189</v>
      </c>
      <c r="C113">
        <v>4968.5326145687723</v>
      </c>
      <c r="D113">
        <v>24595421469.721119</v>
      </c>
      <c r="E113">
        <v>99844.049543221947</v>
      </c>
      <c r="F113">
        <v>3.9465739821419165E+23</v>
      </c>
      <c r="G113">
        <v>87</v>
      </c>
      <c r="H113">
        <v>7944620.6750622196</v>
      </c>
      <c r="I113">
        <v>1.2587133368606907E-7</v>
      </c>
      <c r="J113">
        <v>376</v>
      </c>
      <c r="K113">
        <f t="shared" si="12"/>
        <v>794462067506.22192</v>
      </c>
      <c r="L113">
        <f t="shared" si="13"/>
        <v>79.446206750622196</v>
      </c>
      <c r="M113">
        <f t="shared" si="14"/>
        <v>3.5590898559041949E-4</v>
      </c>
      <c r="N113">
        <f t="shared" si="15"/>
        <v>73786264.409163356</v>
      </c>
      <c r="O113" s="2">
        <f t="shared" si="16"/>
        <v>9.0181759470592182E-10</v>
      </c>
      <c r="P113" s="2">
        <f t="shared" si="17"/>
        <v>24.287739294509507</v>
      </c>
    </row>
    <row r="114" spans="1:16" x14ac:dyDescent="0.25">
      <c r="A114" s="1">
        <v>44697.333460648151</v>
      </c>
      <c r="B114">
        <v>4123691.6374176145</v>
      </c>
      <c r="C114">
        <v>1982.0312384455901</v>
      </c>
      <c r="D114">
        <v>17553678409.492409</v>
      </c>
      <c r="E114">
        <v>41236.916374175809</v>
      </c>
      <c r="F114">
        <v>5.0821086074243173E+23</v>
      </c>
      <c r="G114">
        <v>76</v>
      </c>
      <c r="H114">
        <v>11483102.835622806</v>
      </c>
      <c r="I114">
        <v>8.7084476583960098E-8</v>
      </c>
      <c r="J114">
        <v>377</v>
      </c>
      <c r="K114">
        <f t="shared" si="12"/>
        <v>1148310283562.2805</v>
      </c>
      <c r="L114">
        <f t="shared" si="13"/>
        <v>114.83102835622806</v>
      </c>
      <c r="M114">
        <f t="shared" si="14"/>
        <v>2.9603694155810233E-4</v>
      </c>
      <c r="N114">
        <f t="shared" si="15"/>
        <v>52661035.228477225</v>
      </c>
      <c r="O114" s="2">
        <f t="shared" si="16"/>
        <v>5.8250809737837916E-10</v>
      </c>
      <c r="P114" s="2">
        <f t="shared" si="17"/>
        <v>11.196549994474365</v>
      </c>
    </row>
    <row r="115" spans="1:16" x14ac:dyDescent="0.25">
      <c r="A115" s="1">
        <v>44698.333460648151</v>
      </c>
      <c r="B115">
        <v>4723978.2923026681</v>
      </c>
      <c r="C115">
        <v>2316.7747673804697</v>
      </c>
      <c r="D115">
        <v>25374707918.810394</v>
      </c>
      <c r="E115">
        <v>47239.782923026942</v>
      </c>
      <c r="F115">
        <v>5.9380469961751079E+24</v>
      </c>
      <c r="G115">
        <v>75</v>
      </c>
      <c r="H115">
        <v>11131491.807449682</v>
      </c>
      <c r="I115">
        <v>8.9835218612006365E-8</v>
      </c>
      <c r="J115">
        <v>378</v>
      </c>
      <c r="K115">
        <f t="shared" si="12"/>
        <v>1113149180744.9683</v>
      </c>
      <c r="L115">
        <f t="shared" si="13"/>
        <v>111.31491807449682</v>
      </c>
      <c r="M115">
        <f t="shared" si="14"/>
        <v>3.0067605971682512E-4</v>
      </c>
      <c r="N115">
        <f t="shared" si="15"/>
        <v>76124123.756431177</v>
      </c>
      <c r="O115" s="2">
        <f t="shared" si="16"/>
        <v>5.0635513647921701E-11</v>
      </c>
      <c r="P115" s="2">
        <f t="shared" si="17"/>
        <v>1.4069231992027706</v>
      </c>
    </row>
    <row r="116" spans="1:16" x14ac:dyDescent="0.25">
      <c r="A116" s="1">
        <v>44699.333645833336</v>
      </c>
      <c r="B116">
        <v>2444670.7340869308</v>
      </c>
      <c r="C116">
        <v>1186.429626731755</v>
      </c>
      <c r="D116">
        <v>12983080361.687958</v>
      </c>
      <c r="E116">
        <v>24446.707340869121</v>
      </c>
      <c r="F116">
        <v>6.0195806287023979E+24</v>
      </c>
      <c r="G116">
        <v>73</v>
      </c>
      <c r="H116">
        <v>11178340.043099642</v>
      </c>
      <c r="I116">
        <v>8.9458720717419685E-8</v>
      </c>
      <c r="J116">
        <v>379</v>
      </c>
      <c r="K116">
        <f t="shared" si="12"/>
        <v>1117834004309.9641</v>
      </c>
      <c r="L116">
        <f t="shared" si="13"/>
        <v>111.78340043099642</v>
      </c>
      <c r="M116">
        <f t="shared" si="14"/>
        <v>3.000453340209399E-4</v>
      </c>
      <c r="N116">
        <f t="shared" si="15"/>
        <v>38949241.085063875</v>
      </c>
      <c r="O116" s="2">
        <f t="shared" si="16"/>
        <v>4.9844889956332184E-11</v>
      </c>
      <c r="P116" s="2">
        <f t="shared" si="17"/>
        <v>0.70861853205519632</v>
      </c>
    </row>
    <row r="117" spans="1:16" x14ac:dyDescent="0.25">
      <c r="A117" s="1">
        <v>44700.333796296298</v>
      </c>
      <c r="B117">
        <v>3525816.4403947592</v>
      </c>
      <c r="C117">
        <v>1806.0553771278937</v>
      </c>
      <c r="D117">
        <v>22694925731.092834</v>
      </c>
      <c r="E117">
        <v>35258.164403948002</v>
      </c>
      <c r="F117">
        <v>5.8245340329523447E+24</v>
      </c>
      <c r="G117">
        <v>71</v>
      </c>
      <c r="H117">
        <v>14277226.9509857</v>
      </c>
      <c r="I117">
        <v>7.0041612662811945E-8</v>
      </c>
      <c r="J117">
        <v>380</v>
      </c>
      <c r="K117">
        <f t="shared" si="12"/>
        <v>1427722695098.5701</v>
      </c>
      <c r="L117">
        <f t="shared" si="13"/>
        <v>142.77226950985701</v>
      </c>
      <c r="M117">
        <f t="shared" si="14"/>
        <v>2.6549332356953656E-4</v>
      </c>
      <c r="N117">
        <f t="shared" si="15"/>
        <v>68084777.193278506</v>
      </c>
      <c r="O117" s="2">
        <f t="shared" si="16"/>
        <v>4.5581899267393083E-11</v>
      </c>
      <c r="P117" s="2">
        <f t="shared" si="17"/>
        <v>1.1327532113184269</v>
      </c>
    </row>
    <row r="118" spans="1:16" x14ac:dyDescent="0.25">
      <c r="A118" s="1">
        <v>44701.333414351851</v>
      </c>
      <c r="B118">
        <v>1290664.5302578807</v>
      </c>
      <c r="C118">
        <v>642.28565533467918</v>
      </c>
      <c r="D118">
        <v>9269569882.2965851</v>
      </c>
      <c r="E118">
        <v>12906.645302578807</v>
      </c>
      <c r="F118">
        <v>5.8216209024757005E+24</v>
      </c>
      <c r="G118">
        <v>70</v>
      </c>
      <c r="H118">
        <v>14590412.895315224</v>
      </c>
      <c r="I118">
        <v>6.8538156334224508E-8</v>
      </c>
      <c r="J118">
        <v>381</v>
      </c>
      <c r="K118">
        <f t="shared" si="12"/>
        <v>1459041289531.5225</v>
      </c>
      <c r="L118">
        <f t="shared" si="13"/>
        <v>145.90412895315225</v>
      </c>
      <c r="M118">
        <f t="shared" si="14"/>
        <v>2.6262843437844092E-4</v>
      </c>
      <c r="N118">
        <f t="shared" si="15"/>
        <v>27808709.646889757</v>
      </c>
      <c r="O118" s="2">
        <f t="shared" si="16"/>
        <v>4.5112596436287295E-11</v>
      </c>
      <c r="P118" s="2">
        <f t="shared" si="17"/>
        <v>0.45790092993561987</v>
      </c>
    </row>
    <row r="119" spans="1:16" x14ac:dyDescent="0.25">
      <c r="A119" s="1">
        <v>44702.333402777775</v>
      </c>
      <c r="B119">
        <v>1375366.3400939107</v>
      </c>
      <c r="C119">
        <v>700.72731797175948</v>
      </c>
      <c r="D119">
        <v>11813724834.615906</v>
      </c>
      <c r="E119">
        <v>13753.663400938734</v>
      </c>
      <c r="F119">
        <v>5.7443090812988918E+24</v>
      </c>
      <c r="G119">
        <v>69</v>
      </c>
      <c r="H119">
        <v>17744132.14117856</v>
      </c>
      <c r="I119">
        <v>5.6356658755900153E-8</v>
      </c>
      <c r="J119">
        <v>382</v>
      </c>
      <c r="K119">
        <f t="shared" si="12"/>
        <v>1774413214117.856</v>
      </c>
      <c r="L119">
        <f t="shared" si="13"/>
        <v>177.44132141178559</v>
      </c>
      <c r="M119">
        <f t="shared" si="14"/>
        <v>2.3814866663186596E-4</v>
      </c>
      <c r="N119">
        <f t="shared" si="15"/>
        <v>35441174.503847718</v>
      </c>
      <c r="O119" s="2">
        <f t="shared" si="16"/>
        <v>4.1458191622588714E-11</v>
      </c>
      <c r="P119" s="2">
        <f t="shared" si="17"/>
        <v>0.53630435642719532</v>
      </c>
    </row>
    <row r="120" spans="1:16" x14ac:dyDescent="0.25">
      <c r="A120" s="1">
        <v>44703.333472222221</v>
      </c>
      <c r="B120">
        <v>6261179.7602910399</v>
      </c>
      <c r="C120">
        <v>3157.0588324880518</v>
      </c>
      <c r="D120">
        <v>39939336757.099884</v>
      </c>
      <c r="E120">
        <v>62611.797602910548</v>
      </c>
      <c r="F120">
        <v>5.8295303768592291E+24</v>
      </c>
      <c r="G120">
        <v>67</v>
      </c>
      <c r="H120">
        <v>9571459.8727115709</v>
      </c>
      <c r="I120">
        <v>1.0447727027002647E-7</v>
      </c>
      <c r="J120">
        <v>383</v>
      </c>
      <c r="K120">
        <f t="shared" si="12"/>
        <v>957145987271.1571</v>
      </c>
      <c r="L120">
        <f t="shared" si="13"/>
        <v>95.714598727115714</v>
      </c>
      <c r="M120">
        <f t="shared" si="14"/>
        <v>3.2425482283469318E-4</v>
      </c>
      <c r="N120">
        <f t="shared" si="15"/>
        <v>119818010.27129966</v>
      </c>
      <c r="O120" s="2">
        <f t="shared" si="16"/>
        <v>5.5622803531798675E-11</v>
      </c>
      <c r="P120" s="2">
        <f t="shared" si="17"/>
        <v>2.4325839803854108</v>
      </c>
    </row>
    <row r="121" spans="1:16" x14ac:dyDescent="0.25">
      <c r="A121" s="1">
        <v>44704.333368055559</v>
      </c>
      <c r="B121">
        <v>5965027.7364714146</v>
      </c>
      <c r="C121">
        <v>2941.9662599953881</v>
      </c>
      <c r="D121">
        <v>31057843192.109772</v>
      </c>
      <c r="E121">
        <v>59650.277364714071</v>
      </c>
      <c r="F121">
        <v>5.8661797955514373E+24</v>
      </c>
      <c r="G121">
        <v>70</v>
      </c>
      <c r="H121">
        <v>10840395.884213723</v>
      </c>
      <c r="I121">
        <v>9.2247553565478679E-8</v>
      </c>
      <c r="J121">
        <v>384</v>
      </c>
      <c r="K121">
        <f t="shared" si="12"/>
        <v>1084039588421.3723</v>
      </c>
      <c r="L121">
        <f t="shared" si="13"/>
        <v>108.40395884213723</v>
      </c>
      <c r="M121">
        <f t="shared" si="14"/>
        <v>3.0468632634657371E-4</v>
      </c>
      <c r="N121">
        <f t="shared" si="15"/>
        <v>93173529.576329321</v>
      </c>
      <c r="O121" s="2">
        <f t="shared" si="16"/>
        <v>5.1939479689597949E-11</v>
      </c>
      <c r="P121" s="2">
        <f t="shared" si="17"/>
        <v>1.7663753961688373</v>
      </c>
    </row>
    <row r="122" spans="1:16" x14ac:dyDescent="0.25">
      <c r="A122" s="1">
        <v>44705.33353009259</v>
      </c>
      <c r="B122">
        <v>2440464.4023479819</v>
      </c>
      <c r="C122">
        <v>1209.1030487415555</v>
      </c>
      <c r="D122">
        <v>14311933864.364685</v>
      </c>
      <c r="E122">
        <v>24404.644023479894</v>
      </c>
      <c r="F122">
        <v>5.8675309040649194E+24</v>
      </c>
      <c r="G122">
        <v>72</v>
      </c>
      <c r="H122">
        <v>12103249.937269161</v>
      </c>
      <c r="I122">
        <v>8.2622436550759077E-8</v>
      </c>
      <c r="J122">
        <v>385</v>
      </c>
      <c r="K122">
        <f t="shared" si="12"/>
        <v>1210324993726.916</v>
      </c>
      <c r="L122">
        <f t="shared" si="13"/>
        <v>121.0324993726916</v>
      </c>
      <c r="M122">
        <f t="shared" si="14"/>
        <v>2.8835304036370737E-4</v>
      </c>
      <c r="N122">
        <f t="shared" si="15"/>
        <v>42935801.593094058</v>
      </c>
      <c r="O122" s="2">
        <f t="shared" si="16"/>
        <v>4.9143846888636166E-11</v>
      </c>
      <c r="P122" s="2">
        <f t="shared" si="17"/>
        <v>0.77016111772913431</v>
      </c>
    </row>
    <row r="123" spans="1:16" x14ac:dyDescent="0.25">
      <c r="A123" s="1">
        <v>44706.333622685182</v>
      </c>
      <c r="B123">
        <v>2449436.2532935143</v>
      </c>
      <c r="C123">
        <v>1240.1879834455613</v>
      </c>
      <c r="D123">
        <v>14359537414.691895</v>
      </c>
      <c r="E123">
        <v>24494.362532935105</v>
      </c>
      <c r="F123">
        <v>5.8667704399947518E+24</v>
      </c>
      <c r="G123">
        <v>66</v>
      </c>
      <c r="H123">
        <v>11547585.370019769</v>
      </c>
      <c r="I123">
        <v>8.6598190700216323E-8</v>
      </c>
      <c r="J123">
        <v>386</v>
      </c>
      <c r="K123">
        <f t="shared" si="12"/>
        <v>1154758537001.9771</v>
      </c>
      <c r="L123">
        <f t="shared" si="13"/>
        <v>115.47585370019769</v>
      </c>
      <c r="M123">
        <f t="shared" si="14"/>
        <v>2.9520923883074338E-4</v>
      </c>
      <c r="N123">
        <f t="shared" si="15"/>
        <v>43078612.244075686</v>
      </c>
      <c r="O123" s="2">
        <f t="shared" si="16"/>
        <v>5.031886654678915E-11</v>
      </c>
      <c r="P123" s="2">
        <f t="shared" si="17"/>
        <v>0.79119843329364037</v>
      </c>
    </row>
    <row r="124" spans="1:16" x14ac:dyDescent="0.25">
      <c r="A124" s="1">
        <v>44707.333634259259</v>
      </c>
      <c r="B124">
        <v>2899805.9748817682</v>
      </c>
      <c r="C124">
        <v>1503.0067283649987</v>
      </c>
      <c r="D124">
        <v>16654554667.628601</v>
      </c>
      <c r="E124">
        <v>28998.059748817235</v>
      </c>
      <c r="F124">
        <v>6.1208274311874193E+24</v>
      </c>
      <c r="G124">
        <v>66</v>
      </c>
      <c r="H124">
        <v>12302139.513639661</v>
      </c>
      <c r="I124">
        <v>8.1286673662843552E-8</v>
      </c>
      <c r="J124">
        <v>387</v>
      </c>
      <c r="K124">
        <f t="shared" si="12"/>
        <v>1230213951363.9661</v>
      </c>
      <c r="L124">
        <f t="shared" si="13"/>
        <v>123.02139513639661</v>
      </c>
      <c r="M124">
        <f t="shared" si="14"/>
        <v>2.8601263022859618E-4</v>
      </c>
      <c r="N124">
        <f t="shared" si="15"/>
        <v>49963664.002885804</v>
      </c>
      <c r="O124" s="2">
        <f t="shared" si="16"/>
        <v>4.6727772256946432E-11</v>
      </c>
      <c r="P124" s="2">
        <f t="shared" si="17"/>
        <v>0.85216211011704568</v>
      </c>
    </row>
    <row r="125" spans="1:16" x14ac:dyDescent="0.25">
      <c r="A125" s="1">
        <v>44708.33353009259</v>
      </c>
      <c r="B125">
        <v>796465.67472136021</v>
      </c>
      <c r="C125">
        <v>441.58734025334707</v>
      </c>
      <c r="D125">
        <v>6157334076.4441833</v>
      </c>
      <c r="E125">
        <v>7964.6567472144961</v>
      </c>
      <c r="F125">
        <v>4.1638838900821934E+23</v>
      </c>
      <c r="G125">
        <v>78</v>
      </c>
      <c r="H125">
        <v>13717436.307904374</v>
      </c>
      <c r="I125">
        <v>7.2899919310999232E-8</v>
      </c>
      <c r="J125">
        <v>388</v>
      </c>
      <c r="K125">
        <f t="shared" si="12"/>
        <v>1371743630790.4375</v>
      </c>
      <c r="L125">
        <f t="shared" si="13"/>
        <v>137.17436307904373</v>
      </c>
      <c r="M125">
        <f t="shared" si="14"/>
        <v>2.7085637363534444E-4</v>
      </c>
      <c r="N125">
        <f t="shared" si="15"/>
        <v>18472002.229332551</v>
      </c>
      <c r="O125" s="2">
        <f t="shared" si="16"/>
        <v>6.5048973695084907E-10</v>
      </c>
      <c r="P125" s="2">
        <f t="shared" si="17"/>
        <v>4.3857844729566207</v>
      </c>
    </row>
    <row r="126" spans="1:16" x14ac:dyDescent="0.25">
      <c r="A126" s="1">
        <v>44709.333587962959</v>
      </c>
      <c r="B126">
        <v>1034238.3402611017</v>
      </c>
      <c r="C126">
        <v>589.5210032366158</v>
      </c>
      <c r="D126">
        <v>9405764705.5043335</v>
      </c>
      <c r="E126">
        <v>10342.383402611129</v>
      </c>
      <c r="F126">
        <v>5.2608234939268957E+22</v>
      </c>
      <c r="G126">
        <v>76</v>
      </c>
      <c r="H126">
        <v>24040494.84484395</v>
      </c>
      <c r="I126">
        <v>4.1596481538917806E-8</v>
      </c>
      <c r="J126">
        <v>389</v>
      </c>
      <c r="K126">
        <f t="shared" si="12"/>
        <v>2404049484484.395</v>
      </c>
      <c r="L126">
        <f t="shared" si="13"/>
        <v>240.40494844843951</v>
      </c>
      <c r="M126">
        <f t="shared" si="14"/>
        <v>2.0459915435908001E-4</v>
      </c>
      <c r="N126">
        <f t="shared" si="15"/>
        <v>28217294.116513003</v>
      </c>
      <c r="O126" s="2">
        <f t="shared" si="16"/>
        <v>3.8891088932230789E-9</v>
      </c>
      <c r="P126" s="2">
        <f t="shared" si="17"/>
        <v>40.055147264296025</v>
      </c>
    </row>
    <row r="127" spans="1:16" x14ac:dyDescent="0.25">
      <c r="A127" s="1">
        <v>44710.333414351851</v>
      </c>
      <c r="B127">
        <v>549883.09411323071</v>
      </c>
      <c r="C127">
        <v>308.47054923104588</v>
      </c>
      <c r="D127">
        <v>6268053533.7780151</v>
      </c>
      <c r="E127">
        <v>5498.8309411313385</v>
      </c>
      <c r="F127">
        <v>1.6583320946148733E+23</v>
      </c>
      <c r="G127">
        <v>78</v>
      </c>
      <c r="H127">
        <v>21454735.351214096</v>
      </c>
      <c r="I127">
        <v>4.6609756943164126E-8</v>
      </c>
      <c r="J127">
        <v>390</v>
      </c>
      <c r="K127">
        <f t="shared" si="12"/>
        <v>2145473535121.4097</v>
      </c>
      <c r="L127">
        <f t="shared" si="13"/>
        <v>214.54735351214097</v>
      </c>
      <c r="M127">
        <f t="shared" si="14"/>
        <v>2.1657780851518533E-4</v>
      </c>
      <c r="N127">
        <f t="shared" si="15"/>
        <v>18804160.601334047</v>
      </c>
      <c r="O127" s="2">
        <f t="shared" si="16"/>
        <v>1.3059978108032865E-9</v>
      </c>
      <c r="P127" s="2">
        <f t="shared" si="17"/>
        <v>8.9637402914575226</v>
      </c>
    </row>
    <row r="128" spans="1:16" x14ac:dyDescent="0.25">
      <c r="A128" s="1">
        <v>44711.333506944444</v>
      </c>
      <c r="B128">
        <v>833958.30167323351</v>
      </c>
      <c r="C128">
        <v>449.59166770181037</v>
      </c>
      <c r="D128">
        <v>7187453738.5512085</v>
      </c>
      <c r="E128">
        <v>8339.5830167327076</v>
      </c>
      <c r="F128">
        <v>4.0965761538840352E+23</v>
      </c>
      <c r="G128">
        <v>80</v>
      </c>
      <c r="H128">
        <v>14080156.164542934</v>
      </c>
      <c r="I128">
        <v>7.1021939551936902E-8</v>
      </c>
      <c r="J128">
        <v>391</v>
      </c>
      <c r="K128">
        <f t="shared" si="12"/>
        <v>1408015616454.2935</v>
      </c>
      <c r="L128">
        <f t="shared" si="13"/>
        <v>140.80156164542933</v>
      </c>
      <c r="M128">
        <f t="shared" si="14"/>
        <v>2.6734483614812392E-4</v>
      </c>
      <c r="N128">
        <f t="shared" si="15"/>
        <v>21562361.215653624</v>
      </c>
      <c r="O128" s="2">
        <f t="shared" si="16"/>
        <v>6.526055567028813E-10</v>
      </c>
      <c r="P128" s="2">
        <f t="shared" si="17"/>
        <v>5.1361766119141414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HistoricalActiveLiquidity">
                <anchor moveWithCells="1" sizeWithCells="1">
                  <from>
                    <xdr:col>21</xdr:col>
                    <xdr:colOff>85725</xdr:colOff>
                    <xdr:row>1</xdr:row>
                    <xdr:rowOff>57150</xdr:rowOff>
                  </from>
                  <to>
                    <xdr:col>22</xdr:col>
                    <xdr:colOff>466725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26"/>
  <sheetViews>
    <sheetView tabSelected="1" topLeftCell="B1" workbookViewId="0">
      <selection activeCell="M3" sqref="M3"/>
    </sheetView>
  </sheetViews>
  <sheetFormatPr defaultRowHeight="15" x14ac:dyDescent="0.25"/>
  <cols>
    <col min="1" max="1" width="14.140625" bestFit="1" customWidth="1"/>
    <col min="2" max="2" width="13.5703125" style="7" bestFit="1" customWidth="1"/>
    <col min="3" max="3" width="9.85546875" style="7" bestFit="1" customWidth="1"/>
    <col min="4" max="4" width="18.28515625" style="7" bestFit="1" customWidth="1"/>
    <col min="5" max="5" width="10.85546875" style="7" bestFit="1" customWidth="1"/>
    <col min="6" max="6" width="12.140625" bestFit="1" customWidth="1"/>
    <col min="7" max="7" width="9.42578125" bestFit="1" customWidth="1"/>
    <col min="8" max="8" width="11" bestFit="1" customWidth="1"/>
    <col min="9" max="9" width="12" bestFit="1" customWidth="1"/>
    <col min="10" max="10" width="9.42578125" bestFit="1" customWidth="1"/>
    <col min="11" max="11" width="12.140625" bestFit="1" customWidth="1"/>
    <col min="12" max="15" width="9.42578125" bestFit="1" customWidth="1"/>
    <col min="16" max="16" width="12.42578125" bestFit="1" customWidth="1"/>
    <col min="17" max="21" width="9.42578125" bestFit="1" customWidth="1"/>
  </cols>
  <sheetData>
    <row r="1" spans="1:27" x14ac:dyDescent="0.25">
      <c r="A1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83</v>
      </c>
      <c r="R1" t="s">
        <v>84</v>
      </c>
      <c r="S1" t="s">
        <v>52</v>
      </c>
      <c r="T1" t="s">
        <v>85</v>
      </c>
      <c r="U1" t="s">
        <v>55</v>
      </c>
    </row>
    <row r="2" spans="1:27" x14ac:dyDescent="0.25">
      <c r="A2" s="1">
        <v>44587.333379629628</v>
      </c>
      <c r="B2" s="7">
        <v>727595.30116462708</v>
      </c>
      <c r="C2" s="7">
        <v>295.26507713088358</v>
      </c>
      <c r="D2" s="7">
        <v>11478.726975963451</v>
      </c>
      <c r="E2" s="7">
        <v>7275.9530116464011</v>
      </c>
      <c r="F2">
        <v>2.5004278223225917E+22</v>
      </c>
      <c r="G2">
        <v>38</v>
      </c>
      <c r="H2">
        <v>39.409870382264003</v>
      </c>
      <c r="I2" s="18">
        <v>2.5374353944844219E-2</v>
      </c>
      <c r="J2">
        <v>167</v>
      </c>
      <c r="K2">
        <f t="shared" ref="K2:K65" si="0">(1+$AA$16)*H2</f>
        <v>3940987.0382264005</v>
      </c>
      <c r="L2">
        <f t="shared" ref="L2:L65" si="1">H2/(1+$AA$16)</f>
        <v>3.9409870382264004E-4</v>
      </c>
      <c r="M2">
        <f>1/(SQRT(H2)-SQRT(L2))</f>
        <v>0.15979862296988087</v>
      </c>
      <c r="N2">
        <f>D2*0.003</f>
        <v>34.436180927890355</v>
      </c>
      <c r="O2" s="2">
        <f>M2/(F2/POWER(10,$AA$21))</f>
        <v>6.3908512592636047E-6</v>
      </c>
      <c r="P2" s="2">
        <f>O2*N2*365</f>
        <v>8.0327926240241654E-2</v>
      </c>
      <c r="Q2">
        <f>H2/$H$2</f>
        <v>1</v>
      </c>
      <c r="R2">
        <f>LN(P2/365+1)</f>
        <v>2.2005229696440591E-4</v>
      </c>
      <c r="S2">
        <f>R2</f>
        <v>2.2005229696440591E-4</v>
      </c>
      <c r="T2">
        <f>2*SQRT(Q2)*EXP(S2)/(1+Q2)-1</f>
        <v>2.2007651024713581E-4</v>
      </c>
      <c r="U2">
        <f>SQRT(Q2)*EXP(S2)-1</f>
        <v>2.2007651024713581E-4</v>
      </c>
    </row>
    <row r="3" spans="1:27" x14ac:dyDescent="0.25">
      <c r="A3" s="1">
        <v>44588.333333333336</v>
      </c>
      <c r="B3" s="7">
        <v>1120085.5387278497</v>
      </c>
      <c r="C3" s="7">
        <v>442.62382636016991</v>
      </c>
      <c r="D3" s="7">
        <v>18232.683022853918</v>
      </c>
      <c r="E3" s="7">
        <v>11200.855387278367</v>
      </c>
      <c r="F3">
        <v>2.4872146574117828E+22</v>
      </c>
      <c r="G3">
        <v>39</v>
      </c>
      <c r="H3">
        <v>41.182528562283537</v>
      </c>
      <c r="I3">
        <v>2.4282141842932793E-2</v>
      </c>
      <c r="J3">
        <v>168</v>
      </c>
      <c r="K3">
        <f t="shared" si="0"/>
        <v>4118252.8562283535</v>
      </c>
      <c r="L3">
        <f t="shared" si="1"/>
        <v>4.1182528562283538E-4</v>
      </c>
      <c r="M3">
        <f>1/(SQRT(H3)-SQRT(L3))</f>
        <v>0.15632161443713494</v>
      </c>
      <c r="N3">
        <f t="shared" ref="N3:N66" si="2">D3*0.003</f>
        <v>54.698049068561758</v>
      </c>
      <c r="O3" s="2">
        <f t="shared" ref="O3:O66" si="3">M3/(F3/POWER(10,$AA$21))</f>
        <v>6.2850069643689119E-6</v>
      </c>
      <c r="P3" s="2">
        <f t="shared" ref="P3:P66" si="4">O3*N3*365</f>
        <v>0.12547883105665564</v>
      </c>
      <c r="Q3">
        <f t="shared" ref="Q3:Q66" si="5">H3/$H$2</f>
        <v>1.0449800560830391</v>
      </c>
      <c r="R3">
        <f t="shared" ref="R3:R66" si="6">LN(P3/365+1)</f>
        <v>3.4371854134697985E-4</v>
      </c>
      <c r="S3">
        <f>R3+S2</f>
        <v>5.637708383113857E-4</v>
      </c>
      <c r="T3">
        <f t="shared" ref="T3:T66" si="7">2*SQRT(Q3)*EXP(S3)/(1+Q3)-1</f>
        <v>3.2186633886244209E-4</v>
      </c>
      <c r="U3">
        <f t="shared" ref="U3:U66" si="8">SQRT(Q3)*EXP(S3)-1</f>
        <v>2.2819133163368699E-2</v>
      </c>
    </row>
    <row r="4" spans="1:27" x14ac:dyDescent="0.25">
      <c r="A4" s="1">
        <v>44589.333344907405</v>
      </c>
      <c r="B4" s="7">
        <v>1506800.0475589931</v>
      </c>
      <c r="C4" s="7">
        <v>628.40211858444673</v>
      </c>
      <c r="D4" s="7">
        <v>28103.029792840593</v>
      </c>
      <c r="E4" s="7">
        <v>15068.000475590117</v>
      </c>
      <c r="F4">
        <v>1.4974146031152674E+22</v>
      </c>
      <c r="G4">
        <v>37</v>
      </c>
      <c r="H4">
        <v>48.901374915417897</v>
      </c>
      <c r="I4">
        <v>2.0449322779362476E-2</v>
      </c>
      <c r="J4">
        <v>169</v>
      </c>
      <c r="K4">
        <f t="shared" si="0"/>
        <v>4890137.4915417898</v>
      </c>
      <c r="L4">
        <f t="shared" si="1"/>
        <v>4.8901374915417896E-4</v>
      </c>
      <c r="M4">
        <f t="shared" ref="M4:M67" si="9">1/(SQRT(H4)-SQRT(L4))</f>
        <v>0.14345477241677401</v>
      </c>
      <c r="N4">
        <f t="shared" si="2"/>
        <v>84.309089378521776</v>
      </c>
      <c r="O4" s="2">
        <f t="shared" si="3"/>
        <v>9.5801638449582559E-6</v>
      </c>
      <c r="P4" s="2">
        <f t="shared" si="4"/>
        <v>0.29480863480089597</v>
      </c>
      <c r="Q4">
        <f t="shared" si="5"/>
        <v>1.2408407954933403</v>
      </c>
      <c r="R4">
        <f t="shared" si="6"/>
        <v>8.0736887988046052E-4</v>
      </c>
      <c r="S4">
        <f t="shared" ref="S4:S67" si="10">R4+S3</f>
        <v>1.3711397181918462E-3</v>
      </c>
      <c r="T4">
        <f t="shared" si="7"/>
        <v>-4.4283905661731682E-3</v>
      </c>
      <c r="U4">
        <f t="shared" si="8"/>
        <v>0.11545873862714062</v>
      </c>
    </row>
    <row r="5" spans="1:27" x14ac:dyDescent="0.25">
      <c r="A5" s="1">
        <v>44590.333356481482</v>
      </c>
      <c r="B5" s="7">
        <v>589025.00948214531</v>
      </c>
      <c r="C5" s="7">
        <v>234.90903075582173</v>
      </c>
      <c r="D5" s="7">
        <v>11603.128998635337</v>
      </c>
      <c r="E5" s="7">
        <v>5890.250094821211</v>
      </c>
      <c r="F5">
        <v>1.50918651089597E+22</v>
      </c>
      <c r="G5">
        <v>37</v>
      </c>
      <c r="H5">
        <v>48.896485266891204</v>
      </c>
      <c r="I5">
        <v>2.0451367711640415E-2</v>
      </c>
      <c r="J5">
        <v>170</v>
      </c>
      <c r="K5">
        <f t="shared" si="0"/>
        <v>4889648.5266891206</v>
      </c>
      <c r="L5">
        <f t="shared" si="1"/>
        <v>4.8896485266891208E-4</v>
      </c>
      <c r="M5">
        <f t="shared" si="9"/>
        <v>0.14346194497608539</v>
      </c>
      <c r="N5">
        <f t="shared" si="2"/>
        <v>34.80938699590601</v>
      </c>
      <c r="O5" s="2">
        <f t="shared" si="3"/>
        <v>9.5059122209431396E-6</v>
      </c>
      <c r="P5" s="2">
        <f t="shared" si="4"/>
        <v>0.12077666669549159</v>
      </c>
      <c r="Q5">
        <f t="shared" si="5"/>
        <v>1.2407167238209582</v>
      </c>
      <c r="R5">
        <f t="shared" si="6"/>
        <v>3.3084024357877802E-4</v>
      </c>
      <c r="S5">
        <f t="shared" si="10"/>
        <v>1.7019799617706242E-3</v>
      </c>
      <c r="T5">
        <f t="shared" si="7"/>
        <v>-4.0936105385858124E-3</v>
      </c>
      <c r="U5">
        <f t="shared" si="8"/>
        <v>0.11577205111316968</v>
      </c>
    </row>
    <row r="6" spans="1:27" x14ac:dyDescent="0.25">
      <c r="A6" s="1">
        <v>44591.333379629628</v>
      </c>
      <c r="B6" s="7">
        <v>403069.3938960433</v>
      </c>
      <c r="C6" s="7">
        <v>156.86783445361652</v>
      </c>
      <c r="D6" s="7">
        <v>7853.0380004364997</v>
      </c>
      <c r="E6" s="7">
        <v>4030.6939389607869</v>
      </c>
      <c r="F6">
        <v>1.1569105493814334E+22</v>
      </c>
      <c r="G6">
        <v>35</v>
      </c>
      <c r="H6">
        <v>52.368333607989591</v>
      </c>
      <c r="I6">
        <v>1.9095509272562278E-2</v>
      </c>
      <c r="J6">
        <v>171</v>
      </c>
      <c r="K6">
        <f t="shared" si="0"/>
        <v>5236833.3607989587</v>
      </c>
      <c r="L6">
        <f t="shared" si="1"/>
        <v>5.2368333607989595E-4</v>
      </c>
      <c r="M6">
        <f t="shared" si="9"/>
        <v>0.1386248721103143</v>
      </c>
      <c r="N6">
        <f t="shared" si="2"/>
        <v>23.559114001309499</v>
      </c>
      <c r="O6" s="2">
        <f t="shared" si="3"/>
        <v>1.198233279007033E-5</v>
      </c>
      <c r="P6" s="2">
        <f t="shared" si="4"/>
        <v>0.10303699763405699</v>
      </c>
      <c r="Q6">
        <f t="shared" si="5"/>
        <v>1.3288126324708087</v>
      </c>
      <c r="R6">
        <f t="shared" si="6"/>
        <v>2.8225330699017845E-4</v>
      </c>
      <c r="S6">
        <f t="shared" si="10"/>
        <v>1.9842332687608029E-3</v>
      </c>
      <c r="T6">
        <f t="shared" si="7"/>
        <v>-8.0516415704692257E-3</v>
      </c>
      <c r="U6">
        <f t="shared" si="8"/>
        <v>0.15503093393468648</v>
      </c>
    </row>
    <row r="7" spans="1:27" x14ac:dyDescent="0.25">
      <c r="A7" s="1">
        <v>44592.333611111113</v>
      </c>
      <c r="B7" s="7">
        <v>314865.61335965991</v>
      </c>
      <c r="C7" s="7">
        <v>122.46998746262398</v>
      </c>
      <c r="D7" s="7">
        <v>6714.5333562344313</v>
      </c>
      <c r="E7" s="7">
        <v>3148.6561335963197</v>
      </c>
      <c r="F7">
        <v>7.6201835199128236E+21</v>
      </c>
      <c r="G7">
        <v>31</v>
      </c>
      <c r="H7">
        <v>54.926707374659252</v>
      </c>
      <c r="I7">
        <v>1.8206079479312749E-2</v>
      </c>
      <c r="J7">
        <v>172</v>
      </c>
      <c r="K7">
        <f t="shared" si="0"/>
        <v>5492670.7374659255</v>
      </c>
      <c r="L7">
        <f t="shared" si="1"/>
        <v>5.4926707374659248E-4</v>
      </c>
      <c r="M7">
        <f t="shared" si="9"/>
        <v>0.13535794520668276</v>
      </c>
      <c r="N7">
        <f t="shared" si="2"/>
        <v>20.143600068703293</v>
      </c>
      <c r="O7" s="2">
        <f t="shared" si="3"/>
        <v>1.7763082063964686E-5</v>
      </c>
      <c r="P7" s="2">
        <f t="shared" si="4"/>
        <v>0.13060153369568236</v>
      </c>
      <c r="Q7">
        <f t="shared" si="5"/>
        <v>1.3937297139494891</v>
      </c>
      <c r="R7">
        <f t="shared" si="6"/>
        <v>3.5774842148589622E-4</v>
      </c>
      <c r="S7">
        <f>R7+S6</f>
        <v>2.3419816902466991E-3</v>
      </c>
      <c r="T7">
        <f t="shared" si="7"/>
        <v>-1.1307421587497091E-2</v>
      </c>
      <c r="U7">
        <f t="shared" si="8"/>
        <v>0.18333140145367177</v>
      </c>
    </row>
    <row r="8" spans="1:27" x14ac:dyDescent="0.25">
      <c r="A8" s="1">
        <v>44593.333356481482</v>
      </c>
      <c r="B8" s="7">
        <v>980980.31460925937</v>
      </c>
      <c r="C8" s="7">
        <v>363.81510533438995</v>
      </c>
      <c r="D8" s="7">
        <v>18935.684719902463</v>
      </c>
      <c r="E8" s="7">
        <v>9809.8031460926868</v>
      </c>
      <c r="F8">
        <v>1.0553814149315365E+22</v>
      </c>
      <c r="G8">
        <v>34</v>
      </c>
      <c r="H8">
        <v>53.223566535289166</v>
      </c>
      <c r="I8">
        <v>1.8788669476649287E-2</v>
      </c>
      <c r="J8">
        <v>173</v>
      </c>
      <c r="K8">
        <f t="shared" si="0"/>
        <v>5322356.6535289166</v>
      </c>
      <c r="L8">
        <f t="shared" si="1"/>
        <v>5.3223566535289164E-4</v>
      </c>
      <c r="M8">
        <f>1/(SQRT(H8)-SQRT(L8))</f>
        <v>0.13750660166793408</v>
      </c>
      <c r="N8">
        <f t="shared" si="2"/>
        <v>56.807054159707391</v>
      </c>
      <c r="O8" s="2">
        <f t="shared" si="3"/>
        <v>1.3029090689156607E-5</v>
      </c>
      <c r="P8" s="2">
        <f t="shared" si="4"/>
        <v>0.27015265505719044</v>
      </c>
      <c r="Q8">
        <f t="shared" si="5"/>
        <v>1.3505136154733934</v>
      </c>
      <c r="R8">
        <f t="shared" si="6"/>
        <v>7.3987048874624953E-4</v>
      </c>
      <c r="S8">
        <f t="shared" si="10"/>
        <v>3.0818521789929484E-3</v>
      </c>
      <c r="T8">
        <f t="shared" si="7"/>
        <v>-8.1291218371939422E-3</v>
      </c>
      <c r="U8">
        <f t="shared" si="8"/>
        <v>0.16570300195661347</v>
      </c>
    </row>
    <row r="9" spans="1:27" x14ac:dyDescent="0.25">
      <c r="A9" s="1">
        <v>44594.333553240744</v>
      </c>
      <c r="B9" s="7">
        <v>212926.1606143713</v>
      </c>
      <c r="C9" s="7">
        <v>76.679053238636698</v>
      </c>
      <c r="D9" s="7">
        <v>4045.3924429360777</v>
      </c>
      <c r="E9" s="7">
        <v>2129.2616061437875</v>
      </c>
      <c r="F9">
        <v>1.9496130316469382E+22</v>
      </c>
      <c r="G9">
        <v>33</v>
      </c>
      <c r="H9">
        <v>52.410242940942382</v>
      </c>
      <c r="I9">
        <v>1.9080239737236736E-2</v>
      </c>
      <c r="J9">
        <v>174</v>
      </c>
      <c r="K9">
        <f t="shared" si="0"/>
        <v>5241024.2940942384</v>
      </c>
      <c r="L9">
        <f t="shared" si="1"/>
        <v>5.2410242940942385E-4</v>
      </c>
      <c r="M9">
        <f t="shared" si="9"/>
        <v>0.13856943602118538</v>
      </c>
      <c r="N9">
        <f t="shared" si="2"/>
        <v>12.136177328808234</v>
      </c>
      <c r="O9" s="2">
        <f t="shared" si="3"/>
        <v>7.1075353812201731E-6</v>
      </c>
      <c r="P9" s="2">
        <f t="shared" si="4"/>
        <v>3.1484283061402329E-2</v>
      </c>
      <c r="Q9">
        <f t="shared" si="5"/>
        <v>1.3298760547187454</v>
      </c>
      <c r="R9">
        <f t="shared" si="6"/>
        <v>8.6254589723090027E-5</v>
      </c>
      <c r="S9">
        <f t="shared" si="10"/>
        <v>3.1681067687160383E-3</v>
      </c>
      <c r="T9">
        <f t="shared" si="7"/>
        <v>-6.9327671776507893E-3</v>
      </c>
      <c r="U9">
        <f t="shared" si="8"/>
        <v>0.15686178323929845</v>
      </c>
    </row>
    <row r="10" spans="1:27" x14ac:dyDescent="0.25">
      <c r="A10" s="1">
        <v>44595.333460648151</v>
      </c>
      <c r="B10" s="7">
        <v>612228.26256841421</v>
      </c>
      <c r="C10" s="7">
        <v>228.6489949204115</v>
      </c>
      <c r="D10" s="7">
        <v>12508.77994514443</v>
      </c>
      <c r="E10" s="7">
        <v>6122.282625684049</v>
      </c>
      <c r="F10">
        <v>2.0425836934579863E+22</v>
      </c>
      <c r="G10">
        <v>33</v>
      </c>
      <c r="H10">
        <v>54.795047914369114</v>
      </c>
      <c r="I10">
        <v>1.8249824355710913E-2</v>
      </c>
      <c r="J10">
        <v>175</v>
      </c>
      <c r="K10">
        <f t="shared" si="0"/>
        <v>5479504.7914369116</v>
      </c>
      <c r="L10">
        <f t="shared" si="1"/>
        <v>5.4795047914369115E-4</v>
      </c>
      <c r="M10">
        <f t="shared" si="9"/>
        <v>0.13552046410696006</v>
      </c>
      <c r="N10">
        <f t="shared" si="2"/>
        <v>37.526339835433291</v>
      </c>
      <c r="O10" s="2">
        <f t="shared" si="3"/>
        <v>6.6347569767156549E-6</v>
      </c>
      <c r="P10" s="2">
        <f t="shared" si="4"/>
        <v>9.0877022937316421E-2</v>
      </c>
      <c r="Q10">
        <f t="shared" si="5"/>
        <v>1.3903889402039</v>
      </c>
      <c r="R10">
        <f t="shared" si="6"/>
        <v>2.4894715511907792E-4</v>
      </c>
      <c r="S10">
        <f t="shared" si="10"/>
        <v>3.4170539238351162E-3</v>
      </c>
      <c r="T10">
        <f t="shared" si="7"/>
        <v>-1.0049259495123475E-2</v>
      </c>
      <c r="U10">
        <f t="shared" si="8"/>
        <v>0.18318365072475906</v>
      </c>
    </row>
    <row r="11" spans="1:27" x14ac:dyDescent="0.25">
      <c r="A11" s="1">
        <v>44596.333402777775</v>
      </c>
      <c r="B11" s="7">
        <v>492772.92503446341</v>
      </c>
      <c r="C11" s="7">
        <v>183.08372344821692</v>
      </c>
      <c r="D11" s="7">
        <v>9844.1643958380446</v>
      </c>
      <c r="E11" s="7">
        <v>4927.7292503444478</v>
      </c>
      <c r="F11">
        <v>2.0425836934579863E+22</v>
      </c>
      <c r="G11">
        <v>33</v>
      </c>
      <c r="H11">
        <v>55.284875851029767</v>
      </c>
      <c r="I11">
        <v>1.8088129612420456E-2</v>
      </c>
      <c r="J11">
        <v>176</v>
      </c>
      <c r="K11">
        <f t="shared" si="0"/>
        <v>5528487.5851029763</v>
      </c>
      <c r="L11">
        <f t="shared" si="1"/>
        <v>5.5284875851029764E-4</v>
      </c>
      <c r="M11">
        <f>1/(SQRT(H11)-SQRT(L11))</f>
        <v>0.1349187678929438</v>
      </c>
      <c r="N11">
        <f t="shared" si="2"/>
        <v>29.532493187514135</v>
      </c>
      <c r="O11" s="2">
        <f t="shared" si="3"/>
        <v>6.6052993728023671E-6</v>
      </c>
      <c r="P11" s="2">
        <f t="shared" si="4"/>
        <v>7.1200899936003717E-2</v>
      </c>
      <c r="Q11">
        <f t="shared" si="5"/>
        <v>1.4028180076408001</v>
      </c>
      <c r="R11">
        <f t="shared" si="6"/>
        <v>1.9505193486333051E-4</v>
      </c>
      <c r="S11">
        <f t="shared" si="10"/>
        <v>3.6121058586984466E-3</v>
      </c>
      <c r="T11">
        <f t="shared" si="7"/>
        <v>-1.0584974594983865E-2</v>
      </c>
      <c r="U11">
        <f t="shared" si="8"/>
        <v>0.18869212003677616</v>
      </c>
    </row>
    <row r="12" spans="1:27" x14ac:dyDescent="0.25">
      <c r="A12" s="1">
        <v>44597.333344907405</v>
      </c>
      <c r="B12" s="7">
        <v>689104.71364057064</v>
      </c>
      <c r="C12" s="7">
        <v>233.36668405313685</v>
      </c>
      <c r="D12" s="7">
        <v>12767.165757916868</v>
      </c>
      <c r="E12" s="7">
        <v>6891.0471364059485</v>
      </c>
      <c r="F12">
        <v>2.7163262599481411E+22</v>
      </c>
      <c r="G12">
        <v>35</v>
      </c>
      <c r="H12">
        <v>53.069449475802607</v>
      </c>
      <c r="I12">
        <v>1.8843232968828085E-2</v>
      </c>
      <c r="J12">
        <v>177</v>
      </c>
      <c r="K12">
        <f t="shared" si="0"/>
        <v>5306944.9475802602</v>
      </c>
      <c r="L12">
        <f t="shared" si="1"/>
        <v>5.3069449475802606E-4</v>
      </c>
      <c r="M12">
        <f t="shared" si="9"/>
        <v>0.13770612088103196</v>
      </c>
      <c r="N12">
        <f t="shared" si="2"/>
        <v>38.301497273750606</v>
      </c>
      <c r="O12" s="2">
        <f t="shared" si="3"/>
        <v>5.0695721979899786E-6</v>
      </c>
      <c r="P12" s="2">
        <f t="shared" si="4"/>
        <v>7.0872855087944192E-2</v>
      </c>
      <c r="Q12">
        <f t="shared" si="5"/>
        <v>1.3466029946570428</v>
      </c>
      <c r="R12">
        <f t="shared" si="6"/>
        <v>1.941533567375667E-4</v>
      </c>
      <c r="S12">
        <f t="shared" si="10"/>
        <v>3.8062592154360134E-3</v>
      </c>
      <c r="T12">
        <f t="shared" si="7"/>
        <v>-7.1967265463789287E-3</v>
      </c>
      <c r="U12">
        <f t="shared" si="8"/>
        <v>0.16485756729579104</v>
      </c>
    </row>
    <row r="13" spans="1:27" x14ac:dyDescent="0.25">
      <c r="A13" s="1">
        <v>44598.333425925928</v>
      </c>
      <c r="B13" s="7">
        <v>524245.96645689011</v>
      </c>
      <c r="C13" s="7">
        <v>173.42874709898024</v>
      </c>
      <c r="D13" s="7">
        <v>9344.9544791644439</v>
      </c>
      <c r="E13" s="7">
        <v>5242.4596645687707</v>
      </c>
      <c r="F13">
        <v>3.0339152322276461E+22</v>
      </c>
      <c r="G13">
        <v>35</v>
      </c>
      <c r="H13">
        <v>54.46727830717083</v>
      </c>
      <c r="I13">
        <v>1.8359646949136176E-2</v>
      </c>
      <c r="J13">
        <v>178</v>
      </c>
      <c r="K13">
        <f t="shared" si="0"/>
        <v>5446727.8307170831</v>
      </c>
      <c r="L13">
        <f t="shared" si="1"/>
        <v>5.4467278307170834E-4</v>
      </c>
      <c r="M13">
        <f t="shared" si="9"/>
        <v>0.13592761556388444</v>
      </c>
      <c r="N13">
        <f t="shared" si="2"/>
        <v>28.034863437493332</v>
      </c>
      <c r="O13" s="2">
        <f t="shared" si="3"/>
        <v>4.4802707115874117E-6</v>
      </c>
      <c r="P13" s="2">
        <f t="shared" si="4"/>
        <v>4.5845378810259269E-2</v>
      </c>
      <c r="Q13">
        <f t="shared" si="5"/>
        <v>1.3820719981784881</v>
      </c>
      <c r="R13">
        <f t="shared" si="6"/>
        <v>1.2559589006831215E-4</v>
      </c>
      <c r="S13">
        <f t="shared" si="10"/>
        <v>3.9318551055043255E-3</v>
      </c>
      <c r="T13">
        <f t="shared" si="7"/>
        <v>-9.0584727798721509E-3</v>
      </c>
      <c r="U13">
        <f t="shared" si="8"/>
        <v>0.18024703191164626</v>
      </c>
    </row>
    <row r="14" spans="1:27" x14ac:dyDescent="0.25">
      <c r="A14" s="1">
        <v>44599.333402777775</v>
      </c>
      <c r="B14" s="7">
        <v>659236.00733238459</v>
      </c>
      <c r="C14" s="7">
        <v>216.07442474643176</v>
      </c>
      <c r="D14" s="7">
        <v>11660.53515089862</v>
      </c>
      <c r="E14" s="7">
        <v>6592.3600733238272</v>
      </c>
      <c r="F14">
        <v>3.1224525749633329E+22</v>
      </c>
      <c r="G14">
        <v>35</v>
      </c>
      <c r="H14">
        <v>53.501036003447993</v>
      </c>
      <c r="I14">
        <v>1.8691226837842034E-2</v>
      </c>
      <c r="J14">
        <v>179</v>
      </c>
      <c r="K14">
        <f t="shared" si="0"/>
        <v>5350103.6003447995</v>
      </c>
      <c r="L14">
        <f t="shared" si="1"/>
        <v>5.3501036003447992E-4</v>
      </c>
      <c r="M14">
        <f t="shared" si="9"/>
        <v>0.13714956670162409</v>
      </c>
      <c r="N14">
        <f t="shared" si="2"/>
        <v>34.98160545269586</v>
      </c>
      <c r="O14" s="2">
        <f t="shared" si="3"/>
        <v>4.3923666864094694E-6</v>
      </c>
      <c r="P14" s="2">
        <f t="shared" si="4"/>
        <v>5.6082994026052518E-2</v>
      </c>
      <c r="Q14">
        <f t="shared" si="5"/>
        <v>1.3575542239673433</v>
      </c>
      <c r="R14">
        <f t="shared" si="6"/>
        <v>1.5364023516213496E-4</v>
      </c>
      <c r="S14">
        <f t="shared" si="10"/>
        <v>4.0854953406664601E-3</v>
      </c>
      <c r="T14">
        <f t="shared" si="7"/>
        <v>-7.5212745578711049E-3</v>
      </c>
      <c r="U14">
        <f t="shared" si="8"/>
        <v>0.1699112056819081</v>
      </c>
    </row>
    <row r="15" spans="1:27" x14ac:dyDescent="0.25">
      <c r="A15" s="1">
        <v>44600.333564814813</v>
      </c>
      <c r="B15" s="7">
        <v>784264.41627347469</v>
      </c>
      <c r="C15" s="7">
        <v>249.04129948461195</v>
      </c>
      <c r="D15" s="7">
        <v>13377.916356615722</v>
      </c>
      <c r="E15" s="7">
        <v>7842.6441627349705</v>
      </c>
      <c r="F15">
        <v>3.0470116022672628E+22</v>
      </c>
      <c r="G15">
        <v>34</v>
      </c>
      <c r="H15">
        <v>54.358458048009545</v>
      </c>
      <c r="I15">
        <v>1.8396401147302545E-2</v>
      </c>
      <c r="J15">
        <v>180</v>
      </c>
      <c r="K15">
        <f t="shared" si="0"/>
        <v>5435845.8048009546</v>
      </c>
      <c r="L15">
        <f t="shared" si="1"/>
        <v>5.4358458048009547E-4</v>
      </c>
      <c r="M15">
        <f t="shared" si="9"/>
        <v>0.13606360436318948</v>
      </c>
      <c r="N15">
        <f t="shared" si="2"/>
        <v>40.13374906984717</v>
      </c>
      <c r="O15" s="2">
        <f t="shared" si="3"/>
        <v>4.4654770681524609E-6</v>
      </c>
      <c r="P15" s="2">
        <f t="shared" si="4"/>
        <v>6.5413962687591504E-2</v>
      </c>
      <c r="Q15">
        <f t="shared" si="5"/>
        <v>1.37931075440616</v>
      </c>
      <c r="R15">
        <f t="shared" si="6"/>
        <v>1.7920027880138816E-4</v>
      </c>
      <c r="S15">
        <f t="shared" si="10"/>
        <v>4.2646956194678483E-3</v>
      </c>
      <c r="T15">
        <f t="shared" si="7"/>
        <v>-8.5700757667499516E-3</v>
      </c>
      <c r="U15">
        <f t="shared" si="8"/>
        <v>0.17945994048412817</v>
      </c>
    </row>
    <row r="16" spans="1:27" x14ac:dyDescent="0.25">
      <c r="A16" s="1">
        <v>44601.333391203705</v>
      </c>
      <c r="B16" s="7">
        <v>405851.34361934662</v>
      </c>
      <c r="C16" s="7">
        <v>131.92432158459269</v>
      </c>
      <c r="D16" s="7">
        <v>7308.6961621651426</v>
      </c>
      <c r="E16" s="7">
        <v>4058.5134361935779</v>
      </c>
      <c r="F16">
        <v>2.9244627893927669E+22</v>
      </c>
      <c r="G16">
        <v>34</v>
      </c>
      <c r="H16">
        <v>56.305851466764011</v>
      </c>
      <c r="I16">
        <v>1.7760143465555725E-2</v>
      </c>
      <c r="J16">
        <v>181</v>
      </c>
      <c r="K16">
        <f t="shared" si="0"/>
        <v>5630585.1466764007</v>
      </c>
      <c r="L16">
        <f t="shared" si="1"/>
        <v>5.6305851466764006E-4</v>
      </c>
      <c r="M16">
        <f t="shared" si="9"/>
        <v>0.13368995300739248</v>
      </c>
      <c r="N16">
        <f t="shared" si="2"/>
        <v>21.926088486495427</v>
      </c>
      <c r="O16" s="2">
        <f t="shared" si="3"/>
        <v>4.5714362819829815E-6</v>
      </c>
      <c r="P16" s="2">
        <f t="shared" si="4"/>
        <v>3.6585306496634093E-2</v>
      </c>
      <c r="Q16">
        <f t="shared" si="5"/>
        <v>1.428724604283496</v>
      </c>
      <c r="R16">
        <f t="shared" si="6"/>
        <v>1.0022869336578398E-4</v>
      </c>
      <c r="S16">
        <f t="shared" si="10"/>
        <v>4.3649243128336323E-3</v>
      </c>
      <c r="T16">
        <f t="shared" si="7"/>
        <v>-1.1397629124075936E-2</v>
      </c>
      <c r="U16">
        <f t="shared" si="8"/>
        <v>0.20052145099967733</v>
      </c>
      <c r="Z16" t="s">
        <v>45</v>
      </c>
      <c r="AA16">
        <v>99999</v>
      </c>
    </row>
    <row r="17" spans="1:29" x14ac:dyDescent="0.25">
      <c r="A17" s="1">
        <v>44602.333495370367</v>
      </c>
      <c r="B17" s="7">
        <v>368694.02368342876</v>
      </c>
      <c r="C17" s="7">
        <v>113.94165727235668</v>
      </c>
      <c r="D17" s="7">
        <v>6403.0555344074965</v>
      </c>
      <c r="E17" s="7">
        <v>3686.9402368338779</v>
      </c>
      <c r="F17">
        <v>1.7080009492415495E+22</v>
      </c>
      <c r="G17">
        <v>34</v>
      </c>
      <c r="H17">
        <v>57.213945063470476</v>
      </c>
      <c r="I17">
        <v>1.7478256374222172E-2</v>
      </c>
      <c r="J17">
        <v>182</v>
      </c>
      <c r="K17">
        <f t="shared" si="0"/>
        <v>5721394.5063470472</v>
      </c>
      <c r="L17">
        <f t="shared" si="1"/>
        <v>5.7213945063470473E-4</v>
      </c>
      <c r="M17">
        <f t="shared" si="9"/>
        <v>0.13262475312275457</v>
      </c>
      <c r="N17">
        <f t="shared" si="2"/>
        <v>19.209166603222489</v>
      </c>
      <c r="O17" s="2">
        <f t="shared" si="3"/>
        <v>7.7649109727747848E-6</v>
      </c>
      <c r="P17" s="2">
        <f t="shared" si="4"/>
        <v>5.4442476015355755E-2</v>
      </c>
      <c r="Q17">
        <f t="shared" si="5"/>
        <v>1.4517668926213725</v>
      </c>
      <c r="R17">
        <f t="shared" si="6"/>
        <v>1.4914634566609268E-4</v>
      </c>
      <c r="S17">
        <f t="shared" si="10"/>
        <v>4.5140706584997246E-3</v>
      </c>
      <c r="T17">
        <f t="shared" si="7"/>
        <v>-1.2675987671744493E-2</v>
      </c>
      <c r="U17">
        <f t="shared" si="8"/>
        <v>0.2103441628582563</v>
      </c>
      <c r="Z17" t="s">
        <v>46</v>
      </c>
      <c r="AA17">
        <v>2.3E-3</v>
      </c>
      <c r="AB17">
        <v>4.529E-3</v>
      </c>
      <c r="AC17">
        <f>AA17*365</f>
        <v>0.83950000000000002</v>
      </c>
    </row>
    <row r="18" spans="1:29" x14ac:dyDescent="0.25">
      <c r="A18" s="1">
        <v>44603.333460648151</v>
      </c>
      <c r="B18" s="7">
        <v>196128.49402230978</v>
      </c>
      <c r="C18" s="7">
        <v>62.867731146689039</v>
      </c>
      <c r="D18" s="7">
        <v>3645.5648526391014</v>
      </c>
      <c r="E18" s="7">
        <v>1961.2849402236752</v>
      </c>
      <c r="F18">
        <v>1.5827529278773025E+22</v>
      </c>
      <c r="G18">
        <v>34</v>
      </c>
      <c r="H18">
        <v>57.638877321025461</v>
      </c>
      <c r="I18">
        <v>1.7349401072307508E-2</v>
      </c>
      <c r="J18">
        <v>183</v>
      </c>
      <c r="K18">
        <f t="shared" si="0"/>
        <v>5763887.7321025459</v>
      </c>
      <c r="L18">
        <f t="shared" si="1"/>
        <v>5.7638877321025466E-4</v>
      </c>
      <c r="M18">
        <f t="shared" si="9"/>
        <v>0.13213497267736832</v>
      </c>
      <c r="N18">
        <f t="shared" si="2"/>
        <v>10.936694557917304</v>
      </c>
      <c r="O18" s="2">
        <f t="shared" si="3"/>
        <v>8.34842699388212E-6</v>
      </c>
      <c r="P18" s="2">
        <f t="shared" si="4"/>
        <v>3.3326031565973586E-2</v>
      </c>
      <c r="Q18">
        <f t="shared" si="5"/>
        <v>1.4625492741271544</v>
      </c>
      <c r="R18">
        <f t="shared" si="6"/>
        <v>9.130002809665289E-5</v>
      </c>
      <c r="S18">
        <f t="shared" si="10"/>
        <v>4.6053706865963771E-3</v>
      </c>
      <c r="T18">
        <f t="shared" si="7"/>
        <v>-1.326528695046969E-2</v>
      </c>
      <c r="U18">
        <f t="shared" si="8"/>
        <v>0.21494142568809349</v>
      </c>
    </row>
    <row r="19" spans="1:29" x14ac:dyDescent="0.25">
      <c r="A19" s="1">
        <v>44604.333483796298</v>
      </c>
      <c r="B19" s="7">
        <v>422946.99357414246</v>
      </c>
      <c r="C19" s="7">
        <v>144.15253335554735</v>
      </c>
      <c r="D19" s="7">
        <v>8164.0554562257603</v>
      </c>
      <c r="E19" s="7">
        <v>4229.4699357408099</v>
      </c>
      <c r="F19">
        <v>2.817330865980562E+22</v>
      </c>
      <c r="G19">
        <v>36</v>
      </c>
      <c r="H19">
        <v>56.272079776960346</v>
      </c>
      <c r="I19">
        <v>1.7770802216011804E-2</v>
      </c>
      <c r="J19">
        <v>184</v>
      </c>
      <c r="K19">
        <f t="shared" si="0"/>
        <v>5627207.9776960351</v>
      </c>
      <c r="L19">
        <f t="shared" si="1"/>
        <v>5.6272079776960348E-4</v>
      </c>
      <c r="M19">
        <f t="shared" si="9"/>
        <v>0.13373006400412696</v>
      </c>
      <c r="N19">
        <f t="shared" si="2"/>
        <v>24.492166368677282</v>
      </c>
      <c r="O19" s="2">
        <f t="shared" si="3"/>
        <v>4.7466936034714784E-6</v>
      </c>
      <c r="P19" s="2">
        <f t="shared" si="4"/>
        <v>4.2433735444636293E-2</v>
      </c>
      <c r="Q19">
        <f t="shared" si="5"/>
        <v>1.4278676694731025</v>
      </c>
      <c r="R19">
        <f t="shared" si="6"/>
        <v>1.1625005213812225E-4</v>
      </c>
      <c r="S19">
        <f t="shared" si="10"/>
        <v>4.7216207387344991E-3</v>
      </c>
      <c r="T19">
        <f t="shared" si="7"/>
        <v>-1.0992607786628583E-2</v>
      </c>
      <c r="U19">
        <f t="shared" si="8"/>
        <v>0.20058953621237441</v>
      </c>
      <c r="Z19" t="s">
        <v>47</v>
      </c>
      <c r="AA19">
        <v>18</v>
      </c>
    </row>
    <row r="20" spans="1:29" x14ac:dyDescent="0.25">
      <c r="A20" s="1">
        <v>44605.333356481482</v>
      </c>
      <c r="B20" s="7">
        <v>491627.85266071558</v>
      </c>
      <c r="C20" s="7">
        <v>167.99563337725704</v>
      </c>
      <c r="D20" s="7">
        <v>9254.868953528814</v>
      </c>
      <c r="E20" s="7">
        <v>4916.2785266069695</v>
      </c>
      <c r="F20">
        <v>3.0085718252023246E+22</v>
      </c>
      <c r="G20">
        <v>38</v>
      </c>
      <c r="H20">
        <v>54.899252258055981</v>
      </c>
      <c r="I20">
        <v>1.821518433984242E-2</v>
      </c>
      <c r="J20">
        <v>185</v>
      </c>
      <c r="K20">
        <f t="shared" si="0"/>
        <v>5489925.2258055983</v>
      </c>
      <c r="L20">
        <f t="shared" si="1"/>
        <v>5.4899252258055976E-4</v>
      </c>
      <c r="M20">
        <f t="shared" si="9"/>
        <v>0.13539178723098821</v>
      </c>
      <c r="N20">
        <f t="shared" si="2"/>
        <v>27.764606860586444</v>
      </c>
      <c r="O20" s="2">
        <f t="shared" si="3"/>
        <v>4.5002012615033112E-6</v>
      </c>
      <c r="P20" s="2">
        <f t="shared" si="4"/>
        <v>4.5605406368991429E-2</v>
      </c>
      <c r="Q20">
        <f t="shared" si="5"/>
        <v>1.3930330581032007</v>
      </c>
      <c r="R20">
        <f t="shared" si="6"/>
        <v>1.2493851367794602E-4</v>
      </c>
      <c r="S20">
        <f t="shared" si="10"/>
        <v>4.8465592524124454E-3</v>
      </c>
      <c r="T20">
        <f t="shared" si="7"/>
        <v>-8.7873341680088091E-3</v>
      </c>
      <c r="U20">
        <f t="shared" si="8"/>
        <v>0.18600233847327785</v>
      </c>
      <c r="Z20" t="s">
        <v>48</v>
      </c>
      <c r="AA20">
        <v>18</v>
      </c>
    </row>
    <row r="21" spans="1:29" x14ac:dyDescent="0.25">
      <c r="A21" s="1">
        <v>44606.333472222221</v>
      </c>
      <c r="B21" s="7">
        <v>205045.06600826979</v>
      </c>
      <c r="C21" s="7">
        <v>71.337074565308285</v>
      </c>
      <c r="D21" s="7">
        <v>3927.2262540552765</v>
      </c>
      <c r="E21" s="7">
        <v>2050.4506600829773</v>
      </c>
      <c r="F21">
        <v>3.0401757211376155E+22</v>
      </c>
      <c r="G21">
        <v>38</v>
      </c>
      <c r="H21">
        <v>55.31805507037754</v>
      </c>
      <c r="I21">
        <v>1.8077280532147515E-2</v>
      </c>
      <c r="J21">
        <v>186</v>
      </c>
      <c r="K21">
        <f t="shared" si="0"/>
        <v>5531805.5070377542</v>
      </c>
      <c r="L21">
        <f t="shared" si="1"/>
        <v>5.5318055070377535E-4</v>
      </c>
      <c r="M21">
        <f t="shared" si="9"/>
        <v>0.13487830035635298</v>
      </c>
      <c r="N21">
        <f t="shared" si="2"/>
        <v>11.78167876216583</v>
      </c>
      <c r="O21" s="2">
        <f t="shared" si="3"/>
        <v>4.4365297511777488E-6</v>
      </c>
      <c r="P21" s="2">
        <f t="shared" si="4"/>
        <v>1.9078465446716226E-2</v>
      </c>
      <c r="Q21">
        <f t="shared" si="5"/>
        <v>1.4036599088961441</v>
      </c>
      <c r="R21">
        <f t="shared" si="6"/>
        <v>5.2268402330416529E-5</v>
      </c>
      <c r="S21">
        <f t="shared" si="10"/>
        <v>4.8988276547428621E-3</v>
      </c>
      <c r="T21">
        <f t="shared" si="7"/>
        <v>-9.3609177928769549E-3</v>
      </c>
      <c r="U21">
        <f t="shared" si="8"/>
        <v>0.19057972304346671</v>
      </c>
      <c r="Z21" t="s">
        <v>49</v>
      </c>
      <c r="AA21">
        <f>AVERAGE(AA19:AA20)</f>
        <v>18</v>
      </c>
    </row>
    <row r="22" spans="1:29" x14ac:dyDescent="0.25">
      <c r="A22" s="1">
        <v>44607.333472222221</v>
      </c>
      <c r="B22" s="7">
        <v>295470.97741389275</v>
      </c>
      <c r="C22" s="7">
        <v>98.675411239804816</v>
      </c>
      <c r="D22" s="7">
        <v>5400.026505514048</v>
      </c>
      <c r="E22" s="7">
        <v>2954.7097741388716</v>
      </c>
      <c r="F22">
        <v>3.0067352908034069E+22</v>
      </c>
      <c r="G22">
        <v>37</v>
      </c>
      <c r="H22">
        <v>55.113766647497741</v>
      </c>
      <c r="I22">
        <v>1.8144287005384736E-2</v>
      </c>
      <c r="J22">
        <v>187</v>
      </c>
      <c r="K22">
        <f t="shared" si="0"/>
        <v>5511376.6647497742</v>
      </c>
      <c r="L22">
        <f t="shared" si="1"/>
        <v>5.5113766647497736E-4</v>
      </c>
      <c r="M22">
        <f t="shared" si="9"/>
        <v>0.13512804366639131</v>
      </c>
      <c r="N22">
        <f t="shared" si="2"/>
        <v>16.200079516542143</v>
      </c>
      <c r="O22" s="2">
        <f t="shared" si="3"/>
        <v>4.4941782563866722E-6</v>
      </c>
      <c r="P22" s="2">
        <f t="shared" si="4"/>
        <v>2.657420646696727E-2</v>
      </c>
      <c r="Q22">
        <f t="shared" si="5"/>
        <v>1.3984762221471581</v>
      </c>
      <c r="R22">
        <f t="shared" si="6"/>
        <v>7.2803394883479974E-5</v>
      </c>
      <c r="S22">
        <f t="shared" si="10"/>
        <v>4.9716310496263419E-3</v>
      </c>
      <c r="T22">
        <f t="shared" si="7"/>
        <v>-8.9826141948718963E-3</v>
      </c>
      <c r="U22">
        <f t="shared" si="8"/>
        <v>0.18846581779401816</v>
      </c>
    </row>
    <row r="23" spans="1:29" x14ac:dyDescent="0.25">
      <c r="A23" s="1">
        <v>44608.333599537036</v>
      </c>
      <c r="B23" s="7">
        <v>1099130.5736128688</v>
      </c>
      <c r="C23" s="7">
        <v>351.96520394555409</v>
      </c>
      <c r="D23" s="7">
        <v>19348.759843613021</v>
      </c>
      <c r="E23" s="7">
        <v>10991.305736129172</v>
      </c>
      <c r="F23">
        <v>3.1948589228188481E+22</v>
      </c>
      <c r="G23">
        <v>37</v>
      </c>
      <c r="H23">
        <v>54.729336577071329</v>
      </c>
      <c r="I23">
        <v>1.8271736193837707E-2</v>
      </c>
      <c r="J23">
        <v>188</v>
      </c>
      <c r="K23">
        <f t="shared" si="0"/>
        <v>5472933.6577071333</v>
      </c>
      <c r="L23">
        <f t="shared" si="1"/>
        <v>5.4729336577071333E-4</v>
      </c>
      <c r="M23">
        <f t="shared" si="9"/>
        <v>0.13560179671620448</v>
      </c>
      <c r="N23">
        <f t="shared" si="2"/>
        <v>58.046279530839065</v>
      </c>
      <c r="O23" s="2">
        <f t="shared" si="3"/>
        <v>4.2443751036293645E-6</v>
      </c>
      <c r="P23" s="2">
        <f t="shared" si="4"/>
        <v>8.9925117050136505E-2</v>
      </c>
      <c r="Q23">
        <f t="shared" si="5"/>
        <v>1.3887215574731169</v>
      </c>
      <c r="R23">
        <f t="shared" si="6"/>
        <v>2.4633983954911517E-4</v>
      </c>
      <c r="S23">
        <f t="shared" si="10"/>
        <v>5.2179708891754569E-3</v>
      </c>
      <c r="T23">
        <f t="shared" si="7"/>
        <v>-8.1678281756398796E-3</v>
      </c>
      <c r="U23">
        <f t="shared" si="8"/>
        <v>0.18460544511611476</v>
      </c>
    </row>
    <row r="24" spans="1:29" x14ac:dyDescent="0.25">
      <c r="A24" s="1">
        <v>44609.333368055559</v>
      </c>
      <c r="B24" s="7">
        <v>432000.80973315239</v>
      </c>
      <c r="C24" s="7">
        <v>139.81058090599254</v>
      </c>
      <c r="D24" s="7">
        <v>7712.9022874757648</v>
      </c>
      <c r="E24" s="7">
        <v>4320.0080973310396</v>
      </c>
      <c r="F24">
        <v>3.1948589228188481E+22</v>
      </c>
      <c r="G24">
        <v>37</v>
      </c>
      <c r="H24">
        <v>54.992655687222296</v>
      </c>
      <c r="I24">
        <v>1.818424637805504E-2</v>
      </c>
      <c r="J24">
        <v>189</v>
      </c>
      <c r="K24">
        <f t="shared" si="0"/>
        <v>5499265.5687222295</v>
      </c>
      <c r="L24">
        <f t="shared" si="1"/>
        <v>5.4992655687222298E-4</v>
      </c>
      <c r="M24">
        <f t="shared" si="9"/>
        <v>0.13527675885714893</v>
      </c>
      <c r="N24">
        <f t="shared" si="2"/>
        <v>23.138706862427295</v>
      </c>
      <c r="O24" s="2">
        <f t="shared" si="3"/>
        <v>4.2342013254780346E-6</v>
      </c>
      <c r="P24" s="2">
        <f t="shared" si="4"/>
        <v>3.5760489292359129E-2</v>
      </c>
      <c r="Q24">
        <f t="shared" si="5"/>
        <v>1.395403109774529</v>
      </c>
      <c r="R24">
        <f t="shared" si="6"/>
        <v>9.7969144133393775E-5</v>
      </c>
      <c r="S24">
        <f t="shared" si="10"/>
        <v>5.3159400333088504E-3</v>
      </c>
      <c r="T24">
        <f t="shared" si="7"/>
        <v>-8.4607433456501679E-3</v>
      </c>
      <c r="U24">
        <f t="shared" si="8"/>
        <v>0.18756810942667723</v>
      </c>
    </row>
    <row r="25" spans="1:29" x14ac:dyDescent="0.25">
      <c r="A25" s="1">
        <v>44610.333553240744</v>
      </c>
      <c r="B25" s="7">
        <v>442393.66270679235</v>
      </c>
      <c r="C25" s="7">
        <v>152.12082838501374</v>
      </c>
      <c r="D25" s="7">
        <v>8561.8153930259869</v>
      </c>
      <c r="E25" s="7">
        <v>4423.9366270680912</v>
      </c>
      <c r="F25">
        <v>3.4634304106989928E+22</v>
      </c>
      <c r="G25">
        <v>38</v>
      </c>
      <c r="H25">
        <v>56.729711649048944</v>
      </c>
      <c r="I25">
        <v>1.7627447257027695E-2</v>
      </c>
      <c r="J25">
        <v>190</v>
      </c>
      <c r="K25">
        <f t="shared" si="0"/>
        <v>5672971.1649048943</v>
      </c>
      <c r="L25">
        <f t="shared" si="1"/>
        <v>5.6729711649048948E-4</v>
      </c>
      <c r="M25">
        <f t="shared" si="9"/>
        <v>0.13318957948856736</v>
      </c>
      <c r="N25">
        <f t="shared" si="2"/>
        <v>25.68544617907796</v>
      </c>
      <c r="O25" s="2">
        <f t="shared" si="3"/>
        <v>3.8455971015651764E-6</v>
      </c>
      <c r="P25" s="2">
        <f t="shared" si="4"/>
        <v>3.605319524321475E-2</v>
      </c>
      <c r="Q25">
        <f t="shared" si="5"/>
        <v>1.4394797825719201</v>
      </c>
      <c r="R25">
        <f t="shared" si="6"/>
        <v>9.8770999362962208E-5</v>
      </c>
      <c r="S25">
        <f t="shared" si="10"/>
        <v>5.4147110326718123E-3</v>
      </c>
      <c r="T25">
        <f t="shared" si="7"/>
        <v>-1.1020848543915163E-2</v>
      </c>
      <c r="U25">
        <f t="shared" si="8"/>
        <v>0.20629732268112599</v>
      </c>
    </row>
    <row r="26" spans="1:29" x14ac:dyDescent="0.25">
      <c r="A26" s="1">
        <v>44611.333460648151</v>
      </c>
      <c r="B26" s="7">
        <v>591471.55379837751</v>
      </c>
      <c r="C26" s="7">
        <v>210.61525829546736</v>
      </c>
      <c r="D26" s="7">
        <v>11663.919884826057</v>
      </c>
      <c r="E26" s="7">
        <v>5914.7155379834585</v>
      </c>
      <c r="F26">
        <v>3.6735827235142864E+22</v>
      </c>
      <c r="G26">
        <v>37</v>
      </c>
      <c r="H26">
        <v>53.887614145466436</v>
      </c>
      <c r="I26">
        <v>1.8557140000679172E-2</v>
      </c>
      <c r="J26">
        <v>191</v>
      </c>
      <c r="K26">
        <f t="shared" si="0"/>
        <v>5388761.4145466434</v>
      </c>
      <c r="L26">
        <f t="shared" si="1"/>
        <v>5.3887614145466437E-4</v>
      </c>
      <c r="M26">
        <f t="shared" si="9"/>
        <v>0.13665674052174595</v>
      </c>
      <c r="N26">
        <f t="shared" si="2"/>
        <v>34.991759654478173</v>
      </c>
      <c r="O26" s="2">
        <f t="shared" si="3"/>
        <v>3.7199853877528857E-6</v>
      </c>
      <c r="P26" s="2">
        <f t="shared" si="4"/>
        <v>4.7511624631343209E-2</v>
      </c>
      <c r="Q26">
        <f t="shared" si="5"/>
        <v>1.3673633945702595</v>
      </c>
      <c r="R26">
        <f t="shared" si="6"/>
        <v>1.3016036337884827E-4</v>
      </c>
      <c r="S26">
        <f t="shared" si="10"/>
        <v>5.5448713960506608E-3</v>
      </c>
      <c r="T26">
        <f t="shared" si="7"/>
        <v>-6.6206007565788871E-3</v>
      </c>
      <c r="U26">
        <f t="shared" si="8"/>
        <v>0.17584501334453506</v>
      </c>
    </row>
    <row r="27" spans="1:29" x14ac:dyDescent="0.25">
      <c r="A27" s="1">
        <v>44612.333495370367</v>
      </c>
      <c r="B27" s="7">
        <v>543912.1057522893</v>
      </c>
      <c r="C27" s="7">
        <v>204.84617603210791</v>
      </c>
      <c r="D27" s="7">
        <v>11216.600472434424</v>
      </c>
      <c r="E27" s="7">
        <v>5439.1210575234145</v>
      </c>
      <c r="F27">
        <v>3.7107547816124249E+22</v>
      </c>
      <c r="G27">
        <v>37</v>
      </c>
      <c r="H27">
        <v>54.006291460001485</v>
      </c>
      <c r="I27">
        <v>1.8516361204705695E-2</v>
      </c>
      <c r="J27">
        <v>192</v>
      </c>
      <c r="K27">
        <f t="shared" si="0"/>
        <v>5400629.1460001487</v>
      </c>
      <c r="L27">
        <f t="shared" si="1"/>
        <v>5.4006291460001487E-4</v>
      </c>
      <c r="M27">
        <f t="shared" si="9"/>
        <v>0.13650650826155064</v>
      </c>
      <c r="N27">
        <f t="shared" si="2"/>
        <v>33.649801417303273</v>
      </c>
      <c r="O27" s="2">
        <f t="shared" si="3"/>
        <v>3.6786722997156607E-6</v>
      </c>
      <c r="P27" s="2">
        <f t="shared" si="4"/>
        <v>4.5182106213139714E-2</v>
      </c>
      <c r="Q27">
        <f t="shared" si="5"/>
        <v>1.3703747547544953</v>
      </c>
      <c r="R27">
        <f t="shared" si="6"/>
        <v>1.2377893143665424E-4</v>
      </c>
      <c r="S27">
        <f t="shared" si="10"/>
        <v>5.6686503274873149E-3</v>
      </c>
      <c r="T27">
        <f t="shared" si="7"/>
        <v>-6.667784118701503E-3</v>
      </c>
      <c r="U27">
        <f t="shared" si="8"/>
        <v>0.17728480380468614</v>
      </c>
    </row>
    <row r="28" spans="1:29" x14ac:dyDescent="0.25">
      <c r="A28" s="1">
        <v>44613.333379629628</v>
      </c>
      <c r="B28" s="7">
        <v>663608.7600159049</v>
      </c>
      <c r="C28" s="7">
        <v>246.76753113961604</v>
      </c>
      <c r="D28" s="7">
        <v>13083.976124507375</v>
      </c>
      <c r="E28" s="7">
        <v>6636.0876001585275</v>
      </c>
      <c r="F28">
        <v>3.7403846855076591E+22</v>
      </c>
      <c r="G28">
        <v>37</v>
      </c>
      <c r="H28">
        <v>52.894617665116861</v>
      </c>
      <c r="I28">
        <v>1.8905515232781119E-2</v>
      </c>
      <c r="J28">
        <v>193</v>
      </c>
      <c r="K28">
        <f t="shared" si="0"/>
        <v>5289461.7665116861</v>
      </c>
      <c r="L28">
        <f t="shared" si="1"/>
        <v>5.289461766511686E-4</v>
      </c>
      <c r="M28">
        <f t="shared" si="9"/>
        <v>0.13793351215732744</v>
      </c>
      <c r="N28">
        <f t="shared" si="2"/>
        <v>39.251928373522126</v>
      </c>
      <c r="O28" s="2">
        <f t="shared" si="3"/>
        <v>3.6876825181045939E-6</v>
      </c>
      <c r="P28" s="2">
        <f t="shared" si="4"/>
        <v>5.2833257273699905E-2</v>
      </c>
      <c r="Q28">
        <f t="shared" si="5"/>
        <v>1.3421667504118848</v>
      </c>
      <c r="R28">
        <f t="shared" si="6"/>
        <v>1.4473817498994947E-4</v>
      </c>
      <c r="S28">
        <f t="shared" si="10"/>
        <v>5.8133885024772647E-3</v>
      </c>
      <c r="T28">
        <f t="shared" si="7"/>
        <v>-4.9609044576872652E-3</v>
      </c>
      <c r="U28">
        <f t="shared" si="8"/>
        <v>0.16527374246955984</v>
      </c>
    </row>
    <row r="29" spans="1:29" x14ac:dyDescent="0.25">
      <c r="A29" s="1">
        <v>44614.333391203705</v>
      </c>
      <c r="B29" s="7">
        <v>1084145.57407552</v>
      </c>
      <c r="C29" s="7">
        <v>414.38027962845808</v>
      </c>
      <c r="D29" s="7">
        <v>21142.31734267436</v>
      </c>
      <c r="E29" s="7">
        <v>10841.455740755424</v>
      </c>
      <c r="F29">
        <v>1.7011020016945885E+22</v>
      </c>
      <c r="G29">
        <v>36</v>
      </c>
      <c r="H29">
        <v>50.014071110195616</v>
      </c>
      <c r="I29">
        <v>1.9994373139445253E-2</v>
      </c>
      <c r="J29">
        <v>194</v>
      </c>
      <c r="K29">
        <f t="shared" si="0"/>
        <v>5001407.111019562</v>
      </c>
      <c r="L29">
        <f t="shared" si="1"/>
        <v>5.0014071110195612E-4</v>
      </c>
      <c r="M29">
        <f t="shared" si="9"/>
        <v>0.14185003006274252</v>
      </c>
      <c r="N29">
        <f t="shared" si="2"/>
        <v>63.426952028023081</v>
      </c>
      <c r="O29" s="2">
        <f t="shared" si="3"/>
        <v>8.3387139584478554E-6</v>
      </c>
      <c r="P29" s="2">
        <f t="shared" si="4"/>
        <v>0.19304821172952569</v>
      </c>
      <c r="Q29">
        <f t="shared" si="5"/>
        <v>1.2690747425727114</v>
      </c>
      <c r="R29">
        <f t="shared" si="6"/>
        <v>5.2875939232818324E-4</v>
      </c>
      <c r="S29">
        <f t="shared" si="10"/>
        <v>6.3421478948054479E-3</v>
      </c>
      <c r="T29">
        <f t="shared" si="7"/>
        <v>-7.3850183131862757E-4</v>
      </c>
      <c r="U29">
        <f t="shared" si="8"/>
        <v>0.13369951335996144</v>
      </c>
    </row>
    <row r="30" spans="1:29" x14ac:dyDescent="0.25">
      <c r="A30" s="1">
        <v>44615.333518518521</v>
      </c>
      <c r="B30" s="7">
        <v>1533179.9679846168</v>
      </c>
      <c r="C30" s="7">
        <v>581.6849449443107</v>
      </c>
      <c r="D30" s="7">
        <v>27978.790165470913</v>
      </c>
      <c r="E30" s="7">
        <v>15331.799679846037</v>
      </c>
      <c r="F30">
        <v>1.7176763885122956E+22</v>
      </c>
      <c r="G30">
        <v>37</v>
      </c>
      <c r="H30">
        <v>46.293809719122152</v>
      </c>
      <c r="I30">
        <v>2.1601160199760775E-2</v>
      </c>
      <c r="J30">
        <v>195</v>
      </c>
      <c r="K30">
        <f t="shared" si="0"/>
        <v>4629380.9719122155</v>
      </c>
      <c r="L30">
        <f t="shared" si="1"/>
        <v>4.6293809719122152E-4</v>
      </c>
      <c r="M30">
        <f t="shared" si="9"/>
        <v>0.147439576472635</v>
      </c>
      <c r="N30">
        <f t="shared" si="2"/>
        <v>83.936370496412735</v>
      </c>
      <c r="O30" s="2">
        <f t="shared" si="3"/>
        <v>8.5836643886299533E-6</v>
      </c>
      <c r="P30" s="2">
        <f t="shared" si="4"/>
        <v>0.26297579653443137</v>
      </c>
      <c r="Q30">
        <f t="shared" si="5"/>
        <v>1.1746755132682749</v>
      </c>
      <c r="R30">
        <f t="shared" si="6"/>
        <v>7.2022221204671739E-4</v>
      </c>
      <c r="S30">
        <f t="shared" si="10"/>
        <v>7.0623701068521652E-3</v>
      </c>
      <c r="T30">
        <f t="shared" si="7"/>
        <v>3.8333905445058214E-3</v>
      </c>
      <c r="U30">
        <f t="shared" si="8"/>
        <v>9.1505946909102853E-2</v>
      </c>
    </row>
    <row r="31" spans="1:29" x14ac:dyDescent="0.25">
      <c r="A31" s="1">
        <v>44616.333333333336</v>
      </c>
      <c r="B31" s="7">
        <v>1841906.9378710985</v>
      </c>
      <c r="C31" s="7">
        <v>723.93948708588141</v>
      </c>
      <c r="D31" s="7">
        <v>32741.458461922593</v>
      </c>
      <c r="E31" s="7">
        <v>18419.069378711283</v>
      </c>
      <c r="F31">
        <v>2.3572131669346089E+22</v>
      </c>
      <c r="G31">
        <v>36</v>
      </c>
      <c r="H31">
        <v>45.146353284072454</v>
      </c>
      <c r="I31">
        <v>2.2150183287401821E-2</v>
      </c>
      <c r="J31">
        <v>196</v>
      </c>
      <c r="K31">
        <f t="shared" si="0"/>
        <v>4514635.3284072457</v>
      </c>
      <c r="L31">
        <f t="shared" si="1"/>
        <v>4.5146353284072454E-4</v>
      </c>
      <c r="M31">
        <f t="shared" si="9"/>
        <v>0.14930150925350916</v>
      </c>
      <c r="N31">
        <f t="shared" si="2"/>
        <v>98.224375385767786</v>
      </c>
      <c r="O31" s="2">
        <f t="shared" si="3"/>
        <v>6.3338144953460163E-6</v>
      </c>
      <c r="P31" s="2">
        <f t="shared" si="4"/>
        <v>0.22707926500435982</v>
      </c>
      <c r="Q31">
        <f t="shared" si="5"/>
        <v>1.1455595475490348</v>
      </c>
      <c r="R31">
        <f t="shared" si="6"/>
        <v>6.2194152688143343E-4</v>
      </c>
      <c r="S31">
        <f t="shared" si="10"/>
        <v>7.6843116337335987E-3</v>
      </c>
      <c r="T31">
        <f t="shared" si="7"/>
        <v>5.3922010962152989E-3</v>
      </c>
      <c r="U31">
        <f t="shared" si="8"/>
        <v>7.8564418046662032E-2</v>
      </c>
    </row>
    <row r="32" spans="1:29" x14ac:dyDescent="0.25">
      <c r="A32" s="1">
        <v>44617.333368055559</v>
      </c>
      <c r="B32" s="7">
        <v>1334946.8952679038</v>
      </c>
      <c r="C32" s="7">
        <v>526.51869272330077</v>
      </c>
      <c r="D32" s="7">
        <v>22173.156247257255</v>
      </c>
      <c r="E32" s="7">
        <v>13349.46895267861</v>
      </c>
      <c r="F32">
        <v>1.7358683621699294E+22</v>
      </c>
      <c r="G32">
        <v>35</v>
      </c>
      <c r="H32">
        <v>40.10557801689427</v>
      </c>
      <c r="I32">
        <v>2.4934187448408175E-2</v>
      </c>
      <c r="J32">
        <v>197</v>
      </c>
      <c r="K32">
        <f t="shared" si="0"/>
        <v>4010557.8016894269</v>
      </c>
      <c r="L32">
        <f t="shared" si="1"/>
        <v>4.0105578016894273E-4</v>
      </c>
      <c r="M32">
        <f t="shared" si="9"/>
        <v>0.15840655380502494</v>
      </c>
      <c r="N32">
        <f t="shared" si="2"/>
        <v>66.51946874177176</v>
      </c>
      <c r="O32" s="2">
        <f t="shared" si="3"/>
        <v>9.125493456601064E-6</v>
      </c>
      <c r="P32" s="2">
        <f t="shared" si="4"/>
        <v>0.22156338650996027</v>
      </c>
      <c r="Q32">
        <f t="shared" si="5"/>
        <v>1.0176531317632387</v>
      </c>
      <c r="R32">
        <f t="shared" si="6"/>
        <v>6.0683881281655436E-4</v>
      </c>
      <c r="S32">
        <f t="shared" si="10"/>
        <v>8.2911504465501534E-3</v>
      </c>
      <c r="T32">
        <f t="shared" si="7"/>
        <v>8.2870223506799068E-3</v>
      </c>
      <c r="U32">
        <f t="shared" si="8"/>
        <v>1.7186734181039887E-2</v>
      </c>
    </row>
    <row r="33" spans="1:21" x14ac:dyDescent="0.25">
      <c r="A33" s="1">
        <v>44618.333449074074</v>
      </c>
      <c r="B33" s="7">
        <v>1292841.2442628741</v>
      </c>
      <c r="C33" s="7">
        <v>469.83272420648427</v>
      </c>
      <c r="D33" s="7">
        <v>18185.027456568554</v>
      </c>
      <c r="E33" s="7">
        <v>12928.412442629226</v>
      </c>
      <c r="F33">
        <v>8.2366438072816805E+21</v>
      </c>
      <c r="G33">
        <v>34</v>
      </c>
      <c r="H33">
        <v>36.533150891713269</v>
      </c>
      <c r="I33">
        <v>2.737239946710503E-2</v>
      </c>
      <c r="J33">
        <v>198</v>
      </c>
      <c r="K33">
        <f t="shared" si="0"/>
        <v>3653315.0891713267</v>
      </c>
      <c r="L33">
        <f t="shared" si="1"/>
        <v>3.6533150891713271E-4</v>
      </c>
      <c r="M33">
        <f t="shared" si="9"/>
        <v>0.16597090820343346</v>
      </c>
      <c r="N33">
        <f t="shared" si="2"/>
        <v>54.555082369705666</v>
      </c>
      <c r="O33" s="2">
        <f t="shared" si="3"/>
        <v>2.0150307830078239E-5</v>
      </c>
      <c r="P33" s="2">
        <f t="shared" si="4"/>
        <v>0.40124512175736782</v>
      </c>
      <c r="Q33">
        <f t="shared" si="5"/>
        <v>0.92700510144673376</v>
      </c>
      <c r="R33">
        <f t="shared" si="6"/>
        <v>1.098697913784745E-3</v>
      </c>
      <c r="S33">
        <f t="shared" si="10"/>
        <v>9.3898483603348983E-3</v>
      </c>
      <c r="T33">
        <f t="shared" si="7"/>
        <v>8.7095967517634154E-3</v>
      </c>
      <c r="U33">
        <f t="shared" si="8"/>
        <v>-2.8105730590537115E-2</v>
      </c>
    </row>
    <row r="34" spans="1:21" x14ac:dyDescent="0.25">
      <c r="A34" s="1">
        <v>44619.333449074074</v>
      </c>
      <c r="B34" s="7">
        <v>1018197.2284772396</v>
      </c>
      <c r="C34" s="7">
        <v>367.14075193789904</v>
      </c>
      <c r="D34" s="7">
        <v>13507.922889891081</v>
      </c>
      <c r="E34" s="7">
        <v>10181.972284771968</v>
      </c>
      <c r="F34">
        <v>1.1892595069686657E+22</v>
      </c>
      <c r="G34">
        <v>34</v>
      </c>
      <c r="H34">
        <v>36.358220682149806</v>
      </c>
      <c r="I34">
        <v>2.7504096219179215E-2</v>
      </c>
      <c r="J34">
        <v>199</v>
      </c>
      <c r="K34">
        <f t="shared" si="0"/>
        <v>3635822.0682149804</v>
      </c>
      <c r="L34">
        <f t="shared" si="1"/>
        <v>3.6358220682149807E-4</v>
      </c>
      <c r="M34">
        <f t="shared" si="9"/>
        <v>0.16636969679892982</v>
      </c>
      <c r="N34">
        <f t="shared" si="2"/>
        <v>40.523768669673245</v>
      </c>
      <c r="O34" s="2">
        <f t="shared" si="3"/>
        <v>1.3989351846595185E-5</v>
      </c>
      <c r="P34" s="2">
        <f t="shared" si="4"/>
        <v>0.20691895919558265</v>
      </c>
      <c r="Q34">
        <f t="shared" si="5"/>
        <v>0.92256636039362461</v>
      </c>
      <c r="R34">
        <f t="shared" si="6"/>
        <v>5.6674063025569067E-4</v>
      </c>
      <c r="S34">
        <f t="shared" si="10"/>
        <v>9.9565889905905893E-3</v>
      </c>
      <c r="T34">
        <f t="shared" si="7"/>
        <v>9.1867867010408943E-3</v>
      </c>
      <c r="U34">
        <f t="shared" si="8"/>
        <v>-2.9885716267421425E-2</v>
      </c>
    </row>
    <row r="35" spans="1:21" x14ac:dyDescent="0.25">
      <c r="A35" s="1">
        <v>44620.333402777775</v>
      </c>
      <c r="B35" s="7">
        <v>1108333.6791509986</v>
      </c>
      <c r="C35" s="7">
        <v>419.30985022759705</v>
      </c>
      <c r="D35" s="7">
        <v>15082.609296051785</v>
      </c>
      <c r="E35" s="7">
        <v>11083.336791510228</v>
      </c>
      <c r="F35">
        <v>9.7028948296628773E+21</v>
      </c>
      <c r="G35">
        <v>34</v>
      </c>
      <c r="H35">
        <v>35.223797406867568</v>
      </c>
      <c r="I35">
        <v>2.8389897558433904E-2</v>
      </c>
      <c r="J35">
        <v>200</v>
      </c>
      <c r="K35">
        <f t="shared" si="0"/>
        <v>3522379.740686757</v>
      </c>
      <c r="L35">
        <f t="shared" si="1"/>
        <v>3.5223797406867569E-4</v>
      </c>
      <c r="M35">
        <f t="shared" si="9"/>
        <v>0.1690275313028213</v>
      </c>
      <c r="N35">
        <f t="shared" si="2"/>
        <v>45.247827888155356</v>
      </c>
      <c r="O35" s="2">
        <f t="shared" si="3"/>
        <v>1.7420319839609566E-5</v>
      </c>
      <c r="P35" s="2">
        <f t="shared" si="4"/>
        <v>0.28770454635863418</v>
      </c>
      <c r="Q35">
        <f t="shared" si="5"/>
        <v>0.89378110268334365</v>
      </c>
      <c r="R35">
        <f t="shared" si="6"/>
        <v>7.879211424536265E-4</v>
      </c>
      <c r="S35">
        <f t="shared" si="10"/>
        <v>1.0744510133044215E-2</v>
      </c>
      <c r="T35">
        <f t="shared" si="7"/>
        <v>9.2112488291400396E-3</v>
      </c>
      <c r="U35">
        <f t="shared" si="8"/>
        <v>-4.4387404175958434E-2</v>
      </c>
    </row>
    <row r="36" spans="1:21" x14ac:dyDescent="0.25">
      <c r="A36" s="1">
        <v>44621.333854166667</v>
      </c>
      <c r="B36" s="7">
        <v>3091133.1682510972</v>
      </c>
      <c r="C36" s="7">
        <v>1083.1080711005197</v>
      </c>
      <c r="D36" s="7">
        <v>35756.36209188588</v>
      </c>
      <c r="E36" s="7">
        <v>30911.33168251114</v>
      </c>
      <c r="F36">
        <v>9.3811326548305185E+21</v>
      </c>
      <c r="G36">
        <v>39</v>
      </c>
      <c r="H36">
        <v>31.491810140853318</v>
      </c>
      <c r="I36">
        <v>3.1754287718848272E-2</v>
      </c>
      <c r="J36">
        <v>201</v>
      </c>
      <c r="K36">
        <f t="shared" si="0"/>
        <v>3149181.0140853319</v>
      </c>
      <c r="L36">
        <f t="shared" si="1"/>
        <v>3.1491810140853318E-4</v>
      </c>
      <c r="M36">
        <f t="shared" si="9"/>
        <v>0.17876262509089585</v>
      </c>
      <c r="N36">
        <f t="shared" si="2"/>
        <v>107.26908627565764</v>
      </c>
      <c r="O36" s="2">
        <f t="shared" si="3"/>
        <v>1.9055548159085851E-5</v>
      </c>
      <c r="P36" s="2">
        <f t="shared" si="4"/>
        <v>0.7460860024200292</v>
      </c>
      <c r="Q36">
        <f t="shared" si="5"/>
        <v>0.79908433687784663</v>
      </c>
      <c r="R36">
        <f t="shared" si="6"/>
        <v>2.0419849683982402E-3</v>
      </c>
      <c r="S36">
        <f t="shared" si="10"/>
        <v>1.2786495101442455E-2</v>
      </c>
      <c r="T36">
        <f t="shared" si="7"/>
        <v>6.5326946251338391E-3</v>
      </c>
      <c r="U36">
        <f t="shared" si="8"/>
        <v>-9.458139727223458E-2</v>
      </c>
    </row>
    <row r="37" spans="1:21" x14ac:dyDescent="0.25">
      <c r="A37" s="1">
        <v>44622.333483796298</v>
      </c>
      <c r="B37" s="7">
        <v>2208489.073351562</v>
      </c>
      <c r="C37" s="7">
        <v>742.96229623186809</v>
      </c>
      <c r="D37" s="7">
        <v>23990.336217319593</v>
      </c>
      <c r="E37" s="7">
        <v>22084.890733515378</v>
      </c>
      <c r="F37">
        <v>1.3043842847162489E+22</v>
      </c>
      <c r="G37">
        <v>40</v>
      </c>
      <c r="H37">
        <v>32.079801379276475</v>
      </c>
      <c r="I37">
        <v>3.1172262825978691E-2</v>
      </c>
      <c r="J37">
        <v>202</v>
      </c>
      <c r="K37">
        <f t="shared" si="0"/>
        <v>3207980.1379276477</v>
      </c>
      <c r="L37">
        <f t="shared" si="1"/>
        <v>3.2079801379276474E-4</v>
      </c>
      <c r="M37">
        <f t="shared" si="9"/>
        <v>0.17711677688244543</v>
      </c>
      <c r="N37">
        <f t="shared" si="2"/>
        <v>71.971008651958783</v>
      </c>
      <c r="O37" s="2">
        <f t="shared" si="3"/>
        <v>1.3578573351255515E-5</v>
      </c>
      <c r="P37" s="2">
        <f t="shared" si="4"/>
        <v>0.35670122135273069</v>
      </c>
      <c r="Q37">
        <f t="shared" si="5"/>
        <v>0.81400423467806304</v>
      </c>
      <c r="R37">
        <f t="shared" si="6"/>
        <v>9.7678640893488692E-4</v>
      </c>
      <c r="S37">
        <f t="shared" si="10"/>
        <v>1.3763281510377342E-2</v>
      </c>
      <c r="T37">
        <f t="shared" si="7"/>
        <v>8.5149684524949976E-3</v>
      </c>
      <c r="U37">
        <f t="shared" si="8"/>
        <v>-8.5274788245480515E-2</v>
      </c>
    </row>
    <row r="38" spans="1:21" x14ac:dyDescent="0.25">
      <c r="A38" s="1">
        <v>44623.333495370367</v>
      </c>
      <c r="B38" s="7">
        <v>1575218.5643393397</v>
      </c>
      <c r="C38" s="7">
        <v>536.6000141248951</v>
      </c>
      <c r="D38" s="7">
        <v>17222.46105733607</v>
      </c>
      <c r="E38" s="7">
        <v>15752.185643393546</v>
      </c>
      <c r="F38">
        <v>1.9632096345560369E+22</v>
      </c>
      <c r="G38">
        <v>40</v>
      </c>
      <c r="H38">
        <v>31.209669493646935</v>
      </c>
      <c r="I38">
        <v>3.2041351806162535E-2</v>
      </c>
      <c r="J38">
        <v>203</v>
      </c>
      <c r="K38">
        <f t="shared" si="0"/>
        <v>3120966.9493646934</v>
      </c>
      <c r="L38">
        <f t="shared" si="1"/>
        <v>3.1209669493646936E-4</v>
      </c>
      <c r="M38">
        <f t="shared" si="9"/>
        <v>0.17956882919310049</v>
      </c>
      <c r="N38">
        <f t="shared" si="2"/>
        <v>51.667383172008208</v>
      </c>
      <c r="O38" s="2">
        <f t="shared" si="3"/>
        <v>9.1466966151940486E-6</v>
      </c>
      <c r="P38" s="2">
        <f t="shared" si="4"/>
        <v>0.17249384575299961</v>
      </c>
      <c r="Q38">
        <f t="shared" si="5"/>
        <v>0.7919252002334044</v>
      </c>
      <c r="R38">
        <f t="shared" si="6"/>
        <v>4.7247424523846182E-4</v>
      </c>
      <c r="S38">
        <f t="shared" si="10"/>
        <v>1.4235755755615804E-2</v>
      </c>
      <c r="T38">
        <f t="shared" si="7"/>
        <v>7.4760024898468114E-3</v>
      </c>
      <c r="U38">
        <f t="shared" si="8"/>
        <v>-9.7339181254015639E-2</v>
      </c>
    </row>
    <row r="39" spans="1:21" x14ac:dyDescent="0.25">
      <c r="A39" s="1">
        <v>44624.333356481482</v>
      </c>
      <c r="B39" s="7">
        <v>1460786.9038613439</v>
      </c>
      <c r="C39" s="7">
        <v>525.28792363175307</v>
      </c>
      <c r="D39" s="7">
        <v>16141.139686858281</v>
      </c>
      <c r="E39" s="7">
        <v>14607.869038613513</v>
      </c>
      <c r="F39">
        <v>1.315550540625291E+22</v>
      </c>
      <c r="G39">
        <v>41</v>
      </c>
      <c r="H39">
        <v>30.097128885678138</v>
      </c>
      <c r="I39">
        <v>3.3225760629807276E-2</v>
      </c>
      <c r="J39">
        <v>204</v>
      </c>
      <c r="K39">
        <f t="shared" si="0"/>
        <v>3009712.8885678137</v>
      </c>
      <c r="L39">
        <f t="shared" si="1"/>
        <v>3.0097128885678141E-4</v>
      </c>
      <c r="M39">
        <f t="shared" si="9"/>
        <v>0.18285759427278112</v>
      </c>
      <c r="N39">
        <f t="shared" si="2"/>
        <v>48.423419060574844</v>
      </c>
      <c r="O39" s="2">
        <f t="shared" si="3"/>
        <v>1.3899701199306833E-5</v>
      </c>
      <c r="P39" s="2">
        <f t="shared" si="4"/>
        <v>0.24567093543664548</v>
      </c>
      <c r="Q39">
        <f t="shared" si="5"/>
        <v>0.76369520106879196</v>
      </c>
      <c r="R39">
        <f t="shared" si="6"/>
        <v>6.7284464525556515E-4</v>
      </c>
      <c r="S39">
        <f t="shared" si="10"/>
        <v>1.4908600400871368E-2</v>
      </c>
      <c r="T39">
        <f t="shared" si="7"/>
        <v>5.8685190497436146E-3</v>
      </c>
      <c r="U39">
        <f t="shared" si="8"/>
        <v>-0.11297726002289721</v>
      </c>
    </row>
    <row r="40" spans="1:21" x14ac:dyDescent="0.25">
      <c r="A40" s="1">
        <v>44625.333437499998</v>
      </c>
      <c r="B40" s="7">
        <v>2162798.4496341944</v>
      </c>
      <c r="C40" s="7">
        <v>816.59968877898064</v>
      </c>
      <c r="D40" s="7">
        <v>24993.331400510855</v>
      </c>
      <c r="E40" s="7">
        <v>21627.984496342018</v>
      </c>
      <c r="F40">
        <v>1.5688068402610306E+22</v>
      </c>
      <c r="G40">
        <v>42</v>
      </c>
      <c r="H40">
        <v>30.998174214547252</v>
      </c>
      <c r="I40">
        <v>3.2259964508835691E-2</v>
      </c>
      <c r="J40">
        <v>205</v>
      </c>
      <c r="K40">
        <f t="shared" si="0"/>
        <v>3099817.4214547253</v>
      </c>
      <c r="L40">
        <f t="shared" si="1"/>
        <v>3.0998174214547249E-4</v>
      </c>
      <c r="M40">
        <f t="shared" si="9"/>
        <v>0.18018037166886186</v>
      </c>
      <c r="N40">
        <f t="shared" si="2"/>
        <v>74.979994201532563</v>
      </c>
      <c r="O40" s="2">
        <f t="shared" si="3"/>
        <v>1.1485185240452037E-5</v>
      </c>
      <c r="P40" s="2">
        <f t="shared" si="4"/>
        <v>0.3143230797974067</v>
      </c>
      <c r="Q40">
        <f t="shared" si="5"/>
        <v>0.78655864416386545</v>
      </c>
      <c r="R40">
        <f t="shared" si="6"/>
        <v>8.6078853795492748E-4</v>
      </c>
      <c r="S40">
        <f t="shared" si="10"/>
        <v>1.5769388938826297E-2</v>
      </c>
      <c r="T40">
        <f t="shared" si="7"/>
        <v>8.6182726766095286E-3</v>
      </c>
      <c r="U40">
        <f t="shared" si="8"/>
        <v>-9.9022153143988323E-2</v>
      </c>
    </row>
    <row r="41" spans="1:21" x14ac:dyDescent="0.25">
      <c r="A41" s="1">
        <v>44626.333425925928</v>
      </c>
      <c r="B41" s="7">
        <v>1066831.9250187874</v>
      </c>
      <c r="C41" s="7">
        <v>402.67045836048783</v>
      </c>
      <c r="D41" s="7">
        <v>12535.179080633447</v>
      </c>
      <c r="E41" s="7">
        <v>10668.319250187837</v>
      </c>
      <c r="F41">
        <v>2.2504749415259288E+22</v>
      </c>
      <c r="G41">
        <v>46</v>
      </c>
      <c r="H41">
        <v>31.447754655428856</v>
      </c>
      <c r="I41">
        <v>3.1798772629618222E-2</v>
      </c>
      <c r="J41">
        <v>206</v>
      </c>
      <c r="K41">
        <f t="shared" si="0"/>
        <v>3144775.4655428855</v>
      </c>
      <c r="L41">
        <f t="shared" si="1"/>
        <v>3.1447754655428855E-4</v>
      </c>
      <c r="M41">
        <f t="shared" si="9"/>
        <v>0.17888779647486805</v>
      </c>
      <c r="N41">
        <f t="shared" si="2"/>
        <v>37.605537241900343</v>
      </c>
      <c r="O41" s="2">
        <f t="shared" si="3"/>
        <v>7.948890839618665E-6</v>
      </c>
      <c r="P41" s="2">
        <f t="shared" si="4"/>
        <v>0.10910664333289428</v>
      </c>
      <c r="Q41">
        <f t="shared" si="5"/>
        <v>0.7979664573974744</v>
      </c>
      <c r="R41">
        <f t="shared" si="6"/>
        <v>2.9887764212849579E-4</v>
      </c>
      <c r="S41">
        <f t="shared" si="10"/>
        <v>1.6068266580954792E-2</v>
      </c>
      <c r="T41">
        <f t="shared" si="7"/>
        <v>9.7621508346030783E-3</v>
      </c>
      <c r="U41">
        <f t="shared" si="8"/>
        <v>-9.2240761424927209E-2</v>
      </c>
    </row>
    <row r="42" spans="1:21" x14ac:dyDescent="0.25">
      <c r="A42" s="1">
        <v>44627.333333333336</v>
      </c>
      <c r="B42" s="7">
        <v>1266824.07973212</v>
      </c>
      <c r="C42" s="7">
        <v>496.46264003774559</v>
      </c>
      <c r="D42" s="7">
        <v>15655.655955951661</v>
      </c>
      <c r="E42" s="7">
        <v>12668.240797321312</v>
      </c>
      <c r="F42">
        <v>2.3940416086353293E+22</v>
      </c>
      <c r="G42">
        <v>47</v>
      </c>
      <c r="H42">
        <v>31.001274031968705</v>
      </c>
      <c r="I42">
        <v>3.2256738834952198E-2</v>
      </c>
      <c r="J42">
        <v>207</v>
      </c>
      <c r="K42">
        <f t="shared" si="0"/>
        <v>3100127.4031968703</v>
      </c>
      <c r="L42">
        <f t="shared" si="1"/>
        <v>3.1001274031968704E-4</v>
      </c>
      <c r="M42">
        <f t="shared" si="9"/>
        <v>0.18017136332589856</v>
      </c>
      <c r="N42">
        <f t="shared" si="2"/>
        <v>46.966967867854983</v>
      </c>
      <c r="O42" s="2">
        <f t="shared" si="3"/>
        <v>7.5258242244420002E-6</v>
      </c>
      <c r="P42" s="2">
        <f t="shared" si="4"/>
        <v>0.1290147777528996</v>
      </c>
      <c r="Q42">
        <f t="shared" si="5"/>
        <v>0.78663730002828181</v>
      </c>
      <c r="R42">
        <f t="shared" si="6"/>
        <v>3.5340269044076126E-4</v>
      </c>
      <c r="S42">
        <f t="shared" si="10"/>
        <v>1.6421669271395555E-2</v>
      </c>
      <c r="T42">
        <f t="shared" si="7"/>
        <v>9.2824165731855146E-3</v>
      </c>
      <c r="U42">
        <f t="shared" si="8"/>
        <v>-9.8389194143832182E-2</v>
      </c>
    </row>
    <row r="43" spans="1:21" x14ac:dyDescent="0.25">
      <c r="A43" s="1">
        <v>44628.333368055559</v>
      </c>
      <c r="B43" s="7">
        <v>1381301.5276334882</v>
      </c>
      <c r="C43" s="7">
        <v>537.07564064179314</v>
      </c>
      <c r="D43" s="7">
        <v>16782.798776261508</v>
      </c>
      <c r="E43" s="7">
        <v>13813.015276334248</v>
      </c>
      <c r="F43">
        <v>2.4216948610359942E+22</v>
      </c>
      <c r="G43">
        <v>52</v>
      </c>
      <c r="H43">
        <v>31.687656066635405</v>
      </c>
      <c r="I43">
        <v>3.1558029975366997E-2</v>
      </c>
      <c r="J43">
        <v>208</v>
      </c>
      <c r="K43">
        <f t="shared" si="0"/>
        <v>3168765.6066635405</v>
      </c>
      <c r="L43">
        <f t="shared" si="1"/>
        <v>3.1687656066635406E-4</v>
      </c>
      <c r="M43">
        <f t="shared" si="9"/>
        <v>0.17820934664123417</v>
      </c>
      <c r="N43">
        <f t="shared" si="2"/>
        <v>50.348396328784524</v>
      </c>
      <c r="O43" s="2">
        <f t="shared" si="3"/>
        <v>7.3588687620618198E-6</v>
      </c>
      <c r="P43" s="2">
        <f t="shared" si="4"/>
        <v>0.13523514295178718</v>
      </c>
      <c r="Q43">
        <f t="shared" si="5"/>
        <v>0.80405380071729693</v>
      </c>
      <c r="R43">
        <f t="shared" si="6"/>
        <v>3.7043862010523664E-4</v>
      </c>
      <c r="S43">
        <f t="shared" si="10"/>
        <v>1.679210789150079E-2</v>
      </c>
      <c r="T43">
        <f t="shared" si="7"/>
        <v>1.0917663812558098E-2</v>
      </c>
      <c r="U43">
        <f t="shared" si="8"/>
        <v>-8.8125073193351944E-2</v>
      </c>
    </row>
    <row r="44" spans="1:21" x14ac:dyDescent="0.25">
      <c r="A44" s="1">
        <v>44629.333333333336</v>
      </c>
      <c r="B44" s="7">
        <v>3080384.7593023777</v>
      </c>
      <c r="C44" s="7">
        <v>1157.722973093536</v>
      </c>
      <c r="D44" s="7">
        <v>33759.535844836384</v>
      </c>
      <c r="E44" s="7">
        <v>30803.847593024373</v>
      </c>
      <c r="F44">
        <v>2.0609868946815479E+22</v>
      </c>
      <c r="G44">
        <v>60</v>
      </c>
      <c r="H44">
        <v>27.766598654357907</v>
      </c>
      <c r="I44">
        <v>3.6014493977030645E-2</v>
      </c>
      <c r="J44">
        <v>209</v>
      </c>
      <c r="K44">
        <f t="shared" si="0"/>
        <v>2776659.8654357907</v>
      </c>
      <c r="L44">
        <f t="shared" si="1"/>
        <v>2.7766598654357905E-4</v>
      </c>
      <c r="M44">
        <f t="shared" si="9"/>
        <v>0.19037687528933403</v>
      </c>
      <c r="N44">
        <f t="shared" si="2"/>
        <v>101.27860753450915</v>
      </c>
      <c r="O44" s="2">
        <f t="shared" si="3"/>
        <v>9.2371705895175026E-6</v>
      </c>
      <c r="P44" s="2">
        <f t="shared" si="4"/>
        <v>0.34146763782574457</v>
      </c>
      <c r="Q44">
        <f t="shared" si="5"/>
        <v>0.70455950210011276</v>
      </c>
      <c r="R44">
        <f t="shared" si="6"/>
        <v>9.350904414933708E-4</v>
      </c>
      <c r="S44">
        <f t="shared" si="10"/>
        <v>1.772719833299416E-2</v>
      </c>
      <c r="T44">
        <f t="shared" si="7"/>
        <v>2.479481335314393E-3</v>
      </c>
      <c r="U44">
        <f t="shared" si="8"/>
        <v>-0.14560703721474866</v>
      </c>
    </row>
    <row r="45" spans="1:21" x14ac:dyDescent="0.25">
      <c r="A45" s="1">
        <v>44630.33357638889</v>
      </c>
      <c r="B45" s="7">
        <v>4738133.0329462886</v>
      </c>
      <c r="C45" s="7">
        <v>1754.4865409502818</v>
      </c>
      <c r="D45" s="7">
        <v>48650.303326431662</v>
      </c>
      <c r="E45" s="7">
        <v>47381.33032946242</v>
      </c>
      <c r="F45">
        <v>2.9638745789636452E+22</v>
      </c>
      <c r="G45">
        <v>59</v>
      </c>
      <c r="H45">
        <v>27.222254012469019</v>
      </c>
      <c r="I45">
        <v>3.6734650978642508E-2</v>
      </c>
      <c r="J45">
        <v>210</v>
      </c>
      <c r="K45">
        <f t="shared" si="0"/>
        <v>2722225.4012469021</v>
      </c>
      <c r="L45">
        <f t="shared" si="1"/>
        <v>2.7222254012469017E-4</v>
      </c>
      <c r="M45">
        <f t="shared" si="9"/>
        <v>0.19227087146914243</v>
      </c>
      <c r="N45">
        <f t="shared" si="2"/>
        <v>145.95090997929498</v>
      </c>
      <c r="O45" s="2">
        <f t="shared" si="3"/>
        <v>6.4871460092745306E-6</v>
      </c>
      <c r="P45" s="2">
        <f t="shared" si="4"/>
        <v>0.34558377507609195</v>
      </c>
      <c r="Q45">
        <f t="shared" si="5"/>
        <v>0.69074710848884469</v>
      </c>
      <c r="R45">
        <f t="shared" si="6"/>
        <v>9.4635692621466755E-4</v>
      </c>
      <c r="S45">
        <f t="shared" si="10"/>
        <v>1.8673555259208826E-2</v>
      </c>
      <c r="T45">
        <f t="shared" si="7"/>
        <v>1.6608556209607439E-3</v>
      </c>
      <c r="U45">
        <f t="shared" si="8"/>
        <v>-0.15322240233619921</v>
      </c>
    </row>
    <row r="46" spans="1:21" x14ac:dyDescent="0.25">
      <c r="A46" s="1">
        <v>44631.333414351851</v>
      </c>
      <c r="B46" s="7">
        <v>3226048.5916445851</v>
      </c>
      <c r="C46" s="7">
        <v>1249.9820989988657</v>
      </c>
      <c r="D46" s="7">
        <v>32748.283500527032</v>
      </c>
      <c r="E46" s="7">
        <v>32260.485916445963</v>
      </c>
      <c r="F46">
        <v>3.4699063134762926E+22</v>
      </c>
      <c r="G46">
        <v>64</v>
      </c>
      <c r="H46">
        <v>26.76340986125853</v>
      </c>
      <c r="I46">
        <v>3.7364446652500494E-2</v>
      </c>
      <c r="J46">
        <v>211</v>
      </c>
      <c r="K46">
        <f t="shared" si="0"/>
        <v>2676340.9861258529</v>
      </c>
      <c r="L46">
        <f t="shared" si="1"/>
        <v>2.6763409861258532E-4</v>
      </c>
      <c r="M46">
        <f t="shared" si="9"/>
        <v>0.19391205697632927</v>
      </c>
      <c r="N46">
        <f t="shared" si="2"/>
        <v>98.244850501581098</v>
      </c>
      <c r="O46" s="2">
        <f t="shared" si="3"/>
        <v>5.5883945979527134E-6</v>
      </c>
      <c r="P46" s="2">
        <f t="shared" si="4"/>
        <v>0.20039631201419331</v>
      </c>
      <c r="Q46">
        <f t="shared" si="5"/>
        <v>0.67910423459050806</v>
      </c>
      <c r="R46">
        <f t="shared" si="6"/>
        <v>5.4888032944771733E-4</v>
      </c>
      <c r="S46">
        <f t="shared" si="10"/>
        <v>1.9222435588656543E-2</v>
      </c>
      <c r="T46">
        <f t="shared" si="7"/>
        <v>6.1902449957118577E-4</v>
      </c>
      <c r="U46">
        <f t="shared" si="8"/>
        <v>-0.15992817937547332</v>
      </c>
    </row>
    <row r="47" spans="1:21" x14ac:dyDescent="0.25">
      <c r="A47" s="1">
        <v>44632.334016203706</v>
      </c>
      <c r="B47" s="7">
        <v>2464710.171890676</v>
      </c>
      <c r="C47" s="7">
        <v>957.73632966600417</v>
      </c>
      <c r="D47" s="7">
        <v>27135.409268485382</v>
      </c>
      <c r="E47" s="7">
        <v>24647.101718906779</v>
      </c>
      <c r="F47">
        <v>2.0789460689100741E+22</v>
      </c>
      <c r="G47">
        <v>65</v>
      </c>
      <c r="H47">
        <v>28.8506319157507</v>
      </c>
      <c r="I47">
        <v>3.4661285857453282E-2</v>
      </c>
      <c r="J47">
        <v>212</v>
      </c>
      <c r="K47">
        <f t="shared" si="0"/>
        <v>2885063.1915750699</v>
      </c>
      <c r="L47">
        <f t="shared" si="1"/>
        <v>2.8850631915750701E-4</v>
      </c>
      <c r="M47">
        <f t="shared" si="9"/>
        <v>0.18676602292079125</v>
      </c>
      <c r="N47">
        <f t="shared" si="2"/>
        <v>81.406227805456155</v>
      </c>
      <c r="O47" s="2">
        <f t="shared" si="3"/>
        <v>8.9836877307118789E-6</v>
      </c>
      <c r="P47" s="2">
        <f t="shared" si="4"/>
        <v>0.26693476742788563</v>
      </c>
      <c r="Q47">
        <f t="shared" si="5"/>
        <v>0.73206614576267737</v>
      </c>
      <c r="R47">
        <f t="shared" si="6"/>
        <v>7.3106083983256911E-4</v>
      </c>
      <c r="S47">
        <f t="shared" si="10"/>
        <v>1.9953496428489113E-2</v>
      </c>
      <c r="T47">
        <f t="shared" si="7"/>
        <v>7.8743147867825769E-3</v>
      </c>
      <c r="U47">
        <f t="shared" si="8"/>
        <v>-0.12714751008702907</v>
      </c>
    </row>
    <row r="48" spans="1:21" x14ac:dyDescent="0.25">
      <c r="A48" s="1">
        <v>44633.333425925928</v>
      </c>
      <c r="B48" s="7">
        <v>523534.21160513163</v>
      </c>
      <c r="C48" s="7">
        <v>202.43283491450711</v>
      </c>
      <c r="D48" s="7">
        <v>5931.2169084409252</v>
      </c>
      <c r="E48" s="7">
        <v>5235.3421160513535</v>
      </c>
      <c r="F48">
        <v>1.941637625044079E+22</v>
      </c>
      <c r="G48">
        <v>67</v>
      </c>
      <c r="H48">
        <v>29.616468838692448</v>
      </c>
      <c r="I48">
        <v>3.3764997625022386E-2</v>
      </c>
      <c r="J48">
        <v>213</v>
      </c>
      <c r="K48">
        <f t="shared" si="0"/>
        <v>2961646.8838692447</v>
      </c>
      <c r="L48">
        <f t="shared" si="1"/>
        <v>2.9616468838692447E-4</v>
      </c>
      <c r="M48">
        <f t="shared" si="9"/>
        <v>0.18433546446150925</v>
      </c>
      <c r="N48">
        <f t="shared" si="2"/>
        <v>17.793650725322777</v>
      </c>
      <c r="O48" s="2">
        <f t="shared" si="3"/>
        <v>9.4938139889684348E-6</v>
      </c>
      <c r="P48" s="2">
        <f t="shared" si="4"/>
        <v>6.1659307712374017E-2</v>
      </c>
      <c r="Q48">
        <f t="shared" si="5"/>
        <v>0.75149876290943163</v>
      </c>
      <c r="R48">
        <f t="shared" si="6"/>
        <v>1.6891534317091408E-4</v>
      </c>
      <c r="S48">
        <f t="shared" si="10"/>
        <v>2.0122411771660027E-2</v>
      </c>
      <c r="T48">
        <f t="shared" si="7"/>
        <v>1.000459162260392E-2</v>
      </c>
      <c r="U48">
        <f t="shared" si="8"/>
        <v>-0.11548910362008169</v>
      </c>
    </row>
    <row r="49" spans="1:21" x14ac:dyDescent="0.25">
      <c r="A49" s="1">
        <v>44634.333749999998</v>
      </c>
      <c r="B49" s="7">
        <v>1826934.2512159348</v>
      </c>
      <c r="C49" s="7">
        <v>713.34211873452296</v>
      </c>
      <c r="D49" s="7">
        <v>20321.805157991126</v>
      </c>
      <c r="E49" s="7">
        <v>18269.342512159608</v>
      </c>
      <c r="F49">
        <v>3.8057548167453033E+22</v>
      </c>
      <c r="G49">
        <v>70</v>
      </c>
      <c r="H49">
        <v>27.589468699747858</v>
      </c>
      <c r="I49">
        <v>3.6245714293481085E-2</v>
      </c>
      <c r="J49">
        <v>214</v>
      </c>
      <c r="K49">
        <f t="shared" si="0"/>
        <v>2758946.869974786</v>
      </c>
      <c r="L49">
        <f t="shared" si="1"/>
        <v>2.758946869974786E-4</v>
      </c>
      <c r="M49">
        <f t="shared" si="9"/>
        <v>0.19098702650451554</v>
      </c>
      <c r="N49">
        <f t="shared" si="2"/>
        <v>60.96541547397338</v>
      </c>
      <c r="O49" s="2">
        <f t="shared" si="3"/>
        <v>5.0183744277002173E-6</v>
      </c>
      <c r="P49" s="2">
        <f t="shared" si="4"/>
        <v>0.11167075792587809</v>
      </c>
      <c r="Q49">
        <f t="shared" si="5"/>
        <v>0.70006494393760321</v>
      </c>
      <c r="R49">
        <f t="shared" si="6"/>
        <v>3.059004896626963E-4</v>
      </c>
      <c r="S49">
        <f t="shared" si="10"/>
        <v>2.0428312261322724E-2</v>
      </c>
      <c r="T49">
        <f t="shared" si="7"/>
        <v>4.628633762860046E-3</v>
      </c>
      <c r="U49">
        <f t="shared" si="8"/>
        <v>-0.14603303903191622</v>
      </c>
    </row>
    <row r="50" spans="1:21" x14ac:dyDescent="0.25">
      <c r="A50" s="1">
        <v>44635.333379629628</v>
      </c>
      <c r="B50" s="7">
        <v>1489880.8948588967</v>
      </c>
      <c r="C50" s="7">
        <v>582.81543113738007</v>
      </c>
      <c r="D50" s="7">
        <v>16010.262466070242</v>
      </c>
      <c r="E50" s="7">
        <v>14898.808948589023</v>
      </c>
      <c r="F50">
        <v>5.0176000904481668E+22</v>
      </c>
      <c r="G50">
        <v>72</v>
      </c>
      <c r="H50">
        <v>27.6474645586121</v>
      </c>
      <c r="I50">
        <v>3.6169681956912142E-2</v>
      </c>
      <c r="J50">
        <v>215</v>
      </c>
      <c r="K50">
        <f t="shared" si="0"/>
        <v>2764746.4558612099</v>
      </c>
      <c r="L50">
        <f t="shared" si="1"/>
        <v>2.7647464558612099E-4</v>
      </c>
      <c r="M50">
        <f t="shared" si="9"/>
        <v>0.19078660538707412</v>
      </c>
      <c r="N50">
        <f t="shared" si="2"/>
        <v>48.030787398210727</v>
      </c>
      <c r="O50" s="2">
        <f t="shared" si="3"/>
        <v>3.8023477747911405E-6</v>
      </c>
      <c r="P50" s="2">
        <f t="shared" si="4"/>
        <v>6.6659861518544319E-2</v>
      </c>
      <c r="Q50">
        <f t="shared" si="5"/>
        <v>0.70153655138775972</v>
      </c>
      <c r="R50">
        <f t="shared" si="6"/>
        <v>1.8261308280109463E-4</v>
      </c>
      <c r="S50">
        <f t="shared" si="10"/>
        <v>2.0610925344123818E-2</v>
      </c>
      <c r="T50">
        <f t="shared" si="7"/>
        <v>4.997718363575876E-3</v>
      </c>
      <c r="U50">
        <f t="shared" si="8"/>
        <v>-0.14497982407153698</v>
      </c>
    </row>
    <row r="51" spans="1:21" x14ac:dyDescent="0.25">
      <c r="A51" s="1">
        <v>44636.333379629628</v>
      </c>
      <c r="B51" s="7">
        <v>1331639.4905894399</v>
      </c>
      <c r="C51" s="7">
        <v>508.76552147741313</v>
      </c>
      <c r="D51" s="7">
        <v>14899.752983096056</v>
      </c>
      <c r="E51" s="7">
        <v>13316.394905894063</v>
      </c>
      <c r="F51">
        <v>3.2960620469272585E+22</v>
      </c>
      <c r="G51">
        <v>71</v>
      </c>
      <c r="H51">
        <v>30.067048303594134</v>
      </c>
      <c r="I51">
        <v>3.3259001346017149E-2</v>
      </c>
      <c r="J51">
        <v>216</v>
      </c>
      <c r="K51">
        <f t="shared" si="0"/>
        <v>3006704.8303594133</v>
      </c>
      <c r="L51">
        <f t="shared" si="1"/>
        <v>3.0067048303594133E-4</v>
      </c>
      <c r="M51">
        <f t="shared" si="9"/>
        <v>0.18294904135750559</v>
      </c>
      <c r="N51">
        <f t="shared" si="2"/>
        <v>44.699258949288165</v>
      </c>
      <c r="O51" s="2">
        <f t="shared" si="3"/>
        <v>5.5505339023596095E-6</v>
      </c>
      <c r="P51" s="2">
        <f t="shared" si="4"/>
        <v>9.0558234556056924E-2</v>
      </c>
      <c r="Q51">
        <f t="shared" si="5"/>
        <v>0.76293192573212554</v>
      </c>
      <c r="R51">
        <f t="shared" si="6"/>
        <v>2.4807397931406172E-4</v>
      </c>
      <c r="S51">
        <f t="shared" si="10"/>
        <v>2.085899932343788E-2</v>
      </c>
      <c r="T51">
        <f t="shared" si="7"/>
        <v>1.1803775670891969E-2</v>
      </c>
      <c r="U51">
        <f t="shared" si="8"/>
        <v>-0.10812941064673942</v>
      </c>
    </row>
    <row r="52" spans="1:21" x14ac:dyDescent="0.25">
      <c r="A52" s="1">
        <v>44637.333587962959</v>
      </c>
      <c r="B52" s="7">
        <v>2353956.589681685</v>
      </c>
      <c r="C52" s="7">
        <v>857.26851289547631</v>
      </c>
      <c r="D52" s="7">
        <v>26834.104405622929</v>
      </c>
      <c r="E52" s="7">
        <v>23539.565896816552</v>
      </c>
      <c r="F52">
        <v>2.356815947373782E+22</v>
      </c>
      <c r="G52">
        <v>69</v>
      </c>
      <c r="H52">
        <v>31.209669493646935</v>
      </c>
      <c r="I52">
        <v>3.2041351806162535E-2</v>
      </c>
      <c r="J52">
        <v>217</v>
      </c>
      <c r="K52">
        <f t="shared" si="0"/>
        <v>3120966.9493646934</v>
      </c>
      <c r="L52">
        <f t="shared" si="1"/>
        <v>3.1209669493646936E-4</v>
      </c>
      <c r="M52">
        <f t="shared" si="9"/>
        <v>0.17956882919310049</v>
      </c>
      <c r="N52">
        <f t="shared" si="2"/>
        <v>80.502313216868785</v>
      </c>
      <c r="O52" s="2">
        <f t="shared" si="3"/>
        <v>7.6191282307468863E-6</v>
      </c>
      <c r="P52" s="2">
        <f t="shared" si="4"/>
        <v>0.22387546825394172</v>
      </c>
      <c r="Q52">
        <f t="shared" si="5"/>
        <v>0.7919252002334044</v>
      </c>
      <c r="R52">
        <f t="shared" si="6"/>
        <v>6.1316942047319131E-4</v>
      </c>
      <c r="S52">
        <f t="shared" si="10"/>
        <v>2.1472168743911071E-2</v>
      </c>
      <c r="T52">
        <f t="shared" si="7"/>
        <v>1.4792957243122018E-2</v>
      </c>
      <c r="U52">
        <f t="shared" si="8"/>
        <v>-9.0783463448334989E-2</v>
      </c>
    </row>
    <row r="53" spans="1:21" x14ac:dyDescent="0.25">
      <c r="A53" s="1">
        <v>44638.33384259259</v>
      </c>
      <c r="B53" s="7">
        <v>1381523.5026112795</v>
      </c>
      <c r="C53" s="7">
        <v>492.12211151077645</v>
      </c>
      <c r="D53" s="7">
        <v>16104.473076192662</v>
      </c>
      <c r="E53" s="7">
        <v>13815.235026112758</v>
      </c>
      <c r="F53">
        <v>2.2355620615915768E+22</v>
      </c>
      <c r="G53">
        <v>68</v>
      </c>
      <c r="H53">
        <v>33.697516211661515</v>
      </c>
      <c r="I53">
        <v>2.9675777695862802E-2</v>
      </c>
      <c r="J53">
        <v>218</v>
      </c>
      <c r="K53">
        <f t="shared" si="0"/>
        <v>3369751.6211661515</v>
      </c>
      <c r="L53">
        <f t="shared" si="1"/>
        <v>3.3697516211661515E-4</v>
      </c>
      <c r="M53">
        <f t="shared" si="9"/>
        <v>0.17281307194631296</v>
      </c>
      <c r="N53">
        <f t="shared" si="2"/>
        <v>48.313419228577985</v>
      </c>
      <c r="O53" s="2">
        <f t="shared" si="3"/>
        <v>7.7301844988047944E-6</v>
      </c>
      <c r="P53" s="2">
        <f t="shared" si="4"/>
        <v>0.13631715020782903</v>
      </c>
      <c r="Q53">
        <f t="shared" si="5"/>
        <v>0.85505270341682538</v>
      </c>
      <c r="R53">
        <f t="shared" si="6"/>
        <v>3.734019212296686E-4</v>
      </c>
      <c r="S53">
        <f t="shared" si="10"/>
        <v>2.1845570665140739E-2</v>
      </c>
      <c r="T53">
        <f t="shared" si="7"/>
        <v>1.896107955149029E-2</v>
      </c>
      <c r="U53">
        <f t="shared" si="8"/>
        <v>-5.4886747350740506E-2</v>
      </c>
    </row>
    <row r="54" spans="1:21" x14ac:dyDescent="0.25">
      <c r="A54" s="1">
        <v>44639.333356481482</v>
      </c>
      <c r="B54" s="7">
        <v>744129.94429337978</v>
      </c>
      <c r="C54" s="7">
        <v>255.53322498722991</v>
      </c>
      <c r="D54" s="7">
        <v>8571.0820459965616</v>
      </c>
      <c r="E54" s="7">
        <v>7441.299442934338</v>
      </c>
      <c r="F54">
        <v>2.9751300934814604E+22</v>
      </c>
      <c r="G54">
        <v>69</v>
      </c>
      <c r="H54">
        <v>32.957710566143007</v>
      </c>
      <c r="I54">
        <v>3.0341913404242526E-2</v>
      </c>
      <c r="J54">
        <v>219</v>
      </c>
      <c r="K54">
        <f t="shared" si="0"/>
        <v>3295771.0566143007</v>
      </c>
      <c r="L54">
        <f t="shared" si="1"/>
        <v>3.2957710566143008E-4</v>
      </c>
      <c r="M54">
        <f t="shared" si="9"/>
        <v>0.1747418857192104</v>
      </c>
      <c r="N54">
        <f t="shared" si="2"/>
        <v>25.713246137989685</v>
      </c>
      <c r="O54" s="2">
        <f t="shared" si="3"/>
        <v>5.8734199926944908E-6</v>
      </c>
      <c r="P54" s="2">
        <f t="shared" si="4"/>
        <v>5.5124013289539205E-2</v>
      </c>
      <c r="Q54">
        <f t="shared" si="5"/>
        <v>0.83628061311704482</v>
      </c>
      <c r="R54">
        <f t="shared" si="6"/>
        <v>1.5101329086300596E-4</v>
      </c>
      <c r="S54">
        <f t="shared" si="10"/>
        <v>2.1996583956003745E-2</v>
      </c>
      <c r="T54">
        <f t="shared" si="7"/>
        <v>1.8169201772958221E-2</v>
      </c>
      <c r="U54">
        <f t="shared" si="8"/>
        <v>-6.5177816955730106E-2</v>
      </c>
    </row>
    <row r="55" spans="1:21" x14ac:dyDescent="0.25">
      <c r="A55" s="1">
        <v>44640.333379629628</v>
      </c>
      <c r="B55" s="7">
        <v>1076820.5729181767</v>
      </c>
      <c r="C55" s="7">
        <v>365.58197075154749</v>
      </c>
      <c r="D55" s="7">
        <v>11693.763907458633</v>
      </c>
      <c r="E55" s="7">
        <v>10768.205729181878</v>
      </c>
      <c r="F55">
        <v>3.1011211647114388E+22</v>
      </c>
      <c r="G55">
        <v>68</v>
      </c>
      <c r="H55">
        <v>31.278402908955208</v>
      </c>
      <c r="I55">
        <v>3.1970941831997876E-2</v>
      </c>
      <c r="J55">
        <v>220</v>
      </c>
      <c r="K55">
        <f t="shared" si="0"/>
        <v>3127840.2908955207</v>
      </c>
      <c r="L55">
        <f t="shared" si="1"/>
        <v>3.1278402908955209E-4</v>
      </c>
      <c r="M55">
        <f t="shared" si="9"/>
        <v>0.17937142194507666</v>
      </c>
      <c r="N55">
        <f t="shared" si="2"/>
        <v>35.081291722375902</v>
      </c>
      <c r="O55" s="2">
        <f t="shared" si="3"/>
        <v>5.7840829950856584E-6</v>
      </c>
      <c r="P55" s="2">
        <f t="shared" si="4"/>
        <v>7.4063282557417301E-2</v>
      </c>
      <c r="Q55">
        <f t="shared" si="5"/>
        <v>0.79366926624127454</v>
      </c>
      <c r="R55">
        <f t="shared" si="6"/>
        <v>2.0289251881791534E-4</v>
      </c>
      <c r="S55">
        <f t="shared" si="10"/>
        <v>2.219947647482166E-2</v>
      </c>
      <c r="T55">
        <f t="shared" si="7"/>
        <v>1.5660401717321637E-2</v>
      </c>
      <c r="U55">
        <f t="shared" si="8"/>
        <v>-8.9120576250686701E-2</v>
      </c>
    </row>
    <row r="56" spans="1:21" x14ac:dyDescent="0.25">
      <c r="A56" s="1">
        <v>44641.333333333336</v>
      </c>
      <c r="B56" s="7">
        <v>1286368.18700701</v>
      </c>
      <c r="C56" s="7">
        <v>448.76975545316236</v>
      </c>
      <c r="D56" s="7">
        <v>13895.641757532954</v>
      </c>
      <c r="E56" s="7">
        <v>12863.68187006982</v>
      </c>
      <c r="F56">
        <v>3.2066463311680231E+22</v>
      </c>
      <c r="G56">
        <v>70</v>
      </c>
      <c r="H56">
        <v>30.402634820431018</v>
      </c>
      <c r="I56">
        <v>3.2891886045612904E-2</v>
      </c>
      <c r="J56">
        <v>221</v>
      </c>
      <c r="K56">
        <f t="shared" si="0"/>
        <v>3040263.4820431019</v>
      </c>
      <c r="L56">
        <f t="shared" si="1"/>
        <v>3.0402634820431016E-4</v>
      </c>
      <c r="M56">
        <f t="shared" si="9"/>
        <v>0.18193653710049446</v>
      </c>
      <c r="N56">
        <f t="shared" si="2"/>
        <v>41.686925272598863</v>
      </c>
      <c r="O56" s="2">
        <f t="shared" si="3"/>
        <v>5.6737325638971833E-6</v>
      </c>
      <c r="P56" s="2">
        <f t="shared" si="4"/>
        <v>8.6329969873880807E-2</v>
      </c>
      <c r="Q56">
        <f t="shared" si="5"/>
        <v>0.77144721678946204</v>
      </c>
      <c r="R56">
        <f t="shared" si="6"/>
        <v>2.3649249885219559E-4</v>
      </c>
      <c r="S56">
        <f t="shared" si="10"/>
        <v>2.2435968973673857E-2</v>
      </c>
      <c r="T56">
        <f t="shared" si="7"/>
        <v>1.4141850598449413E-2</v>
      </c>
      <c r="U56">
        <f t="shared" si="8"/>
        <v>-0.10175062066383112</v>
      </c>
    </row>
    <row r="57" spans="1:21" x14ac:dyDescent="0.25">
      <c r="A57" s="1">
        <v>44642.333344907405</v>
      </c>
      <c r="B57" s="7">
        <v>1843668.6795459986</v>
      </c>
      <c r="C57" s="7">
        <v>626.62907424083096</v>
      </c>
      <c r="D57" s="7">
        <v>19290.497250874527</v>
      </c>
      <c r="E57" s="7">
        <v>18436.68679546006</v>
      </c>
      <c r="F57">
        <v>2.4429094625163927E+22</v>
      </c>
      <c r="G57">
        <v>70</v>
      </c>
      <c r="H57">
        <v>32.034923323179882</v>
      </c>
      <c r="I57">
        <v>3.1215932372044054E-2</v>
      </c>
      <c r="J57">
        <v>222</v>
      </c>
      <c r="K57">
        <f t="shared" si="0"/>
        <v>3203492.3323179884</v>
      </c>
      <c r="L57">
        <f t="shared" si="1"/>
        <v>3.2034923323179883E-4</v>
      </c>
      <c r="M57">
        <f t="shared" si="9"/>
        <v>0.17724079582698601</v>
      </c>
      <c r="N57">
        <f t="shared" si="2"/>
        <v>57.871491752623584</v>
      </c>
      <c r="O57" s="2">
        <f t="shared" si="3"/>
        <v>7.2553157841721157E-6</v>
      </c>
      <c r="P57" s="2">
        <f t="shared" si="4"/>
        <v>0.15325472086173464</v>
      </c>
      <c r="Q57">
        <f t="shared" si="5"/>
        <v>0.81286548299831152</v>
      </c>
      <c r="R57">
        <f t="shared" si="6"/>
        <v>4.1978782432711197E-4</v>
      </c>
      <c r="S57">
        <f t="shared" si="10"/>
        <v>2.2855756798000969E-2</v>
      </c>
      <c r="T57">
        <f t="shared" si="7"/>
        <v>1.7653395074139988E-2</v>
      </c>
      <c r="U57">
        <f t="shared" si="8"/>
        <v>-7.756564320702386E-2</v>
      </c>
    </row>
    <row r="58" spans="1:21" x14ac:dyDescent="0.25">
      <c r="A58" s="1">
        <v>44643.333379629628</v>
      </c>
      <c r="B58" s="7">
        <v>875378.91152381897</v>
      </c>
      <c r="C58" s="7">
        <v>294.38061016758729</v>
      </c>
      <c r="D58" s="7">
        <v>9444.05635288544</v>
      </c>
      <c r="E58" s="7">
        <v>8753.7891152380034</v>
      </c>
      <c r="F58">
        <v>3.6414866800418025E+22</v>
      </c>
      <c r="G58">
        <v>72</v>
      </c>
      <c r="H58">
        <v>31.903855563336172</v>
      </c>
      <c r="I58">
        <v>3.1344173998493069E-2</v>
      </c>
      <c r="J58">
        <v>223</v>
      </c>
      <c r="K58">
        <f t="shared" si="0"/>
        <v>3190385.5563336173</v>
      </c>
      <c r="L58">
        <f t="shared" si="1"/>
        <v>3.190385556333617E-4</v>
      </c>
      <c r="M58">
        <f t="shared" si="9"/>
        <v>0.1776044939370279</v>
      </c>
      <c r="N58">
        <f t="shared" si="2"/>
        <v>28.332169058656319</v>
      </c>
      <c r="O58" s="2">
        <f t="shared" si="3"/>
        <v>4.8772523296718225E-6</v>
      </c>
      <c r="P58" s="2">
        <f t="shared" si="4"/>
        <v>5.0436845204285423E-2</v>
      </c>
      <c r="Q58">
        <f t="shared" si="5"/>
        <v>0.80953972326927948</v>
      </c>
      <c r="R58">
        <f t="shared" si="6"/>
        <v>1.3817359113566267E-4</v>
      </c>
      <c r="S58">
        <f t="shared" si="10"/>
        <v>2.2993930389136632E-2</v>
      </c>
      <c r="T58">
        <f t="shared" si="7"/>
        <v>1.7576557911067825E-2</v>
      </c>
      <c r="U58">
        <f t="shared" si="8"/>
        <v>-7.9327398496150114E-2</v>
      </c>
    </row>
    <row r="59" spans="1:21" x14ac:dyDescent="0.25">
      <c r="A59" s="1">
        <v>44644.333402777775</v>
      </c>
      <c r="B59" s="7">
        <v>983884.56416785717</v>
      </c>
      <c r="C59" s="7">
        <v>328.4698785043438</v>
      </c>
      <c r="D59" s="7">
        <v>10442.32312275283</v>
      </c>
      <c r="E59" s="7">
        <v>9838.8456416786648</v>
      </c>
      <c r="F59">
        <v>3.6414866800418025E+22</v>
      </c>
      <c r="G59">
        <v>72</v>
      </c>
      <c r="H59">
        <v>32.385996306068222</v>
      </c>
      <c r="I59">
        <v>3.0877543199516397E-2</v>
      </c>
      <c r="J59">
        <v>224</v>
      </c>
      <c r="K59">
        <f t="shared" si="0"/>
        <v>3238599.6306068222</v>
      </c>
      <c r="L59">
        <f t="shared" si="1"/>
        <v>3.2385996306068222E-4</v>
      </c>
      <c r="M59">
        <f t="shared" si="9"/>
        <v>0.17627750899410277</v>
      </c>
      <c r="N59">
        <f t="shared" si="2"/>
        <v>31.326969368258492</v>
      </c>
      <c r="O59" s="2">
        <f t="shared" si="3"/>
        <v>4.8408115828142809E-6</v>
      </c>
      <c r="P59" s="2">
        <f t="shared" si="4"/>
        <v>5.5351504002901869E-2</v>
      </c>
      <c r="Q59">
        <f t="shared" si="5"/>
        <v>0.82177373312659252</v>
      </c>
      <c r="R59">
        <f t="shared" si="6"/>
        <v>1.5163645878333505E-4</v>
      </c>
      <c r="S59">
        <f t="shared" si="10"/>
        <v>2.3145566847919966E-2</v>
      </c>
      <c r="T59">
        <f t="shared" si="7"/>
        <v>1.850620549471782E-2</v>
      </c>
      <c r="U59">
        <f t="shared" si="8"/>
        <v>-7.2256073901643791E-2</v>
      </c>
    </row>
    <row r="60" spans="1:21" x14ac:dyDescent="0.25">
      <c r="A60" s="1">
        <v>44645.333344907405</v>
      </c>
      <c r="B60" s="7">
        <v>1258450.2465698123</v>
      </c>
      <c r="C60" s="7">
        <v>403.70133299572626</v>
      </c>
      <c r="D60" s="7">
        <v>13557.388574985787</v>
      </c>
      <c r="E60" s="7">
        <v>12584.502465697937</v>
      </c>
      <c r="F60">
        <v>2.9850813754625292E+22</v>
      </c>
      <c r="G60">
        <v>72</v>
      </c>
      <c r="H60">
        <v>34.049781371209129</v>
      </c>
      <c r="I60">
        <v>2.9368764195518517E-2</v>
      </c>
      <c r="J60">
        <v>225</v>
      </c>
      <c r="K60">
        <f t="shared" si="0"/>
        <v>3404978.1371209128</v>
      </c>
      <c r="L60">
        <f t="shared" si="1"/>
        <v>3.404978137120913E-4</v>
      </c>
      <c r="M60">
        <f t="shared" si="9"/>
        <v>0.17191682105575548</v>
      </c>
      <c r="N60">
        <f t="shared" si="2"/>
        <v>40.67216572495736</v>
      </c>
      <c r="O60" s="2">
        <f t="shared" si="3"/>
        <v>5.7592004850828396E-6</v>
      </c>
      <c r="P60" s="2">
        <f t="shared" si="4"/>
        <v>8.5497292148978582E-2</v>
      </c>
      <c r="Q60">
        <f t="shared" si="5"/>
        <v>0.86399120425762355</v>
      </c>
      <c r="R60">
        <f t="shared" si="6"/>
        <v>2.3421172686470141E-4</v>
      </c>
      <c r="S60">
        <f t="shared" si="10"/>
        <v>2.3379778574784668E-2</v>
      </c>
      <c r="T60">
        <f t="shared" si="7"/>
        <v>2.0926569464147837E-2</v>
      </c>
      <c r="U60">
        <f t="shared" si="8"/>
        <v>-4.8500927162959395E-2</v>
      </c>
    </row>
    <row r="61" spans="1:21" x14ac:dyDescent="0.25">
      <c r="A61" s="1">
        <v>44646.333460648151</v>
      </c>
      <c r="B61" s="7">
        <v>739632.86555671692</v>
      </c>
      <c r="C61" s="7">
        <v>236.60044701329025</v>
      </c>
      <c r="D61" s="7">
        <v>8134.612544904463</v>
      </c>
      <c r="E61" s="7">
        <v>7396.3286555674858</v>
      </c>
      <c r="F61">
        <v>2.2399247200057989E+22</v>
      </c>
      <c r="G61">
        <v>70</v>
      </c>
      <c r="H61">
        <v>34.79321970835835</v>
      </c>
      <c r="I61">
        <v>2.8741232009631197E-2</v>
      </c>
      <c r="J61">
        <v>226</v>
      </c>
      <c r="K61">
        <f t="shared" si="0"/>
        <v>3479321.9708358352</v>
      </c>
      <c r="L61">
        <f t="shared" si="1"/>
        <v>3.4793219708358352E-4</v>
      </c>
      <c r="M61">
        <f t="shared" si="9"/>
        <v>0.17007020141208343</v>
      </c>
      <c r="N61">
        <f t="shared" si="2"/>
        <v>24.403837634713391</v>
      </c>
      <c r="O61" s="2">
        <f t="shared" si="3"/>
        <v>7.5926748739860844E-6</v>
      </c>
      <c r="P61" s="2">
        <f t="shared" si="4"/>
        <v>6.7630997765842388E-2</v>
      </c>
      <c r="Q61">
        <f t="shared" si="5"/>
        <v>0.88285547176061441</v>
      </c>
      <c r="R61">
        <f t="shared" si="6"/>
        <v>1.8527324069097381E-4</v>
      </c>
      <c r="S61">
        <f t="shared" si="10"/>
        <v>2.3565051815475642E-2</v>
      </c>
      <c r="T61">
        <f t="shared" si="7"/>
        <v>2.1861388284365235E-2</v>
      </c>
      <c r="U61">
        <f t="shared" si="8"/>
        <v>-3.7991346843942675E-2</v>
      </c>
    </row>
    <row r="62" spans="1:21" x14ac:dyDescent="0.25">
      <c r="A62" s="1">
        <v>44647.333368055559</v>
      </c>
      <c r="B62" s="7">
        <v>330969.77879571915</v>
      </c>
      <c r="C62" s="7">
        <v>105.24680852326856</v>
      </c>
      <c r="D62" s="7">
        <v>3622.226784966886</v>
      </c>
      <c r="E62" s="7">
        <v>3309.6977879568003</v>
      </c>
      <c r="F62">
        <v>2.2983578647346087E+22</v>
      </c>
      <c r="G62">
        <v>71</v>
      </c>
      <c r="H62">
        <v>34.664729074114462</v>
      </c>
      <c r="I62">
        <v>2.884776620818133E-2</v>
      </c>
      <c r="J62">
        <v>227</v>
      </c>
      <c r="K62">
        <f t="shared" si="0"/>
        <v>3466472.9074114463</v>
      </c>
      <c r="L62">
        <f t="shared" si="1"/>
        <v>3.466472907411446E-4</v>
      </c>
      <c r="M62">
        <f t="shared" si="9"/>
        <v>0.17038510673730861</v>
      </c>
      <c r="N62">
        <f t="shared" si="2"/>
        <v>10.866680354900659</v>
      </c>
      <c r="O62" s="2">
        <f t="shared" si="3"/>
        <v>7.4133410358609655E-6</v>
      </c>
      <c r="P62" s="2">
        <f t="shared" si="4"/>
        <v>2.9403818700477775E-2</v>
      </c>
      <c r="Q62">
        <f t="shared" si="5"/>
        <v>0.8795951049287124</v>
      </c>
      <c r="R62">
        <f t="shared" si="6"/>
        <v>8.055516274437683E-5</v>
      </c>
      <c r="S62">
        <f t="shared" si="10"/>
        <v>2.3645606978220018E-2</v>
      </c>
      <c r="T62">
        <f t="shared" si="7"/>
        <v>2.1824352831303795E-2</v>
      </c>
      <c r="U62">
        <f t="shared" si="8"/>
        <v>-3.9691974160665833E-2</v>
      </c>
    </row>
    <row r="63" spans="1:21" x14ac:dyDescent="0.25">
      <c r="A63" s="1">
        <v>44648.333854166667</v>
      </c>
      <c r="B63" s="7">
        <v>1658322.4608325958</v>
      </c>
      <c r="C63" s="7">
        <v>502.56916932936292</v>
      </c>
      <c r="D63" s="7">
        <v>17581.906183126383</v>
      </c>
      <c r="E63" s="7">
        <v>16583.224608326331</v>
      </c>
      <c r="F63">
        <v>2.7815919040704465E+22</v>
      </c>
      <c r="G63">
        <v>71</v>
      </c>
      <c r="H63">
        <v>35.223797406867568</v>
      </c>
      <c r="I63">
        <v>2.8389897558433904E-2</v>
      </c>
      <c r="J63">
        <v>228</v>
      </c>
      <c r="K63">
        <f t="shared" si="0"/>
        <v>3522379.740686757</v>
      </c>
      <c r="L63">
        <f t="shared" si="1"/>
        <v>3.5223797406867569E-4</v>
      </c>
      <c r="M63">
        <f t="shared" si="9"/>
        <v>0.1690275313028213</v>
      </c>
      <c r="N63">
        <f t="shared" si="2"/>
        <v>52.745718549379148</v>
      </c>
      <c r="O63" s="2">
        <f t="shared" si="3"/>
        <v>6.0766473707187101E-6</v>
      </c>
      <c r="P63" s="2">
        <f t="shared" si="4"/>
        <v>0.11698875315801018</v>
      </c>
      <c r="Q63">
        <f t="shared" si="5"/>
        <v>0.89378110268334365</v>
      </c>
      <c r="R63">
        <f t="shared" si="6"/>
        <v>3.2046577729694797E-4</v>
      </c>
      <c r="S63">
        <f t="shared" si="10"/>
        <v>2.3966072755516966E-2</v>
      </c>
      <c r="T63">
        <f t="shared" si="7"/>
        <v>2.2643198568103706E-2</v>
      </c>
      <c r="U63">
        <f t="shared" si="8"/>
        <v>-3.1668817882037348E-2</v>
      </c>
    </row>
    <row r="64" spans="1:21" x14ac:dyDescent="0.25">
      <c r="A64" s="1">
        <v>44649.333425925928</v>
      </c>
      <c r="B64" s="7">
        <v>2391193.7671937346</v>
      </c>
      <c r="C64" s="7">
        <v>706.41243603992916</v>
      </c>
      <c r="D64" s="7">
        <v>23851.35641065333</v>
      </c>
      <c r="E64" s="7">
        <v>23911.937671937048</v>
      </c>
      <c r="F64">
        <v>3.5034407775839529E+22</v>
      </c>
      <c r="G64">
        <v>68</v>
      </c>
      <c r="H64">
        <v>33.322228329119582</v>
      </c>
      <c r="I64">
        <v>3.0009997834572227E-2</v>
      </c>
      <c r="J64">
        <v>229</v>
      </c>
      <c r="K64">
        <f t="shared" si="0"/>
        <v>3332222.8329119585</v>
      </c>
      <c r="L64">
        <f t="shared" si="1"/>
        <v>3.3322228329119583E-4</v>
      </c>
      <c r="M64">
        <f t="shared" si="9"/>
        <v>0.17378349126725237</v>
      </c>
      <c r="N64">
        <f t="shared" si="2"/>
        <v>71.554069231959986</v>
      </c>
      <c r="O64" s="2">
        <f t="shared" si="3"/>
        <v>4.9603661742813059E-6</v>
      </c>
      <c r="P64" s="2">
        <f t="shared" si="4"/>
        <v>0.12955105039739492</v>
      </c>
      <c r="Q64">
        <f t="shared" si="5"/>
        <v>0.84553001585399534</v>
      </c>
      <c r="R64">
        <f t="shared" si="6"/>
        <v>3.5487141034252763E-4</v>
      </c>
      <c r="S64">
        <f t="shared" si="10"/>
        <v>2.4320944165859493E-2</v>
      </c>
      <c r="T64">
        <f t="shared" si="7"/>
        <v>2.1023761560373666E-2</v>
      </c>
      <c r="U64">
        <f t="shared" si="8"/>
        <v>-5.7835000570088835E-2</v>
      </c>
    </row>
    <row r="65" spans="1:21" x14ac:dyDescent="0.25">
      <c r="A65" s="1">
        <v>44650.333506944444</v>
      </c>
      <c r="B65" s="7">
        <v>2659816.9192771316</v>
      </c>
      <c r="C65" s="7">
        <v>782.11572293349309</v>
      </c>
      <c r="D65" s="7">
        <v>24914.861446187831</v>
      </c>
      <c r="E65" s="7">
        <v>26598.169192771427</v>
      </c>
      <c r="F65">
        <v>3.9645109264669276E+22</v>
      </c>
      <c r="G65">
        <v>72</v>
      </c>
      <c r="H65">
        <v>32.002906012019146</v>
      </c>
      <c r="I65">
        <v>3.1247162355332224E-2</v>
      </c>
      <c r="J65">
        <v>230</v>
      </c>
      <c r="K65">
        <f t="shared" si="0"/>
        <v>3200290.6012019147</v>
      </c>
      <c r="L65">
        <f t="shared" si="1"/>
        <v>3.2002906012019148E-4</v>
      </c>
      <c r="M65">
        <f t="shared" si="9"/>
        <v>0.17732943395075154</v>
      </c>
      <c r="N65">
        <f t="shared" si="2"/>
        <v>74.744584338563499</v>
      </c>
      <c r="O65" s="2">
        <f t="shared" si="3"/>
        <v>4.472920802586438E-6</v>
      </c>
      <c r="P65" s="2">
        <f t="shared" si="4"/>
        <v>0.12202921125155257</v>
      </c>
      <c r="Q65">
        <f t="shared" si="5"/>
        <v>0.81205306441255687</v>
      </c>
      <c r="R65">
        <f t="shared" si="6"/>
        <v>3.3427073148206438E-4</v>
      </c>
      <c r="S65">
        <f t="shared" si="10"/>
        <v>2.4655214897341557E-2</v>
      </c>
      <c r="T65">
        <f t="shared" si="7"/>
        <v>1.943352759655248E-2</v>
      </c>
      <c r="U65">
        <f t="shared" si="8"/>
        <v>-7.6366176176882128E-2</v>
      </c>
    </row>
    <row r="66" spans="1:21" x14ac:dyDescent="0.25">
      <c r="A66" s="1">
        <v>44651.333379629628</v>
      </c>
      <c r="B66" s="7">
        <v>2118325.1426665187</v>
      </c>
      <c r="C66" s="7">
        <v>625.13480488637288</v>
      </c>
      <c r="D66" s="7">
        <v>19742.791824253276</v>
      </c>
      <c r="E66" s="7">
        <v>21183.251426665112</v>
      </c>
      <c r="F66">
        <v>3.9449864402746554E+22</v>
      </c>
      <c r="G66">
        <v>73</v>
      </c>
      <c r="H66">
        <v>31.763793963295566</v>
      </c>
      <c r="I66">
        <v>3.1482385295520526E-2</v>
      </c>
      <c r="J66">
        <v>231</v>
      </c>
      <c r="K66">
        <f t="shared" ref="K66:K126" si="11">(1+$AA$16)*H66</f>
        <v>3176379.3963295566</v>
      </c>
      <c r="L66">
        <f t="shared" ref="L66:L126" si="12">H66/(1+$AA$16)</f>
        <v>3.1763793963295565E-4</v>
      </c>
      <c r="M66">
        <f t="shared" si="9"/>
        <v>0.17799563436371121</v>
      </c>
      <c r="N66">
        <f t="shared" si="2"/>
        <v>59.228375472759829</v>
      </c>
      <c r="O66" s="2">
        <f t="shared" si="3"/>
        <v>4.5119454035770755E-6</v>
      </c>
      <c r="P66" s="2">
        <f t="shared" si="4"/>
        <v>9.7540846713614404E-2</v>
      </c>
      <c r="Q66">
        <f t="shared" si="5"/>
        <v>0.80598575065576783</v>
      </c>
      <c r="R66">
        <f t="shared" si="6"/>
        <v>2.6719949551075615E-4</v>
      </c>
      <c r="S66">
        <f t="shared" si="10"/>
        <v>2.4922414392852314E-2</v>
      </c>
      <c r="T66">
        <f t="shared" si="7"/>
        <v>1.9302349427827714E-2</v>
      </c>
      <c r="U66">
        <f t="shared" si="8"/>
        <v>-7.9577240661698356E-2</v>
      </c>
    </row>
    <row r="67" spans="1:21" x14ac:dyDescent="0.25">
      <c r="A67" s="1">
        <v>44652.333541666667</v>
      </c>
      <c r="B67" s="7">
        <v>2038941.3578978181</v>
      </c>
      <c r="C67" s="7">
        <v>617.83305570190714</v>
      </c>
      <c r="D67" s="7">
        <v>19846.395120851696</v>
      </c>
      <c r="E67" s="7">
        <v>20389.41357897874</v>
      </c>
      <c r="F67">
        <v>4.0198365260524322E+22</v>
      </c>
      <c r="G67">
        <v>74</v>
      </c>
      <c r="H67">
        <v>32.092635224744591</v>
      </c>
      <c r="I67">
        <v>3.1159797037451246E-2</v>
      </c>
      <c r="J67">
        <v>232</v>
      </c>
      <c r="K67">
        <f t="shared" si="11"/>
        <v>3209263.5224744589</v>
      </c>
      <c r="L67">
        <f t="shared" si="12"/>
        <v>3.2092635224744592E-4</v>
      </c>
      <c r="M67">
        <f t="shared" si="9"/>
        <v>0.17708135883986389</v>
      </c>
      <c r="N67">
        <f t="shared" ref="N67:N130" si="13">D67*0.003</f>
        <v>59.539185362555088</v>
      </c>
      <c r="O67" s="2">
        <f t="shared" ref="O67:O126" si="14">M67/(F67/POWER(10,$AA$21))</f>
        <v>4.4051880640470151E-6</v>
      </c>
      <c r="P67" s="2">
        <f t="shared" ref="P67:P130" si="15">O67*N67*365</f>
        <v>9.5732677676306818E-2</v>
      </c>
      <c r="Q67">
        <f t="shared" ref="Q67:Q126" si="16">H67/$H$2</f>
        <v>0.81432988521544447</v>
      </c>
      <c r="R67">
        <f t="shared" ref="R67:R126" si="17">LN(P67/365+1)</f>
        <v>2.6224691897292694E-4</v>
      </c>
      <c r="S67">
        <f t="shared" si="10"/>
        <v>2.518466131182524E-2</v>
      </c>
      <c r="T67">
        <f t="shared" ref="T67:T126" si="18">2*SQRT(Q67)*EXP(S67)/(1+Q67)-1</f>
        <v>2.0120529238121465E-2</v>
      </c>
      <c r="U67">
        <f t="shared" ref="U67:U125" si="19">SQRT(Q67)*EXP(S67)-1</f>
        <v>-7.4582418640740333E-2</v>
      </c>
    </row>
    <row r="68" spans="1:21" x14ac:dyDescent="0.25">
      <c r="A68" s="1">
        <v>44653.333506944444</v>
      </c>
      <c r="B68" s="7">
        <v>1597945.5487250686</v>
      </c>
      <c r="C68" s="7">
        <v>462.42002340927138</v>
      </c>
      <c r="D68" s="7">
        <v>14734.275141834281</v>
      </c>
      <c r="E68" s="7">
        <v>15979.455487249885</v>
      </c>
      <c r="F68">
        <v>5.1223816740086263E+22</v>
      </c>
      <c r="G68">
        <v>75</v>
      </c>
      <c r="H68">
        <v>31.181594830305876</v>
      </c>
      <c r="I68">
        <v>3.2070200560366607E-2</v>
      </c>
      <c r="J68">
        <v>233</v>
      </c>
      <c r="K68">
        <f t="shared" si="11"/>
        <v>3118159.4830305874</v>
      </c>
      <c r="L68">
        <f t="shared" si="12"/>
        <v>3.1181594830305875E-4</v>
      </c>
      <c r="M68">
        <f t="shared" ref="M68:M131" si="20">1/(SQRT(H68)-SQRT(L68))</f>
        <v>0.17964964930846114</v>
      </c>
      <c r="N68">
        <f t="shared" si="13"/>
        <v>44.202825425502844</v>
      </c>
      <c r="O68" s="2">
        <f t="shared" si="14"/>
        <v>3.5071507892513712E-6</v>
      </c>
      <c r="P68" s="2">
        <f t="shared" si="15"/>
        <v>5.6584480538540399E-2</v>
      </c>
      <c r="Q68">
        <f t="shared" si="16"/>
        <v>0.79121282378890601</v>
      </c>
      <c r="R68">
        <f t="shared" si="17"/>
        <v>1.5501395879357878E-4</v>
      </c>
      <c r="S68">
        <f t="shared" ref="S68:S126" si="21">R68+S67</f>
        <v>2.5339675270618818E-2</v>
      </c>
      <c r="T68">
        <f t="shared" si="18"/>
        <v>1.8671945613723873E-2</v>
      </c>
      <c r="U68">
        <f t="shared" si="19"/>
        <v>-8.767087389135142E-2</v>
      </c>
    </row>
    <row r="69" spans="1:21" x14ac:dyDescent="0.25">
      <c r="A69" s="1">
        <v>44654.333356481482</v>
      </c>
      <c r="B69" s="7">
        <v>1777955.6289748549</v>
      </c>
      <c r="C69" s="7">
        <v>512.38789522311708</v>
      </c>
      <c r="D69" s="7">
        <v>15558.00512356218</v>
      </c>
      <c r="E69" s="7">
        <v>17779.556289748754</v>
      </c>
      <c r="F69">
        <v>5.2559731799187907E+22</v>
      </c>
      <c r="G69">
        <v>76</v>
      </c>
      <c r="H69">
        <v>30.251008608913917</v>
      </c>
      <c r="I69">
        <v>3.3056749046884173E-2</v>
      </c>
      <c r="J69">
        <v>234</v>
      </c>
      <c r="K69">
        <f t="shared" si="11"/>
        <v>3025100.8608913915</v>
      </c>
      <c r="L69">
        <f t="shared" si="12"/>
        <v>3.0251008608913916E-4</v>
      </c>
      <c r="M69">
        <f t="shared" si="20"/>
        <v>0.18239192467154125</v>
      </c>
      <c r="N69">
        <f t="shared" si="13"/>
        <v>46.67401537068654</v>
      </c>
      <c r="O69" s="2">
        <f t="shared" si="14"/>
        <v>3.4701837020096695E-6</v>
      </c>
      <c r="P69" s="2">
        <f t="shared" si="15"/>
        <v>5.9118103718047411E-2</v>
      </c>
      <c r="Q69">
        <f t="shared" si="16"/>
        <v>0.76759979963111136</v>
      </c>
      <c r="R69">
        <f t="shared" si="17"/>
        <v>1.6195429214228388E-4</v>
      </c>
      <c r="S69">
        <f t="shared" si="21"/>
        <v>2.5501629562761103E-2</v>
      </c>
      <c r="T69">
        <f t="shared" si="18"/>
        <v>1.6924464314151733E-2</v>
      </c>
      <c r="U69">
        <f t="shared" si="19"/>
        <v>-0.10124226031916517</v>
      </c>
    </row>
    <row r="70" spans="1:21" x14ac:dyDescent="0.25">
      <c r="A70" s="1">
        <v>44655.333368055559</v>
      </c>
      <c r="B70" s="7">
        <v>1384086.3533033729</v>
      </c>
      <c r="C70" s="7">
        <v>394.79722077437327</v>
      </c>
      <c r="D70" s="7">
        <v>12159.777829647064</v>
      </c>
      <c r="E70" s="7">
        <v>13840.863533033989</v>
      </c>
      <c r="F70">
        <v>5.2937716729934932E+22</v>
      </c>
      <c r="G70">
        <v>77</v>
      </c>
      <c r="H70">
        <v>30.548910935725914</v>
      </c>
      <c r="I70">
        <v>3.2734391157314024E-2</v>
      </c>
      <c r="J70">
        <v>235</v>
      </c>
      <c r="K70">
        <f t="shared" si="11"/>
        <v>3054891.0935725914</v>
      </c>
      <c r="L70">
        <f t="shared" si="12"/>
        <v>3.0548910935725913E-4</v>
      </c>
      <c r="M70">
        <f t="shared" si="20"/>
        <v>0.18150043474834876</v>
      </c>
      <c r="N70">
        <f t="shared" si="13"/>
        <v>36.479333488941194</v>
      </c>
      <c r="O70" s="2">
        <f t="shared" si="14"/>
        <v>3.4285656042606552E-6</v>
      </c>
      <c r="P70" s="2">
        <f t="shared" si="15"/>
        <v>4.5651202644286237E-2</v>
      </c>
      <c r="Q70">
        <f t="shared" si="16"/>
        <v>0.77515887871263156</v>
      </c>
      <c r="R70">
        <f t="shared" si="17"/>
        <v>1.2506396724255083E-4</v>
      </c>
      <c r="S70">
        <f t="shared" si="21"/>
        <v>2.5626693530003655E-2</v>
      </c>
      <c r="T70">
        <f t="shared" si="18"/>
        <v>1.7695047776169481E-2</v>
      </c>
      <c r="U70">
        <f t="shared" si="19"/>
        <v>-9.671480005912847E-2</v>
      </c>
    </row>
    <row r="71" spans="1:21" x14ac:dyDescent="0.25">
      <c r="A71" s="1">
        <v>44656.333368055559</v>
      </c>
      <c r="B71" s="7">
        <v>3280468.2248734832</v>
      </c>
      <c r="C71" s="7">
        <v>936.41352750161604</v>
      </c>
      <c r="D71" s="7">
        <v>28306.712898945436</v>
      </c>
      <c r="E71" s="7">
        <v>32804.682248734869</v>
      </c>
      <c r="F71">
        <v>5.0261585739676276E+22</v>
      </c>
      <c r="G71">
        <v>78</v>
      </c>
      <c r="H71">
        <v>29.863296105129912</v>
      </c>
      <c r="I71">
        <v>3.348592186474085E-2</v>
      </c>
      <c r="J71">
        <v>236</v>
      </c>
      <c r="K71">
        <f t="shared" si="11"/>
        <v>2986329.610512991</v>
      </c>
      <c r="L71">
        <f t="shared" si="12"/>
        <v>2.986329610512991E-4</v>
      </c>
      <c r="M71">
        <f t="shared" si="20"/>
        <v>0.18357209553785908</v>
      </c>
      <c r="N71">
        <f t="shared" si="13"/>
        <v>84.920138696836304</v>
      </c>
      <c r="O71" s="2">
        <f t="shared" si="14"/>
        <v>3.6523339412458703E-6</v>
      </c>
      <c r="P71" s="2">
        <f t="shared" si="15"/>
        <v>0.11320719727308316</v>
      </c>
      <c r="Q71">
        <f t="shared" si="16"/>
        <v>0.75776184533125424</v>
      </c>
      <c r="R71">
        <f t="shared" si="17"/>
        <v>3.1010861621009241E-4</v>
      </c>
      <c r="S71">
        <f t="shared" si="21"/>
        <v>2.5936802146213748E-2</v>
      </c>
      <c r="T71">
        <f t="shared" si="18"/>
        <v>1.6483982288188148E-2</v>
      </c>
      <c r="U71">
        <f t="shared" si="19"/>
        <v>-0.1066316197717263</v>
      </c>
    </row>
    <row r="72" spans="1:21" x14ac:dyDescent="0.25">
      <c r="A72" s="1">
        <v>44657.333333333336</v>
      </c>
      <c r="B72" s="7">
        <v>1492661.8688786626</v>
      </c>
      <c r="C72" s="7">
        <v>443.18850970233325</v>
      </c>
      <c r="D72" s="7">
        <v>12916.622879016213</v>
      </c>
      <c r="E72" s="7">
        <v>14926.618688786402</v>
      </c>
      <c r="F72">
        <v>5.1549606401003343E+22</v>
      </c>
      <c r="G72">
        <v>80</v>
      </c>
      <c r="H72">
        <v>29.365808203195989</v>
      </c>
      <c r="I72">
        <v>3.405320885706685E-2</v>
      </c>
      <c r="J72">
        <v>237</v>
      </c>
      <c r="K72">
        <f t="shared" si="11"/>
        <v>2936580.820319599</v>
      </c>
      <c r="L72">
        <f t="shared" si="12"/>
        <v>2.9365808203195992E-4</v>
      </c>
      <c r="M72">
        <f t="shared" si="20"/>
        <v>0.18512051799058793</v>
      </c>
      <c r="N72">
        <f t="shared" si="13"/>
        <v>38.749868637048642</v>
      </c>
      <c r="O72" s="2">
        <f t="shared" si="14"/>
        <v>3.5911140921336852E-6</v>
      </c>
      <c r="P72" s="2">
        <f t="shared" si="15"/>
        <v>5.0791647755754586E-2</v>
      </c>
      <c r="Q72">
        <f t="shared" si="16"/>
        <v>0.74513841122430491</v>
      </c>
      <c r="R72">
        <f t="shared" si="17"/>
        <v>1.3914551814419568E-4</v>
      </c>
      <c r="S72">
        <f t="shared" si="21"/>
        <v>2.6075947664357942E-2</v>
      </c>
      <c r="T72">
        <f t="shared" si="18"/>
        <v>1.5414203454485742E-2</v>
      </c>
      <c r="U72">
        <f t="shared" si="19"/>
        <v>-0.11398083512442292</v>
      </c>
    </row>
    <row r="73" spans="1:21" x14ac:dyDescent="0.25">
      <c r="A73" s="1">
        <v>44658.333506944444</v>
      </c>
      <c r="B73" s="7">
        <v>2088459.9906930327</v>
      </c>
      <c r="C73" s="7">
        <v>644.6567198963894</v>
      </c>
      <c r="D73" s="7">
        <v>19389.603300545365</v>
      </c>
      <c r="E73" s="7">
        <v>20884.5999069307</v>
      </c>
      <c r="F73">
        <v>5.2534675783762796E+22</v>
      </c>
      <c r="G73">
        <v>80</v>
      </c>
      <c r="H73">
        <v>30.423923050422829</v>
      </c>
      <c r="I73">
        <v>3.286887093234684E-2</v>
      </c>
      <c r="J73">
        <v>238</v>
      </c>
      <c r="K73">
        <f t="shared" si="11"/>
        <v>3042392.3050422827</v>
      </c>
      <c r="L73">
        <f t="shared" si="12"/>
        <v>3.0423923050422827E-4</v>
      </c>
      <c r="M73">
        <f t="shared" si="20"/>
        <v>0.18187287363738533</v>
      </c>
      <c r="N73">
        <f t="shared" si="13"/>
        <v>58.168809901636095</v>
      </c>
      <c r="O73" s="2">
        <f t="shared" si="14"/>
        <v>3.4619586192173258E-6</v>
      </c>
      <c r="P73" s="2">
        <f t="shared" si="15"/>
        <v>7.3502974675132865E-2</v>
      </c>
      <c r="Q73">
        <f t="shared" si="16"/>
        <v>0.7719873918721335</v>
      </c>
      <c r="R73">
        <f t="shared" si="17"/>
        <v>2.0135773897824173E-4</v>
      </c>
      <c r="S73">
        <f t="shared" si="21"/>
        <v>2.6277305403336185E-2</v>
      </c>
      <c r="T73">
        <f t="shared" si="18"/>
        <v>1.8090911909540264E-2</v>
      </c>
      <c r="U73">
        <f t="shared" si="19"/>
        <v>-9.7977870158345803E-2</v>
      </c>
    </row>
    <row r="74" spans="1:21" x14ac:dyDescent="0.25">
      <c r="A74" s="1">
        <v>44659.333437499998</v>
      </c>
      <c r="B74" s="7">
        <v>3045415.980628252</v>
      </c>
      <c r="C74" s="7">
        <v>942.29397459057509</v>
      </c>
      <c r="D74" s="7">
        <v>29347.702205415815</v>
      </c>
      <c r="E74" s="7">
        <v>30454.15980628226</v>
      </c>
      <c r="F74">
        <v>5.5786315372009546E+22</v>
      </c>
      <c r="G74">
        <v>81</v>
      </c>
      <c r="H74">
        <v>32.366571507530601</v>
      </c>
      <c r="I74">
        <v>3.0896074357685183E-2</v>
      </c>
      <c r="J74">
        <v>239</v>
      </c>
      <c r="K74">
        <f t="shared" si="11"/>
        <v>3236657.1507530599</v>
      </c>
      <c r="L74">
        <f t="shared" si="12"/>
        <v>3.2366571507530599E-4</v>
      </c>
      <c r="M74">
        <f t="shared" si="20"/>
        <v>0.17633039753530255</v>
      </c>
      <c r="N74">
        <f t="shared" si="13"/>
        <v>88.043106616247442</v>
      </c>
      <c r="O74" s="2">
        <f t="shared" si="14"/>
        <v>3.1608181389906832E-6</v>
      </c>
      <c r="P74" s="2">
        <f t="shared" si="15"/>
        <v>0.10157521066808982</v>
      </c>
      <c r="Q74">
        <f t="shared" si="16"/>
        <v>0.82128084141319169</v>
      </c>
      <c r="R74">
        <f t="shared" si="17"/>
        <v>2.7824953341366263E-4</v>
      </c>
      <c r="S74">
        <f t="shared" si="21"/>
        <v>2.6555554936749846E-2</v>
      </c>
      <c r="T74">
        <f t="shared" si="18"/>
        <v>2.1955189657415941E-2</v>
      </c>
      <c r="U74">
        <f t="shared" si="19"/>
        <v>-6.9366296147081674E-2</v>
      </c>
    </row>
    <row r="75" spans="1:21" x14ac:dyDescent="0.25">
      <c r="A75" s="1">
        <v>44660.333414351851</v>
      </c>
      <c r="B75" s="7">
        <v>1252678.6419953108</v>
      </c>
      <c r="C75" s="7">
        <v>387.43983143124206</v>
      </c>
      <c r="D75" s="7">
        <v>12955.586364801973</v>
      </c>
      <c r="E75" s="7">
        <v>12526.78641995322</v>
      </c>
      <c r="F75">
        <v>3.6948721011288787E+22</v>
      </c>
      <c r="G75">
        <v>83</v>
      </c>
      <c r="H75">
        <v>33.842720236220266</v>
      </c>
      <c r="I75">
        <v>2.9548452164012137E-2</v>
      </c>
      <c r="J75">
        <v>240</v>
      </c>
      <c r="K75">
        <f t="shared" si="11"/>
        <v>3384272.0236220267</v>
      </c>
      <c r="L75">
        <f t="shared" si="12"/>
        <v>3.3842720236220266E-4</v>
      </c>
      <c r="M75">
        <f t="shared" si="20"/>
        <v>0.17244194150601985</v>
      </c>
      <c r="N75">
        <f t="shared" si="13"/>
        <v>38.866759094405921</v>
      </c>
      <c r="O75" s="2">
        <f t="shared" si="14"/>
        <v>4.6670611806382799E-6</v>
      </c>
      <c r="P75" s="2">
        <f t="shared" si="15"/>
        <v>6.6208643044153428E-2</v>
      </c>
      <c r="Q75">
        <f t="shared" si="16"/>
        <v>0.85873716173019499</v>
      </c>
      <c r="R75">
        <f t="shared" si="17"/>
        <v>1.8137709276731199E-4</v>
      </c>
      <c r="S75">
        <f t="shared" si="21"/>
        <v>2.6736932029517158E-2</v>
      </c>
      <c r="T75">
        <f t="shared" si="18"/>
        <v>2.4127067223789878E-2</v>
      </c>
      <c r="U75">
        <f t="shared" si="19"/>
        <v>-4.8208480908692009E-2</v>
      </c>
    </row>
    <row r="76" spans="1:21" x14ac:dyDescent="0.25">
      <c r="A76" s="1">
        <v>44661.333344907405</v>
      </c>
      <c r="B76" s="7">
        <v>984383.67038929462</v>
      </c>
      <c r="C76" s="7">
        <v>304.12472341913963</v>
      </c>
      <c r="D76" s="7">
        <v>10370.827271106653</v>
      </c>
      <c r="E76" s="7">
        <v>9843.8367038927972</v>
      </c>
      <c r="F76">
        <v>3.869722941273467E+22</v>
      </c>
      <c r="G76">
        <v>78</v>
      </c>
      <c r="H76">
        <v>34.405729020049179</v>
      </c>
      <c r="I76">
        <v>2.9064926931711636E-2</v>
      </c>
      <c r="J76">
        <v>241</v>
      </c>
      <c r="K76">
        <f t="shared" si="11"/>
        <v>3440572.9020049181</v>
      </c>
      <c r="L76">
        <f t="shared" si="12"/>
        <v>3.4405729020049177E-4</v>
      </c>
      <c r="M76">
        <f t="shared" si="20"/>
        <v>0.17102521834169171</v>
      </c>
      <c r="N76">
        <f t="shared" si="13"/>
        <v>31.11248181331996</v>
      </c>
      <c r="O76" s="2">
        <f t="shared" si="14"/>
        <v>4.4195726913051277E-6</v>
      </c>
      <c r="P76" s="2">
        <f t="shared" si="15"/>
        <v>5.0188914368019859E-2</v>
      </c>
      <c r="Q76">
        <f t="shared" si="16"/>
        <v>0.87302314588512619</v>
      </c>
      <c r="R76">
        <f t="shared" si="17"/>
        <v>1.374944221896073E-4</v>
      </c>
      <c r="S76">
        <f t="shared" si="21"/>
        <v>2.6874426451706766E-2</v>
      </c>
      <c r="T76">
        <f t="shared" si="18"/>
        <v>2.4875580911590589E-2</v>
      </c>
      <c r="U76">
        <f t="shared" si="19"/>
        <v>-4.0192157650063343E-2</v>
      </c>
    </row>
    <row r="77" spans="1:21" x14ac:dyDescent="0.25">
      <c r="A77" s="1">
        <v>44662.333391203705</v>
      </c>
      <c r="B77" s="7">
        <v>1847396.2436674237</v>
      </c>
      <c r="C77" s="7">
        <v>591.40205968551163</v>
      </c>
      <c r="D77" s="7">
        <v>21365.545174315572</v>
      </c>
      <c r="E77" s="7">
        <v>18473.962436674628</v>
      </c>
      <c r="F77">
        <v>3.7668882484416871E+22</v>
      </c>
      <c r="G77">
        <v>77</v>
      </c>
      <c r="H77">
        <v>35.609817485627545</v>
      </c>
      <c r="I77">
        <v>2.8082143369693186E-2</v>
      </c>
      <c r="J77">
        <v>242</v>
      </c>
      <c r="K77">
        <f t="shared" si="11"/>
        <v>3560981.7485627546</v>
      </c>
      <c r="L77">
        <f t="shared" si="12"/>
        <v>3.5609817485627546E-4</v>
      </c>
      <c r="M77">
        <f t="shared" si="20"/>
        <v>0.16810888277983843</v>
      </c>
      <c r="N77">
        <f t="shared" si="13"/>
        <v>64.096635522946713</v>
      </c>
      <c r="O77" s="2">
        <f t="shared" si="14"/>
        <v>4.4628051508929922E-6</v>
      </c>
      <c r="P77" s="2">
        <f t="shared" si="15"/>
        <v>0.10440854023585183</v>
      </c>
      <c r="Q77">
        <f t="shared" si="16"/>
        <v>0.90357611279161598</v>
      </c>
      <c r="R77">
        <f t="shared" si="17"/>
        <v>2.8600989043840762E-4</v>
      </c>
      <c r="S77">
        <f t="shared" si="21"/>
        <v>2.7160436342145173E-2</v>
      </c>
      <c r="T77">
        <f t="shared" si="18"/>
        <v>2.6213556663847948E-2</v>
      </c>
      <c r="U77">
        <f t="shared" si="19"/>
        <v>-2.326219345588687E-2</v>
      </c>
    </row>
    <row r="78" spans="1:21" x14ac:dyDescent="0.25">
      <c r="A78" s="1">
        <v>44663.333634259259</v>
      </c>
      <c r="B78" s="7">
        <v>4782296.4389332533</v>
      </c>
      <c r="C78" s="7">
        <v>1584.8905295085569</v>
      </c>
      <c r="D78" s="7">
        <v>53333.487911273725</v>
      </c>
      <c r="E78" s="7">
        <v>47822.964389332104</v>
      </c>
      <c r="F78">
        <v>3.6671272848153985E+22</v>
      </c>
      <c r="G78">
        <v>76</v>
      </c>
      <c r="H78">
        <v>35.220275379329635</v>
      </c>
      <c r="I78">
        <v>2.8392736548189745E-2</v>
      </c>
      <c r="J78">
        <v>243</v>
      </c>
      <c r="K78">
        <f t="shared" si="11"/>
        <v>3522027.5379329636</v>
      </c>
      <c r="L78">
        <f t="shared" si="12"/>
        <v>3.5220275379329636E-4</v>
      </c>
      <c r="M78">
        <f t="shared" si="20"/>
        <v>0.16903598246811258</v>
      </c>
      <c r="N78">
        <f t="shared" si="13"/>
        <v>160.00046373382119</v>
      </c>
      <c r="O78" s="2">
        <f t="shared" si="14"/>
        <v>4.6094931901612951E-6</v>
      </c>
      <c r="P78" s="2">
        <f t="shared" si="15"/>
        <v>0.26919518252134977</v>
      </c>
      <c r="Q78">
        <f t="shared" si="16"/>
        <v>0.89369173350999265</v>
      </c>
      <c r="R78">
        <f t="shared" si="17"/>
        <v>7.3724921300330731E-4</v>
      </c>
      <c r="S78">
        <f t="shared" si="21"/>
        <v>2.7897685555148481E-2</v>
      </c>
      <c r="T78">
        <f t="shared" si="18"/>
        <v>2.6668869476514034E-2</v>
      </c>
      <c r="U78">
        <f t="shared" si="19"/>
        <v>-2.7902824410137916E-2</v>
      </c>
    </row>
    <row r="79" spans="1:21" x14ac:dyDescent="0.25">
      <c r="A79" s="1">
        <v>44664.333333333336</v>
      </c>
      <c r="B79" s="7">
        <v>1203655.9178898931</v>
      </c>
      <c r="C79" s="7">
        <v>395.50885424453008</v>
      </c>
      <c r="D79" s="7">
        <v>14013.076913886704</v>
      </c>
      <c r="E79" s="7">
        <v>12036.559178899042</v>
      </c>
      <c r="F79">
        <v>3.9000719160486497E+22</v>
      </c>
      <c r="G79">
        <v>76</v>
      </c>
      <c r="H79">
        <v>35.856362501419817</v>
      </c>
      <c r="I79">
        <v>2.7889053162054648E-2</v>
      </c>
      <c r="J79">
        <v>244</v>
      </c>
      <c r="K79">
        <f t="shared" si="11"/>
        <v>3585636.2501419815</v>
      </c>
      <c r="L79">
        <f t="shared" si="12"/>
        <v>3.5856362501419817E-4</v>
      </c>
      <c r="M79">
        <f t="shared" si="20"/>
        <v>0.16752993533968658</v>
      </c>
      <c r="N79">
        <f t="shared" si="13"/>
        <v>42.039230741660113</v>
      </c>
      <c r="O79" s="2">
        <f t="shared" si="14"/>
        <v>4.2955601575013827E-6</v>
      </c>
      <c r="P79" s="2">
        <f t="shared" si="15"/>
        <v>6.5912446288447113E-2</v>
      </c>
      <c r="Q79">
        <f t="shared" si="16"/>
        <v>0.90983203328566631</v>
      </c>
      <c r="R79">
        <f t="shared" si="17"/>
        <v>1.8056574165113161E-4</v>
      </c>
      <c r="S79">
        <f t="shared" si="21"/>
        <v>2.8078251296799611E-2</v>
      </c>
      <c r="T79">
        <f t="shared" si="18"/>
        <v>2.7329273798810449E-2</v>
      </c>
      <c r="U79">
        <f t="shared" si="19"/>
        <v>-1.898682208346536E-2</v>
      </c>
    </row>
    <row r="80" spans="1:21" x14ac:dyDescent="0.25">
      <c r="A80" s="1">
        <v>44665.333680555559</v>
      </c>
      <c r="B80" s="7">
        <v>334826.89032244682</v>
      </c>
      <c r="C80" s="7">
        <v>108.90425952353689</v>
      </c>
      <c r="D80" s="7">
        <v>3864.4710100917146</v>
      </c>
      <c r="E80" s="7">
        <v>3348.2689032242633</v>
      </c>
      <c r="F80">
        <v>3.8264092440539355E+22</v>
      </c>
      <c r="G80">
        <v>75</v>
      </c>
      <c r="H80">
        <v>35.720373665662521</v>
      </c>
      <c r="I80">
        <v>2.7995227859592228E-2</v>
      </c>
      <c r="J80">
        <v>245</v>
      </c>
      <c r="K80">
        <f t="shared" si="11"/>
        <v>3572037.366566252</v>
      </c>
      <c r="L80">
        <f t="shared" si="12"/>
        <v>3.5720373665662519E-4</v>
      </c>
      <c r="M80">
        <f t="shared" si="20"/>
        <v>0.16784852885542284</v>
      </c>
      <c r="N80">
        <f t="shared" si="13"/>
        <v>11.593413030275144</v>
      </c>
      <c r="O80" s="2">
        <f t="shared" si="14"/>
        <v>4.3865806856977406E-6</v>
      </c>
      <c r="P80" s="2">
        <f t="shared" si="15"/>
        <v>1.8562236213171334E-2</v>
      </c>
      <c r="Q80">
        <f t="shared" si="16"/>
        <v>0.90638140443461335</v>
      </c>
      <c r="R80">
        <f t="shared" si="17"/>
        <v>5.0854148585686315E-5</v>
      </c>
      <c r="S80">
        <f t="shared" si="21"/>
        <v>2.8129105445385296E-2</v>
      </c>
      <c r="T80">
        <f t="shared" si="18"/>
        <v>2.728751800047946E-2</v>
      </c>
      <c r="U80">
        <f t="shared" si="19"/>
        <v>-2.079908933804886E-2</v>
      </c>
    </row>
    <row r="81" spans="1:21" x14ac:dyDescent="0.25">
      <c r="A81" s="1">
        <v>44666.333391203705</v>
      </c>
      <c r="B81" s="7">
        <v>787113.35342466831</v>
      </c>
      <c r="C81" s="7">
        <v>259.01717187985196</v>
      </c>
      <c r="D81" s="7">
        <v>9513.0125154992566</v>
      </c>
      <c r="E81" s="7">
        <v>7871.1335342470556</v>
      </c>
      <c r="F81">
        <v>5.123677834179595E+22</v>
      </c>
      <c r="G81">
        <v>74</v>
      </c>
      <c r="H81">
        <v>37.118641029321623</v>
      </c>
      <c r="I81">
        <v>2.6940641474725777E-2</v>
      </c>
      <c r="J81">
        <v>246</v>
      </c>
      <c r="K81">
        <f t="shared" si="11"/>
        <v>3711864.1029321621</v>
      </c>
      <c r="L81">
        <f t="shared" si="12"/>
        <v>3.7118641029321625E-4</v>
      </c>
      <c r="M81">
        <f t="shared" si="20"/>
        <v>0.16465673594668226</v>
      </c>
      <c r="N81">
        <f t="shared" si="13"/>
        <v>28.53903754649777</v>
      </c>
      <c r="O81" s="2">
        <f t="shared" si="14"/>
        <v>3.2136434271544545E-6</v>
      </c>
      <c r="P81" s="2">
        <f t="shared" si="15"/>
        <v>3.3475716006445118E-2</v>
      </c>
      <c r="Q81">
        <f t="shared" si="16"/>
        <v>0.94186153542962359</v>
      </c>
      <c r="R81">
        <f t="shared" si="17"/>
        <v>9.1710084930245916E-5</v>
      </c>
      <c r="S81">
        <f t="shared" si="21"/>
        <v>2.8220815530315541E-2</v>
      </c>
      <c r="T81">
        <f t="shared" si="18"/>
        <v>2.8161675082370552E-2</v>
      </c>
      <c r="U81">
        <f t="shared" si="19"/>
        <v>-1.7261954773271082E-3</v>
      </c>
    </row>
    <row r="82" spans="1:21" x14ac:dyDescent="0.25">
      <c r="A82" s="1">
        <v>44667.33357638889</v>
      </c>
      <c r="B82" s="7">
        <v>568481.73636734486</v>
      </c>
      <c r="C82" s="7">
        <v>187.388604805863</v>
      </c>
      <c r="D82" s="7">
        <v>7088.124524993822</v>
      </c>
      <c r="E82" s="7">
        <v>5684.8173636733554</v>
      </c>
      <c r="F82">
        <v>4.7057795601655526E+22</v>
      </c>
      <c r="G82">
        <v>72</v>
      </c>
      <c r="H82">
        <v>37.645694511153955</v>
      </c>
      <c r="I82">
        <v>2.6563462647865677E-2</v>
      </c>
      <c r="J82">
        <v>247</v>
      </c>
      <c r="K82">
        <f t="shared" si="11"/>
        <v>3764569.4511153954</v>
      </c>
      <c r="L82">
        <f t="shared" si="12"/>
        <v>3.7645694511153954E-4</v>
      </c>
      <c r="M82">
        <f t="shared" si="20"/>
        <v>0.16350004591478048</v>
      </c>
      <c r="N82">
        <f t="shared" si="13"/>
        <v>21.264373574981466</v>
      </c>
      <c r="O82" s="2">
        <f t="shared" si="14"/>
        <v>3.4744518697562714E-6</v>
      </c>
      <c r="P82" s="2">
        <f t="shared" si="15"/>
        <v>2.6966945522278424E-2</v>
      </c>
      <c r="Q82">
        <f t="shared" si="16"/>
        <v>0.95523517702549976</v>
      </c>
      <c r="R82">
        <f t="shared" si="17"/>
        <v>7.3879313383103337E-5</v>
      </c>
      <c r="S82">
        <f t="shared" si="21"/>
        <v>2.8294694843698644E-2</v>
      </c>
      <c r="T82">
        <f t="shared" si="18"/>
        <v>2.8429147903375585E-2</v>
      </c>
      <c r="U82">
        <f t="shared" si="19"/>
        <v>5.4104235295202585E-3</v>
      </c>
    </row>
    <row r="83" spans="1:21" x14ac:dyDescent="0.25">
      <c r="A83" s="1">
        <v>44668.333449074074</v>
      </c>
      <c r="B83" s="7">
        <v>224871.40991592407</v>
      </c>
      <c r="C83" s="7">
        <v>74.088235547533259</v>
      </c>
      <c r="D83" s="7">
        <v>2762.1924755107611</v>
      </c>
      <c r="E83" s="7">
        <v>2248.7140991594642</v>
      </c>
      <c r="F83">
        <v>6.1387216016241808E+22</v>
      </c>
      <c r="G83">
        <v>74</v>
      </c>
      <c r="H83">
        <v>37.386846214777094</v>
      </c>
      <c r="I83">
        <v>2.6747375113035116E-2</v>
      </c>
      <c r="J83">
        <v>248</v>
      </c>
      <c r="K83">
        <f t="shared" si="11"/>
        <v>3738684.6214777096</v>
      </c>
      <c r="L83">
        <f t="shared" si="12"/>
        <v>3.7386846214777092E-4</v>
      </c>
      <c r="M83">
        <f t="shared" si="20"/>
        <v>0.16406506692344472</v>
      </c>
      <c r="N83">
        <f t="shared" si="13"/>
        <v>8.2865774265322845</v>
      </c>
      <c r="O83" s="2">
        <f t="shared" si="14"/>
        <v>2.6726259565189671E-6</v>
      </c>
      <c r="P83" s="2">
        <f t="shared" si="15"/>
        <v>8.0836265011118309E-3</v>
      </c>
      <c r="Q83">
        <f t="shared" si="16"/>
        <v>0.94866706873521334</v>
      </c>
      <c r="R83">
        <f t="shared" si="17"/>
        <v>2.2146676681363705E-5</v>
      </c>
      <c r="S83">
        <f t="shared" si="21"/>
        <v>2.8316841520380009E-2</v>
      </c>
      <c r="T83">
        <f t="shared" si="18"/>
        <v>2.8364581209825657E-2</v>
      </c>
      <c r="U83">
        <f t="shared" si="19"/>
        <v>1.9700970286331554E-3</v>
      </c>
    </row>
    <row r="84" spans="1:21" x14ac:dyDescent="0.25">
      <c r="A84" s="1">
        <v>44669.333819444444</v>
      </c>
      <c r="B84" s="7">
        <v>1127771.965964973</v>
      </c>
      <c r="C84" s="7">
        <v>380.50190167714027</v>
      </c>
      <c r="D84" s="7">
        <v>14286.64363309741</v>
      </c>
      <c r="E84" s="7">
        <v>11277.719659649301</v>
      </c>
      <c r="F84">
        <v>6.6082337733292952E+22</v>
      </c>
      <c r="G84">
        <v>75</v>
      </c>
      <c r="H84">
        <v>36.752997685782212</v>
      </c>
      <c r="I84">
        <v>2.7208664951616914E-2</v>
      </c>
      <c r="J84">
        <v>249</v>
      </c>
      <c r="K84">
        <f t="shared" si="11"/>
        <v>3675299.7685782211</v>
      </c>
      <c r="L84">
        <f t="shared" si="12"/>
        <v>3.6752997685782213E-4</v>
      </c>
      <c r="M84">
        <f t="shared" si="20"/>
        <v>0.16547376642100931</v>
      </c>
      <c r="N84">
        <f t="shared" si="13"/>
        <v>42.85993089929223</v>
      </c>
      <c r="O84" s="2">
        <f t="shared" si="14"/>
        <v>2.5040543675809147E-6</v>
      </c>
      <c r="P84" s="2">
        <f t="shared" si="15"/>
        <v>3.9173112964344954E-2</v>
      </c>
      <c r="Q84">
        <f t="shared" si="16"/>
        <v>0.93258357181307838</v>
      </c>
      <c r="R84">
        <f t="shared" si="17"/>
        <v>1.0731783839725527E-4</v>
      </c>
      <c r="S84">
        <f t="shared" si="21"/>
        <v>2.8424159358777262E-2</v>
      </c>
      <c r="T84">
        <f t="shared" si="18"/>
        <v>2.8205797191587223E-2</v>
      </c>
      <c r="U84">
        <f t="shared" si="19"/>
        <v>-6.453183952284447E-3</v>
      </c>
    </row>
    <row r="85" spans="1:21" x14ac:dyDescent="0.25">
      <c r="A85" s="1">
        <v>44670.333379629628</v>
      </c>
      <c r="B85" s="7">
        <v>2150206.1159561276</v>
      </c>
      <c r="C85" s="7">
        <v>721.58403167463257</v>
      </c>
      <c r="D85" s="7">
        <v>24889.408055725507</v>
      </c>
      <c r="E85" s="7">
        <v>21502.061159561854</v>
      </c>
      <c r="F85">
        <v>6.3914532246305991E+22</v>
      </c>
      <c r="G85">
        <v>76</v>
      </c>
      <c r="H85">
        <v>33.785239358403459</v>
      </c>
      <c r="I85">
        <v>2.9598724738685869E-2</v>
      </c>
      <c r="J85">
        <v>250</v>
      </c>
      <c r="K85">
        <f t="shared" si="11"/>
        <v>3378523.9358403459</v>
      </c>
      <c r="L85">
        <f t="shared" si="12"/>
        <v>3.3785239358403459E-4</v>
      </c>
      <c r="M85">
        <f t="shared" si="20"/>
        <v>0.17258857213407972</v>
      </c>
      <c r="N85">
        <f t="shared" si="13"/>
        <v>74.668224167176518</v>
      </c>
      <c r="O85" s="2">
        <f t="shared" si="14"/>
        <v>2.7003025144419274E-6</v>
      </c>
      <c r="P85" s="2">
        <f t="shared" si="15"/>
        <v>7.359377961565218E-2</v>
      </c>
      <c r="Q85">
        <f t="shared" si="16"/>
        <v>0.85727862159141099</v>
      </c>
      <c r="R85">
        <f t="shared" si="17"/>
        <v>2.0160646951740275E-4</v>
      </c>
      <c r="S85">
        <f t="shared" si="21"/>
        <v>2.8625765828294666E-2</v>
      </c>
      <c r="T85">
        <f t="shared" si="18"/>
        <v>2.5996654952966436E-2</v>
      </c>
      <c r="U85">
        <f t="shared" si="19"/>
        <v>-4.7219173465778086E-2</v>
      </c>
    </row>
    <row r="86" spans="1:21" x14ac:dyDescent="0.25">
      <c r="A86" s="1">
        <v>44671.333495370367</v>
      </c>
      <c r="B86" s="7">
        <v>929877.81033617258</v>
      </c>
      <c r="C86" s="7">
        <v>299.82967383328651</v>
      </c>
      <c r="D86" s="7">
        <v>9843.2910911822692</v>
      </c>
      <c r="E86" s="7">
        <v>9298.7781033613719</v>
      </c>
      <c r="F86">
        <v>4.1821638365458087E+22</v>
      </c>
      <c r="G86">
        <v>73</v>
      </c>
      <c r="H86">
        <v>32.45732035949117</v>
      </c>
      <c r="I86">
        <v>3.0809690662204649E-2</v>
      </c>
      <c r="J86">
        <v>251</v>
      </c>
      <c r="K86">
        <f t="shared" si="11"/>
        <v>3245732.035949117</v>
      </c>
      <c r="L86">
        <f t="shared" si="12"/>
        <v>3.2457320359491169E-4</v>
      </c>
      <c r="M86">
        <f t="shared" si="20"/>
        <v>0.17608372002696748</v>
      </c>
      <c r="N86">
        <f t="shared" si="13"/>
        <v>29.529873273546809</v>
      </c>
      <c r="O86" s="2">
        <f t="shared" si="14"/>
        <v>4.2103496397788429E-6</v>
      </c>
      <c r="P86" s="2">
        <f t="shared" si="15"/>
        <v>4.5380848324497333E-2</v>
      </c>
      <c r="Q86">
        <f t="shared" si="16"/>
        <v>0.82358353490292735</v>
      </c>
      <c r="R86">
        <f t="shared" si="17"/>
        <v>1.2432336283039927E-4</v>
      </c>
      <c r="S86">
        <f t="shared" si="21"/>
        <v>2.8750089191125067E-2</v>
      </c>
      <c r="T86">
        <f t="shared" si="18"/>
        <v>2.4340080668164843E-2</v>
      </c>
      <c r="U86">
        <f t="shared" si="19"/>
        <v>-6.6015147376199068E-2</v>
      </c>
    </row>
    <row r="87" spans="1:21" x14ac:dyDescent="0.25">
      <c r="A87" s="1">
        <v>44672.333425925928</v>
      </c>
      <c r="B87" s="7">
        <v>766660.13317203522</v>
      </c>
      <c r="C87" s="7">
        <v>247.67715525384119</v>
      </c>
      <c r="D87" s="7">
        <v>8031.1743228081614</v>
      </c>
      <c r="E87" s="7">
        <v>7666.6013317205943</v>
      </c>
      <c r="F87">
        <v>4.4491997692272696E+22</v>
      </c>
      <c r="G87">
        <v>74</v>
      </c>
      <c r="H87">
        <v>32.327756855870334</v>
      </c>
      <c r="I87">
        <v>3.0933170045122138E-2</v>
      </c>
      <c r="J87">
        <v>252</v>
      </c>
      <c r="K87">
        <f t="shared" si="11"/>
        <v>3232775.6855870332</v>
      </c>
      <c r="L87">
        <f t="shared" si="12"/>
        <v>3.2327756855870333E-4</v>
      </c>
      <c r="M87">
        <f t="shared" si="20"/>
        <v>0.17643622222691022</v>
      </c>
      <c r="N87">
        <f t="shared" si="13"/>
        <v>24.093522968424484</v>
      </c>
      <c r="O87" s="2">
        <f t="shared" si="14"/>
        <v>3.9655720439263035E-6</v>
      </c>
      <c r="P87" s="2">
        <f t="shared" si="15"/>
        <v>3.4873779409997349E-2</v>
      </c>
      <c r="Q87">
        <f t="shared" si="16"/>
        <v>0.82029594470371814</v>
      </c>
      <c r="R87">
        <f t="shared" si="17"/>
        <v>9.5540037028577426E-5</v>
      </c>
      <c r="S87">
        <f t="shared" si="21"/>
        <v>2.8845629228153643E-2</v>
      </c>
      <c r="T87">
        <f t="shared" si="18"/>
        <v>2.4237739456157703E-2</v>
      </c>
      <c r="U87">
        <f t="shared" si="19"/>
        <v>-6.7792098227726361E-2</v>
      </c>
    </row>
    <row r="88" spans="1:21" x14ac:dyDescent="0.25">
      <c r="A88" s="1">
        <v>44673.333414351851</v>
      </c>
      <c r="B88" s="7">
        <v>1923437.816963315</v>
      </c>
      <c r="C88" s="7">
        <v>629.4918740617868</v>
      </c>
      <c r="D88" s="7">
        <v>20166.593238891102</v>
      </c>
      <c r="E88" s="7">
        <v>19234.378169632982</v>
      </c>
      <c r="F88">
        <v>4.1985015406814386E+22</v>
      </c>
      <c r="G88">
        <v>73</v>
      </c>
      <c r="H88">
        <v>31.526468457701018</v>
      </c>
      <c r="I88">
        <v>3.1719378951108892E-2</v>
      </c>
      <c r="J88">
        <v>253</v>
      </c>
      <c r="K88">
        <f t="shared" si="11"/>
        <v>3152646.845770102</v>
      </c>
      <c r="L88">
        <f t="shared" si="12"/>
        <v>3.152646845770102E-4</v>
      </c>
      <c r="M88">
        <f t="shared" si="20"/>
        <v>0.17866433759292835</v>
      </c>
      <c r="N88">
        <f t="shared" si="13"/>
        <v>60.499779716673309</v>
      </c>
      <c r="O88" s="2">
        <f t="shared" si="14"/>
        <v>4.2554310356149154E-6</v>
      </c>
      <c r="P88" s="2">
        <f t="shared" si="15"/>
        <v>9.3970213692782037E-2</v>
      </c>
      <c r="Q88">
        <f t="shared" si="16"/>
        <v>0.79996376927667268</v>
      </c>
      <c r="R88">
        <f t="shared" si="17"/>
        <v>2.5741950501018064E-4</v>
      </c>
      <c r="S88">
        <f t="shared" si="21"/>
        <v>2.9103048733163824E-2</v>
      </c>
      <c r="T88">
        <f t="shared" si="18"/>
        <v>2.3153241973092875E-2</v>
      </c>
      <c r="U88">
        <f t="shared" si="19"/>
        <v>-7.9180617015232158E-2</v>
      </c>
    </row>
    <row r="89" spans="1:21" x14ac:dyDescent="0.25">
      <c r="A89" s="1">
        <v>44674.333865740744</v>
      </c>
      <c r="B89" s="7">
        <v>423112.16074442863</v>
      </c>
      <c r="C89" s="7">
        <v>142.45208146021469</v>
      </c>
      <c r="D89" s="7">
        <v>4511.4357455056161</v>
      </c>
      <c r="E89" s="7">
        <v>4231.1216074442491</v>
      </c>
      <c r="F89">
        <v>4.2102684614476081E+22</v>
      </c>
      <c r="G89">
        <v>72</v>
      </c>
      <c r="H89">
        <v>31.894286320579514</v>
      </c>
      <c r="I89">
        <v>3.1353578191049176E-2</v>
      </c>
      <c r="J89">
        <v>254</v>
      </c>
      <c r="K89">
        <f t="shared" si="11"/>
        <v>3189428.6320579513</v>
      </c>
      <c r="L89">
        <f t="shared" si="12"/>
        <v>3.1894286320579516E-4</v>
      </c>
      <c r="M89">
        <f t="shared" si="20"/>
        <v>0.17763113527712421</v>
      </c>
      <c r="N89">
        <f t="shared" si="13"/>
        <v>13.534307236516849</v>
      </c>
      <c r="O89" s="2">
        <f t="shared" si="14"/>
        <v>4.2189978359729025E-6</v>
      </c>
      <c r="P89" s="2">
        <f t="shared" si="15"/>
        <v>2.0841942723923798E-2</v>
      </c>
      <c r="Q89">
        <f>H89/$H$2</f>
        <v>0.80929690991658787</v>
      </c>
      <c r="R89">
        <f t="shared" si="17"/>
        <v>5.7099582730021284E-5</v>
      </c>
      <c r="S89">
        <f t="shared" si="21"/>
        <v>2.9160148315893846E-2</v>
      </c>
      <c r="T89">
        <f t="shared" si="18"/>
        <v>2.3854366482032097E-2</v>
      </c>
      <c r="U89">
        <f t="shared" si="19"/>
        <v>-7.3771729259726748E-2</v>
      </c>
    </row>
    <row r="90" spans="1:21" x14ac:dyDescent="0.25">
      <c r="A90" s="1">
        <v>44675.333368055559</v>
      </c>
      <c r="B90" s="7">
        <v>356021.5651127696</v>
      </c>
      <c r="C90" s="7">
        <v>120.59463843799313</v>
      </c>
      <c r="D90" s="7">
        <v>3917.8262897683308</v>
      </c>
      <c r="E90" s="7">
        <v>3560.2156511279754</v>
      </c>
      <c r="F90">
        <v>4.2027119688499413E+22</v>
      </c>
      <c r="G90">
        <v>70</v>
      </c>
      <c r="H90">
        <v>32.389234905698835</v>
      </c>
      <c r="I90">
        <v>3.0874455753940998E-2</v>
      </c>
      <c r="J90">
        <v>255</v>
      </c>
      <c r="K90">
        <f t="shared" si="11"/>
        <v>3238923.4905698835</v>
      </c>
      <c r="L90">
        <f t="shared" si="12"/>
        <v>3.2389234905698833E-4</v>
      </c>
      <c r="M90">
        <f t="shared" si="20"/>
        <v>0.17626869577963863</v>
      </c>
      <c r="N90">
        <f t="shared" si="13"/>
        <v>11.753478869304992</v>
      </c>
      <c r="O90" s="2">
        <f t="shared" si="14"/>
        <v>4.1941655075609187E-6</v>
      </c>
      <c r="P90" s="2">
        <f t="shared" si="15"/>
        <v>1.7993053018632063E-2</v>
      </c>
      <c r="Q90">
        <f t="shared" si="16"/>
        <v>0.82185591049990536</v>
      </c>
      <c r="R90">
        <f t="shared" si="17"/>
        <v>4.9294820657864634E-5</v>
      </c>
      <c r="S90">
        <f t="shared" si="21"/>
        <v>2.9209443136551709E-2</v>
      </c>
      <c r="T90">
        <f t="shared" si="18"/>
        <v>2.4706075449866249E-2</v>
      </c>
      <c r="U90">
        <f t="shared" si="19"/>
        <v>-6.6566589958249489E-2</v>
      </c>
    </row>
    <row r="91" spans="1:21" x14ac:dyDescent="0.25">
      <c r="A91" s="1">
        <v>44676.333333333336</v>
      </c>
      <c r="B91" s="7">
        <v>445908.05780148506</v>
      </c>
      <c r="C91" s="7">
        <v>154.40446809201967</v>
      </c>
      <c r="D91" s="7">
        <v>4958.6470988346264</v>
      </c>
      <c r="E91" s="7">
        <v>4459.0805780142546</v>
      </c>
      <c r="F91">
        <v>4.3699118742327897E+22</v>
      </c>
      <c r="G91">
        <v>69</v>
      </c>
      <c r="H91">
        <v>31.94535546970263</v>
      </c>
      <c r="I91">
        <v>3.1303455081237469E-2</v>
      </c>
      <c r="J91">
        <v>256</v>
      </c>
      <c r="K91">
        <f t="shared" si="11"/>
        <v>3194535.5469702631</v>
      </c>
      <c r="L91">
        <f t="shared" si="12"/>
        <v>3.194535546970263E-4</v>
      </c>
      <c r="M91">
        <f t="shared" si="20"/>
        <v>0.17748909429480134</v>
      </c>
      <c r="N91">
        <f t="shared" si="13"/>
        <v>14.87594129650388</v>
      </c>
      <c r="O91" s="2">
        <f t="shared" si="14"/>
        <v>4.0616172454498863E-6</v>
      </c>
      <c r="P91" s="2">
        <f t="shared" si="15"/>
        <v>2.2053438594945809E-2</v>
      </c>
      <c r="Q91">
        <f t="shared" si="16"/>
        <v>0.81059275658209984</v>
      </c>
      <c r="R91">
        <f t="shared" si="17"/>
        <v>6.0418554474478955E-5</v>
      </c>
      <c r="S91">
        <f t="shared" si="21"/>
        <v>2.9269861691026189E-2</v>
      </c>
      <c r="T91">
        <f t="shared" si="18"/>
        <v>2.4052720762875346E-2</v>
      </c>
      <c r="U91">
        <f t="shared" si="19"/>
        <v>-7.2928780714273E-2</v>
      </c>
    </row>
    <row r="92" spans="1:21" x14ac:dyDescent="0.25">
      <c r="A92" s="1">
        <v>44677.333807870367</v>
      </c>
      <c r="B92" s="7">
        <v>475558.81687152386</v>
      </c>
      <c r="C92" s="7">
        <v>163.19862732404727</v>
      </c>
      <c r="D92" s="7">
        <v>5099.3479708293453</v>
      </c>
      <c r="E92" s="7">
        <v>4755.5881687155925</v>
      </c>
      <c r="F92">
        <v>4.3704959917320919E+22</v>
      </c>
      <c r="G92">
        <v>70</v>
      </c>
      <c r="H92">
        <v>31.26902126447396</v>
      </c>
      <c r="I92">
        <v>3.1980534073707698E-2</v>
      </c>
      <c r="J92">
        <v>257</v>
      </c>
      <c r="K92">
        <f t="shared" si="11"/>
        <v>3126902.1264473959</v>
      </c>
      <c r="L92">
        <f t="shared" si="12"/>
        <v>3.1269021264473962E-4</v>
      </c>
      <c r="M92">
        <f t="shared" si="20"/>
        <v>0.17939832833100003</v>
      </c>
      <c r="N92">
        <f t="shared" si="13"/>
        <v>15.298043912488037</v>
      </c>
      <c r="O92" s="2">
        <f t="shared" si="14"/>
        <v>4.1047590175206135E-6</v>
      </c>
      <c r="P92" s="2">
        <f t="shared" si="15"/>
        <v>2.2920096050577234E-2</v>
      </c>
      <c r="Q92">
        <f t="shared" si="16"/>
        <v>0.79343121307362263</v>
      </c>
      <c r="R92">
        <f t="shared" si="17"/>
        <v>6.2792812190296264E-5</v>
      </c>
      <c r="S92">
        <f t="shared" si="21"/>
        <v>2.9332654503216486E-2</v>
      </c>
      <c r="T92">
        <f t="shared" si="18"/>
        <v>2.2913528350832602E-2</v>
      </c>
      <c r="U92">
        <f t="shared" si="19"/>
        <v>-8.2737474990173365E-2</v>
      </c>
    </row>
    <row r="93" spans="1:21" x14ac:dyDescent="0.25">
      <c r="A93" s="1">
        <v>44678.333344907405</v>
      </c>
      <c r="B93" s="7">
        <v>901711.31919980049</v>
      </c>
      <c r="C93" s="7">
        <v>314.10394342894142</v>
      </c>
      <c r="D93" s="7">
        <v>9986.6397943506017</v>
      </c>
      <c r="E93" s="7">
        <v>9017.1131919976324</v>
      </c>
      <c r="F93">
        <v>4.3710542401636955E+22</v>
      </c>
      <c r="G93">
        <v>70</v>
      </c>
      <c r="H93">
        <v>32.208371124486149</v>
      </c>
      <c r="I93">
        <v>3.1047829029756745E-2</v>
      </c>
      <c r="J93">
        <v>258</v>
      </c>
      <c r="K93">
        <f t="shared" si="11"/>
        <v>3220837.112448615</v>
      </c>
      <c r="L93">
        <f t="shared" si="12"/>
        <v>3.2208371124486148E-4</v>
      </c>
      <c r="M93">
        <f t="shared" si="20"/>
        <v>0.17676291500130895</v>
      </c>
      <c r="N93">
        <f t="shared" si="13"/>
        <v>29.959919383051805</v>
      </c>
      <c r="O93" s="2">
        <f t="shared" si="14"/>
        <v>4.0439423829865166E-6</v>
      </c>
      <c r="P93" s="2">
        <f t="shared" si="15"/>
        <v>4.4222008541153594E-2</v>
      </c>
      <c r="Q93">
        <f t="shared" si="16"/>
        <v>0.81726660889961178</v>
      </c>
      <c r="R93">
        <f t="shared" si="17"/>
        <v>1.211488489659142E-4</v>
      </c>
      <c r="S93">
        <f t="shared" si="21"/>
        <v>2.9453803352182398E-2</v>
      </c>
      <c r="T93">
        <f t="shared" si="18"/>
        <v>2.4671957247326182E-2</v>
      </c>
      <c r="U93">
        <f t="shared" si="19"/>
        <v>-6.894893350931186E-2</v>
      </c>
    </row>
    <row r="94" spans="1:21" x14ac:dyDescent="0.25">
      <c r="A94" s="1">
        <v>44679.333344907405</v>
      </c>
      <c r="B94" s="7">
        <v>271610.2145024538</v>
      </c>
      <c r="C94" s="7">
        <v>93.444253424429917</v>
      </c>
      <c r="D94" s="7">
        <v>3005.6251963814721</v>
      </c>
      <c r="E94" s="7">
        <v>2716.1021450245753</v>
      </c>
      <c r="F94">
        <v>4.3710542401636955E+22</v>
      </c>
      <c r="G94">
        <v>70</v>
      </c>
      <c r="H94">
        <v>32.083009359414405</v>
      </c>
      <c r="I94">
        <v>3.1169145911387551E-2</v>
      </c>
      <c r="J94">
        <v>259</v>
      </c>
      <c r="K94">
        <f t="shared" si="11"/>
        <v>3208300.9359414405</v>
      </c>
      <c r="L94">
        <f t="shared" si="12"/>
        <v>3.2083009359414402E-4</v>
      </c>
      <c r="M94">
        <f t="shared" si="20"/>
        <v>0.17710792170773387</v>
      </c>
      <c r="N94">
        <f t="shared" si="13"/>
        <v>9.0168755891444157</v>
      </c>
      <c r="O94" s="2">
        <f t="shared" si="14"/>
        <v>4.0518353691511545E-6</v>
      </c>
      <c r="P94" s="2">
        <f t="shared" si="15"/>
        <v>1.3335236832435813E-2</v>
      </c>
      <c r="Q94">
        <f t="shared" si="16"/>
        <v>0.81408563510153098</v>
      </c>
      <c r="R94">
        <f t="shared" si="17"/>
        <v>3.6534228048391219E-5</v>
      </c>
      <c r="S94">
        <f t="shared" si="21"/>
        <v>2.9490337580230789E-2</v>
      </c>
      <c r="T94">
        <f t="shared" si="18"/>
        <v>2.4506570280846018E-2</v>
      </c>
      <c r="U94">
        <f t="shared" si="19"/>
        <v>-7.0728673893190042E-2</v>
      </c>
    </row>
    <row r="95" spans="1:21" x14ac:dyDescent="0.25">
      <c r="A95" s="1">
        <v>44680.333402777775</v>
      </c>
      <c r="B95" s="7">
        <v>1162774.4036632776</v>
      </c>
      <c r="C95" s="7">
        <v>401.32792793295812</v>
      </c>
      <c r="D95" s="7">
        <v>13432.681325946935</v>
      </c>
      <c r="E95" s="7">
        <v>11627.744036633056</v>
      </c>
      <c r="F95">
        <v>4.3622274338581075E+22</v>
      </c>
      <c r="G95">
        <v>70</v>
      </c>
      <c r="H95">
        <v>33.465815222297763</v>
      </c>
      <c r="I95">
        <v>2.9881238313110486E-2</v>
      </c>
      <c r="J95">
        <v>260</v>
      </c>
      <c r="K95">
        <f t="shared" si="11"/>
        <v>3346581.5222297763</v>
      </c>
      <c r="L95">
        <f t="shared" si="12"/>
        <v>3.3465815222297765E-4</v>
      </c>
      <c r="M95">
        <f t="shared" si="20"/>
        <v>0.17341027677078349</v>
      </c>
      <c r="N95">
        <f t="shared" si="13"/>
        <v>40.298043977840805</v>
      </c>
      <c r="O95" s="2">
        <f t="shared" si="14"/>
        <v>3.9752690431689241E-6</v>
      </c>
      <c r="P95" s="2">
        <f t="shared" si="15"/>
        <v>5.8471381854760217E-2</v>
      </c>
      <c r="Q95">
        <f t="shared" si="16"/>
        <v>0.84917344050333898</v>
      </c>
      <c r="R95">
        <f t="shared" si="17"/>
        <v>1.6018273678580056E-4</v>
      </c>
      <c r="S95">
        <f t="shared" si="21"/>
        <v>2.965052031701659E-2</v>
      </c>
      <c r="T95">
        <f t="shared" si="18"/>
        <v>2.6662282248705482E-2</v>
      </c>
      <c r="U95">
        <f t="shared" si="19"/>
        <v>-5.076168764957556E-2</v>
      </c>
    </row>
    <row r="96" spans="1:21" x14ac:dyDescent="0.25">
      <c r="A96" s="1">
        <v>44681.333854166667</v>
      </c>
      <c r="B96" s="7">
        <v>732441.39536744356</v>
      </c>
      <c r="C96" s="7">
        <v>258.53688828169834</v>
      </c>
      <c r="D96" s="7">
        <v>8564.2173236031085</v>
      </c>
      <c r="E96" s="7">
        <v>7324.4139536744915</v>
      </c>
      <c r="F96">
        <v>4.2491050469828086E+22</v>
      </c>
      <c r="G96">
        <v>71</v>
      </c>
      <c r="H96">
        <v>33.663837221672729</v>
      </c>
      <c r="I96">
        <v>2.9705466831220342E-2</v>
      </c>
      <c r="J96">
        <v>261</v>
      </c>
      <c r="K96">
        <f t="shared" si="11"/>
        <v>3366383.7221672731</v>
      </c>
      <c r="L96">
        <f t="shared" si="12"/>
        <v>3.3663837221672727E-4</v>
      </c>
      <c r="M96">
        <f t="shared" si="20"/>
        <v>0.17289949576532149</v>
      </c>
      <c r="N96">
        <f t="shared" si="13"/>
        <v>25.692651970809326</v>
      </c>
      <c r="O96" s="2">
        <f t="shared" si="14"/>
        <v>4.0690802852260249E-6</v>
      </c>
      <c r="P96" s="2">
        <f t="shared" si="15"/>
        <v>3.8159094217501736E-2</v>
      </c>
      <c r="Q96">
        <f t="shared" si="16"/>
        <v>0.8541981208043451</v>
      </c>
      <c r="R96">
        <f t="shared" si="17"/>
        <v>1.0453999911337044E-4</v>
      </c>
      <c r="S96">
        <f t="shared" si="21"/>
        <v>2.9755060316129959E-2</v>
      </c>
      <c r="T96">
        <f t="shared" si="18"/>
        <v>2.7012249058239846E-2</v>
      </c>
      <c r="U96">
        <f t="shared" si="19"/>
        <v>-4.785790887658381E-2</v>
      </c>
    </row>
    <row r="97" spans="1:21" x14ac:dyDescent="0.25">
      <c r="A97" s="1">
        <v>44682.333796296298</v>
      </c>
      <c r="B97" s="7">
        <v>577379.54119765759</v>
      </c>
      <c r="C97" s="7">
        <v>207.20955574883556</v>
      </c>
      <c r="D97" s="7">
        <v>7181.8960203221068</v>
      </c>
      <c r="E97" s="7">
        <v>5773.79541197652</v>
      </c>
      <c r="F97">
        <v>3.1473844492826667E+22</v>
      </c>
      <c r="G97">
        <v>71</v>
      </c>
      <c r="H97">
        <v>34.595472358544299</v>
      </c>
      <c r="I97">
        <v>2.8905516584253912E-2</v>
      </c>
      <c r="J97">
        <v>262</v>
      </c>
      <c r="K97">
        <f t="shared" si="11"/>
        <v>3459547.2358544301</v>
      </c>
      <c r="L97">
        <f t="shared" si="12"/>
        <v>3.4595472358544302E-4</v>
      </c>
      <c r="M97">
        <f t="shared" si="20"/>
        <v>0.17055556853779369</v>
      </c>
      <c r="N97">
        <f t="shared" si="13"/>
        <v>21.54568806096632</v>
      </c>
      <c r="O97" s="2">
        <f t="shared" si="14"/>
        <v>5.4189620393106317E-6</v>
      </c>
      <c r="P97" s="2">
        <f t="shared" si="15"/>
        <v>4.2615671985319743E-2</v>
      </c>
      <c r="Q97">
        <f t="shared" si="16"/>
        <v>0.87783776051477769</v>
      </c>
      <c r="R97">
        <f t="shared" si="17"/>
        <v>1.1674845034775413E-4</v>
      </c>
      <c r="S97">
        <f t="shared" si="21"/>
        <v>2.9871808766477714E-2</v>
      </c>
      <c r="T97">
        <f t="shared" si="18"/>
        <v>2.8139912121197153E-2</v>
      </c>
      <c r="U97">
        <f t="shared" si="19"/>
        <v>-3.4660024963235392E-2</v>
      </c>
    </row>
    <row r="98" spans="1:21" x14ac:dyDescent="0.25">
      <c r="A98" s="1">
        <v>44683.333344907405</v>
      </c>
      <c r="B98" s="7">
        <v>864947.61056703329</v>
      </c>
      <c r="C98" s="7">
        <v>307.5780056209187</v>
      </c>
      <c r="D98" s="7">
        <v>10583.118016093038</v>
      </c>
      <c r="E98" s="7">
        <v>8649.4761056704447</v>
      </c>
      <c r="F98">
        <v>4.5048186083094202E+22</v>
      </c>
      <c r="G98">
        <v>72</v>
      </c>
      <c r="H98">
        <v>33.968163956792644</v>
      </c>
      <c r="I98">
        <v>2.9439330346850527E-2</v>
      </c>
      <c r="J98">
        <v>263</v>
      </c>
      <c r="K98">
        <f t="shared" si="11"/>
        <v>3396816.3956792643</v>
      </c>
      <c r="L98">
        <f t="shared" si="12"/>
        <v>3.3968163956792644E-4</v>
      </c>
      <c r="M98">
        <f t="shared" si="20"/>
        <v>0.1721232347439545</v>
      </c>
      <c r="N98">
        <f t="shared" si="13"/>
        <v>31.749354048279116</v>
      </c>
      <c r="O98" s="2">
        <f t="shared" si="14"/>
        <v>3.8208693781024256E-6</v>
      </c>
      <c r="P98" s="2">
        <f t="shared" si="15"/>
        <v>4.4278199150024712E-2</v>
      </c>
      <c r="Q98">
        <f t="shared" si="16"/>
        <v>0.86192021509615668</v>
      </c>
      <c r="R98">
        <f t="shared" si="17"/>
        <v>1.2130277717818169E-4</v>
      </c>
      <c r="S98">
        <f t="shared" si="21"/>
        <v>2.9993111543655897E-2</v>
      </c>
      <c r="T98">
        <f t="shared" si="18"/>
        <v>2.7609959240108006E-2</v>
      </c>
      <c r="U98">
        <f t="shared" si="19"/>
        <v>-4.3336121828352558E-2</v>
      </c>
    </row>
    <row r="99" spans="1:21" x14ac:dyDescent="0.25">
      <c r="A99" s="1">
        <v>44684.33388888889</v>
      </c>
      <c r="B99" s="7">
        <v>887644.56596761942</v>
      </c>
      <c r="C99" s="7">
        <v>314.90362227767764</v>
      </c>
      <c r="D99" s="7">
        <v>10656.811630195938</v>
      </c>
      <c r="E99" s="7">
        <v>8876.4456596761011</v>
      </c>
      <c r="F99">
        <v>4.6482659144559111E+22</v>
      </c>
      <c r="G99">
        <v>72</v>
      </c>
      <c r="H99">
        <v>33.455777485345379</v>
      </c>
      <c r="I99">
        <v>2.9890203581071449E-2</v>
      </c>
      <c r="J99">
        <v>264</v>
      </c>
      <c r="K99">
        <f t="shared" si="11"/>
        <v>3345577.7485345379</v>
      </c>
      <c r="L99">
        <f t="shared" si="12"/>
        <v>3.3455777485345378E-4</v>
      </c>
      <c r="M99">
        <f t="shared" si="20"/>
        <v>0.17343628896257679</v>
      </c>
      <c r="N99">
        <f t="shared" si="13"/>
        <v>31.970434890587814</v>
      </c>
      <c r="O99" s="2">
        <f t="shared" si="14"/>
        <v>3.7312041125529681E-6</v>
      </c>
      <c r="P99" s="2">
        <f t="shared" si="15"/>
        <v>4.3540199622511877E-2</v>
      </c>
      <c r="Q99">
        <f t="shared" si="16"/>
        <v>0.84891873941310392</v>
      </c>
      <c r="R99">
        <f t="shared" si="17"/>
        <v>1.1928110387004243E-4</v>
      </c>
      <c r="S99">
        <f t="shared" si="21"/>
        <v>3.0112392647525941E-2</v>
      </c>
      <c r="T99">
        <f t="shared" si="18"/>
        <v>2.7124001248286511E-2</v>
      </c>
      <c r="U99">
        <f t="shared" si="19"/>
        <v>-5.0465593195537339E-2</v>
      </c>
    </row>
    <row r="100" spans="1:21" x14ac:dyDescent="0.25">
      <c r="A100" s="1">
        <v>44685.333495370367</v>
      </c>
      <c r="B100" s="7">
        <v>371980.95236855745</v>
      </c>
      <c r="C100" s="7">
        <v>132.22012455775985</v>
      </c>
      <c r="D100" s="7">
        <v>4418.8013915941119</v>
      </c>
      <c r="E100" s="7">
        <v>3719.8095236858353</v>
      </c>
      <c r="F100">
        <v>4.6923250626206137E+22</v>
      </c>
      <c r="G100">
        <v>72</v>
      </c>
      <c r="H100">
        <v>33.119591538505134</v>
      </c>
      <c r="I100">
        <v>3.0193609085951166E-2</v>
      </c>
      <c r="J100">
        <v>265</v>
      </c>
      <c r="K100">
        <f t="shared" si="11"/>
        <v>3311959.1538505135</v>
      </c>
      <c r="L100">
        <f t="shared" si="12"/>
        <v>3.3119591538505134E-4</v>
      </c>
      <c r="M100">
        <f t="shared" si="20"/>
        <v>0.17431431346732773</v>
      </c>
      <c r="N100">
        <f t="shared" si="13"/>
        <v>13.256404174782336</v>
      </c>
      <c r="O100" s="2">
        <f t="shared" si="14"/>
        <v>3.7148814530333292E-6</v>
      </c>
      <c r="P100" s="2">
        <f t="shared" si="15"/>
        <v>1.7974779051026561E-2</v>
      </c>
      <c r="Q100">
        <f t="shared" si="16"/>
        <v>0.84038823820669695</v>
      </c>
      <c r="R100">
        <f t="shared" si="17"/>
        <v>4.924475745980351E-5</v>
      </c>
      <c r="S100">
        <f t="shared" si="21"/>
        <v>3.0161637404985744E-2</v>
      </c>
      <c r="T100">
        <f t="shared" si="18"/>
        <v>2.6737825827081174E-2</v>
      </c>
      <c r="U100">
        <f t="shared" si="19"/>
        <v>-5.5201890812961785E-2</v>
      </c>
    </row>
    <row r="101" spans="1:21" x14ac:dyDescent="0.25">
      <c r="A101" s="1">
        <v>44686.333402777775</v>
      </c>
      <c r="B101" s="7">
        <v>487235.67117261887</v>
      </c>
      <c r="C101" s="7">
        <v>169.30567266496655</v>
      </c>
      <c r="D101" s="7">
        <v>5727.3931181170046</v>
      </c>
      <c r="E101" s="7">
        <v>4872.3567117257044</v>
      </c>
      <c r="F101">
        <v>4.5356696290918606E+22</v>
      </c>
      <c r="G101">
        <v>71</v>
      </c>
      <c r="H101">
        <v>34.059997327147983</v>
      </c>
      <c r="I101">
        <v>2.9359955328092067E-2</v>
      </c>
      <c r="J101">
        <v>266</v>
      </c>
      <c r="K101">
        <f t="shared" si="11"/>
        <v>3405999.7327147983</v>
      </c>
      <c r="L101">
        <f t="shared" si="12"/>
        <v>3.4059997327147982E-4</v>
      </c>
      <c r="M101">
        <f t="shared" si="20"/>
        <v>0.1718910367556615</v>
      </c>
      <c r="N101">
        <f t="shared" si="13"/>
        <v>17.182179354351014</v>
      </c>
      <c r="O101" s="2">
        <f t="shared" si="14"/>
        <v>3.7897609573049486E-6</v>
      </c>
      <c r="P101" s="2">
        <f t="shared" si="15"/>
        <v>2.3767468654663677E-2</v>
      </c>
      <c r="Q101">
        <f t="shared" si="16"/>
        <v>0.86425042753950099</v>
      </c>
      <c r="R101">
        <f t="shared" si="17"/>
        <v>6.5114232500872125E-5</v>
      </c>
      <c r="S101">
        <f t="shared" si="21"/>
        <v>3.0226751637486615E-2</v>
      </c>
      <c r="T101">
        <f t="shared" si="18"/>
        <v>2.7952050719963317E-2</v>
      </c>
      <c r="U101">
        <f t="shared" si="19"/>
        <v>-4.1819974977600816E-2</v>
      </c>
    </row>
    <row r="102" spans="1:21" x14ac:dyDescent="0.25">
      <c r="A102" s="1">
        <v>44687.333425925928</v>
      </c>
      <c r="B102" s="7">
        <v>833231.10731124878</v>
      </c>
      <c r="C102" s="7">
        <v>301.98994965248858</v>
      </c>
      <c r="D102" s="7">
        <v>10217.860161355697</v>
      </c>
      <c r="E102" s="7">
        <v>8332.3110731123015</v>
      </c>
      <c r="F102">
        <v>4.5633068558129513E+22</v>
      </c>
      <c r="G102">
        <v>71</v>
      </c>
      <c r="H102">
        <v>33.825803951325938</v>
      </c>
      <c r="I102">
        <v>2.9563229345234854E-2</v>
      </c>
      <c r="J102">
        <v>267</v>
      </c>
      <c r="K102">
        <f t="shared" si="11"/>
        <v>3382580.3951325938</v>
      </c>
      <c r="L102">
        <f t="shared" si="12"/>
        <v>3.3825803951325939E-4</v>
      </c>
      <c r="M102">
        <f t="shared" si="20"/>
        <v>0.17248505522473664</v>
      </c>
      <c r="N102">
        <f t="shared" si="13"/>
        <v>30.653580484067092</v>
      </c>
      <c r="O102" s="2">
        <f t="shared" si="14"/>
        <v>3.7798259173611614E-6</v>
      </c>
      <c r="P102" s="2">
        <f t="shared" si="15"/>
        <v>4.229079726036148E-2</v>
      </c>
      <c r="Q102">
        <f t="shared" si="16"/>
        <v>0.8583079219298545</v>
      </c>
      <c r="R102">
        <f t="shared" si="17"/>
        <v>1.1585848611996586E-4</v>
      </c>
      <c r="S102">
        <f t="shared" si="21"/>
        <v>3.0342610123606582E-2</v>
      </c>
      <c r="T102">
        <f t="shared" si="18"/>
        <v>2.7806845752715637E-2</v>
      </c>
      <c r="U102">
        <f t="shared" si="19"/>
        <v>-4.5009198161996111E-2</v>
      </c>
    </row>
    <row r="103" spans="1:21" x14ac:dyDescent="0.25">
      <c r="A103" s="1">
        <v>44688.333356481482</v>
      </c>
      <c r="B103" s="7">
        <v>1219293.0780679584</v>
      </c>
      <c r="C103" s="7">
        <v>454.91829207370756</v>
      </c>
      <c r="D103" s="7">
        <v>15922.944148792885</v>
      </c>
      <c r="E103" s="7">
        <v>12192.930780679919</v>
      </c>
      <c r="F103">
        <v>4.5234415938028964E+22</v>
      </c>
      <c r="G103">
        <v>69</v>
      </c>
      <c r="H103">
        <v>36.503937518551446</v>
      </c>
      <c r="I103">
        <v>2.7394305052483612E-2</v>
      </c>
      <c r="J103">
        <v>268</v>
      </c>
      <c r="K103">
        <f t="shared" si="11"/>
        <v>3650393.7518551447</v>
      </c>
      <c r="L103">
        <f t="shared" si="12"/>
        <v>3.6503937518551444E-4</v>
      </c>
      <c r="M103">
        <f t="shared" si="20"/>
        <v>0.1660373065256332</v>
      </c>
      <c r="N103">
        <f t="shared" si="13"/>
        <v>47.76883244637866</v>
      </c>
      <c r="O103" s="2">
        <f t="shared" si="14"/>
        <v>3.6705968913825238E-6</v>
      </c>
      <c r="P103" s="2">
        <f t="shared" si="15"/>
        <v>6.3999146677167301E-2</v>
      </c>
      <c r="Q103">
        <f t="shared" si="16"/>
        <v>0.9262638309762028</v>
      </c>
      <c r="R103">
        <f t="shared" si="17"/>
        <v>1.7532475759899751E-4</v>
      </c>
      <c r="S103">
        <f t="shared" si="21"/>
        <v>3.0517934881205581E-2</v>
      </c>
      <c r="T103">
        <f t="shared" si="18"/>
        <v>3.0232744683105439E-2</v>
      </c>
      <c r="U103">
        <f t="shared" si="19"/>
        <v>-7.7499632147964848E-3</v>
      </c>
    </row>
    <row r="104" spans="1:21" x14ac:dyDescent="0.25">
      <c r="A104" s="1">
        <v>44689.333425925928</v>
      </c>
      <c r="B104" s="7">
        <v>3604515.9291363955</v>
      </c>
      <c r="C104" s="7">
        <v>1376.2181920578005</v>
      </c>
      <c r="D104" s="7">
        <v>53333.414978680201</v>
      </c>
      <c r="E104" s="7">
        <v>36045.159291363787</v>
      </c>
      <c r="F104">
        <v>1.9690550035469105E+22</v>
      </c>
      <c r="G104">
        <v>67</v>
      </c>
      <c r="H104">
        <v>40.435779221654357</v>
      </c>
      <c r="I104">
        <v>2.4730573250940972E-2</v>
      </c>
      <c r="J104">
        <v>269</v>
      </c>
      <c r="K104">
        <f t="shared" si="11"/>
        <v>4043577.9221654357</v>
      </c>
      <c r="L104">
        <f t="shared" si="12"/>
        <v>4.0435779221654355E-4</v>
      </c>
      <c r="M104">
        <f t="shared" si="20"/>
        <v>0.15775844886210588</v>
      </c>
      <c r="N104">
        <f t="shared" si="13"/>
        <v>160.00024493604062</v>
      </c>
      <c r="O104" s="2">
        <f t="shared" si="14"/>
        <v>8.0118863402968151E-6</v>
      </c>
      <c r="P104" s="2">
        <f t="shared" si="15"/>
        <v>0.46789487854923112</v>
      </c>
      <c r="Q104">
        <f t="shared" si="16"/>
        <v>1.0260317740058351</v>
      </c>
      <c r="R104">
        <f t="shared" si="17"/>
        <v>1.2810828397007365E-3</v>
      </c>
      <c r="S104">
        <f t="shared" si="21"/>
        <v>3.179901772090632E-2</v>
      </c>
      <c r="T104">
        <f t="shared" si="18"/>
        <v>3.2224794015673019E-2</v>
      </c>
      <c r="U104">
        <f t="shared" si="19"/>
        <v>4.5660115296190851E-2</v>
      </c>
    </row>
    <row r="105" spans="1:21" x14ac:dyDescent="0.25">
      <c r="A105" s="1">
        <v>44690.333344907405</v>
      </c>
      <c r="B105" s="7">
        <v>2236769.4745250344</v>
      </c>
      <c r="C105" s="7">
        <v>895.64129536440305</v>
      </c>
      <c r="D105" s="7">
        <v>35450.10178492777</v>
      </c>
      <c r="E105" s="7">
        <v>22367.694745250978</v>
      </c>
      <c r="F105">
        <v>2.0935087672923863E+22</v>
      </c>
      <c r="G105">
        <v>68</v>
      </c>
      <c r="H105">
        <v>40.037459856957042</v>
      </c>
      <c r="I105">
        <v>2.497660949452658E-2</v>
      </c>
      <c r="J105">
        <v>270</v>
      </c>
      <c r="K105">
        <f t="shared" si="11"/>
        <v>4003745.9856957044</v>
      </c>
      <c r="L105">
        <f t="shared" si="12"/>
        <v>4.0037459856957043E-4</v>
      </c>
      <c r="M105">
        <f t="shared" si="20"/>
        <v>0.1585412498787897</v>
      </c>
      <c r="N105">
        <f t="shared" si="13"/>
        <v>106.35030535478332</v>
      </c>
      <c r="O105" s="2">
        <f t="shared" si="14"/>
        <v>7.5729919241674382E-6</v>
      </c>
      <c r="P105" s="2">
        <f t="shared" si="15"/>
        <v>0.293967351308348</v>
      </c>
      <c r="Q105">
        <f t="shared" si="16"/>
        <v>1.01592467746292</v>
      </c>
      <c r="R105">
        <f t="shared" si="17"/>
        <v>8.0506585108998895E-4</v>
      </c>
      <c r="S105">
        <f t="shared" si="21"/>
        <v>3.260408357199631E-2</v>
      </c>
      <c r="T105">
        <f t="shared" si="18"/>
        <v>3.3109185481144499E-2</v>
      </c>
      <c r="U105">
        <f t="shared" si="19"/>
        <v>4.1335150762528139E-2</v>
      </c>
    </row>
    <row r="106" spans="1:21" x14ac:dyDescent="0.25">
      <c r="A106" s="1">
        <v>44691.333379629628</v>
      </c>
      <c r="B106" s="7">
        <v>9143124.2180086374</v>
      </c>
      <c r="C106" s="7">
        <v>3934.4325170218362</v>
      </c>
      <c r="D106" s="7">
        <v>254544.69154347479</v>
      </c>
      <c r="E106" s="7">
        <v>91431.242180085741</v>
      </c>
      <c r="F106">
        <v>3.4504171955602519E+21</v>
      </c>
      <c r="G106">
        <v>66</v>
      </c>
      <c r="H106">
        <v>73.265168086426144</v>
      </c>
      <c r="I106">
        <v>1.3649050785229417E-2</v>
      </c>
      <c r="J106">
        <v>271</v>
      </c>
      <c r="K106">
        <f t="shared" si="11"/>
        <v>7326516.8086426146</v>
      </c>
      <c r="L106">
        <f t="shared" si="12"/>
        <v>7.3265168086426142E-4</v>
      </c>
      <c r="M106">
        <f t="shared" si="20"/>
        <v>0.1171997703361585</v>
      </c>
      <c r="N106">
        <f t="shared" si="13"/>
        <v>763.63407463042438</v>
      </c>
      <c r="O106" s="2">
        <f t="shared" si="14"/>
        <v>3.3966840440907467E-5</v>
      </c>
      <c r="P106" s="2">
        <f t="shared" si="15"/>
        <v>9.4674564203972515</v>
      </c>
      <c r="Q106">
        <f t="shared" si="16"/>
        <v>1.859056306853482</v>
      </c>
      <c r="R106">
        <f t="shared" si="17"/>
        <v>2.5607546854935565E-2</v>
      </c>
      <c r="S106">
        <f t="shared" si="21"/>
        <v>5.8211630426931879E-2</v>
      </c>
      <c r="T106">
        <f t="shared" si="18"/>
        <v>1.0961341856699836E-2</v>
      </c>
      <c r="U106">
        <f t="shared" si="19"/>
        <v>0.44519770021022831</v>
      </c>
    </row>
    <row r="107" spans="1:21" s="16" customFormat="1" x14ac:dyDescent="0.25">
      <c r="A107" s="19">
        <v>44692.333391203705</v>
      </c>
      <c r="B107" s="20">
        <v>2744462.9751384854</v>
      </c>
      <c r="C107" s="20">
        <v>1162.2820866902475</v>
      </c>
      <c r="D107" s="20">
        <v>144550.65028042067</v>
      </c>
      <c r="E107" s="20">
        <v>27444.62975138519</v>
      </c>
      <c r="F107" s="13">
        <v>1.7040604895032682E+19</v>
      </c>
      <c r="G107" s="13">
        <v>55</v>
      </c>
      <c r="H107" s="13">
        <v>1020.6077866592682</v>
      </c>
      <c r="I107" s="13">
        <v>9.7980831919113292E-4</v>
      </c>
      <c r="J107" s="13">
        <v>272</v>
      </c>
      <c r="K107" s="13">
        <f t="shared" si="11"/>
        <v>102060778.66592681</v>
      </c>
      <c r="L107" s="13">
        <f t="shared" si="12"/>
        <v>1.0206077866592682E-2</v>
      </c>
      <c r="M107" s="13">
        <f t="shared" si="20"/>
        <v>3.1401189305304465E-2</v>
      </c>
      <c r="N107" s="13">
        <f t="shared" si="13"/>
        <v>433.65195084126202</v>
      </c>
      <c r="O107" s="14">
        <f t="shared" si="14"/>
        <v>1.8427273854848825E-3</v>
      </c>
      <c r="P107" s="15">
        <f t="shared" si="15"/>
        <v>291.67234883821021</v>
      </c>
      <c r="Q107" s="13">
        <f t="shared" si="16"/>
        <v>25.897263217556329</v>
      </c>
      <c r="R107" s="13">
        <f>LN(P107/365+1)</f>
        <v>0.58728783249710748</v>
      </c>
      <c r="S107" s="13">
        <f>R107+S106</f>
        <v>0.64549946292403937</v>
      </c>
      <c r="T107" s="13">
        <f>2*SQRT(Q107)*EXP(S107)/(1+Q107)-1</f>
        <v>-0.27841799696070679</v>
      </c>
      <c r="U107" s="13">
        <f>SQRT(Q107)*EXP(S107)-1</f>
        <v>8.7042905343996999</v>
      </c>
    </row>
    <row r="108" spans="1:21" x14ac:dyDescent="0.25">
      <c r="A108" s="1">
        <v>44693.333414351851</v>
      </c>
      <c r="B108" s="7">
        <v>468520.93187695742</v>
      </c>
      <c r="C108" s="7">
        <v>220.50261483555369</v>
      </c>
      <c r="D108" s="7">
        <v>437762.62574457657</v>
      </c>
      <c r="E108" s="7">
        <v>4685.20931876963</v>
      </c>
      <c r="F108">
        <v>1.8353658574830469E+20</v>
      </c>
      <c r="G108">
        <v>60</v>
      </c>
      <c r="H108">
        <v>4743.7193415733582</v>
      </c>
      <c r="I108">
        <v>2.1080505147851519E-4</v>
      </c>
      <c r="J108">
        <v>273</v>
      </c>
      <c r="K108">
        <f t="shared" si="11"/>
        <v>474371934.15733582</v>
      </c>
      <c r="L108">
        <f t="shared" si="12"/>
        <v>4.7437193415733582E-2</v>
      </c>
      <c r="M108">
        <f t="shared" si="20"/>
        <v>1.4565186253896995E-2</v>
      </c>
      <c r="N108">
        <f t="shared" si="13"/>
        <v>1313.2878772337297</v>
      </c>
      <c r="O108" s="2">
        <f t="shared" si="14"/>
        <v>7.9358489722976291E-5</v>
      </c>
      <c r="P108" s="2">
        <f t="shared" si="15"/>
        <v>38.040498015698233</v>
      </c>
      <c r="Q108">
        <f t="shared" si="16"/>
        <v>120.36881358808577</v>
      </c>
      <c r="R108">
        <f t="shared" si="17"/>
        <v>9.9139694669363565E-2</v>
      </c>
      <c r="S108">
        <f t="shared" si="21"/>
        <v>0.74463915759340293</v>
      </c>
      <c r="T108">
        <f t="shared" si="18"/>
        <v>-0.61930904691336108</v>
      </c>
      <c r="U108">
        <f t="shared" si="19"/>
        <v>22.102004659921487</v>
      </c>
    </row>
    <row r="109" spans="1:21" x14ac:dyDescent="0.25">
      <c r="A109" s="1">
        <v>44694.333553240744</v>
      </c>
      <c r="B109" s="7">
        <v>419667.80248475075</v>
      </c>
      <c r="C109" s="7">
        <v>215.48576266680902</v>
      </c>
      <c r="D109" s="7">
        <v>50703381.73305586</v>
      </c>
      <c r="E109" s="7">
        <v>4196.6780248470604</v>
      </c>
      <c r="F109">
        <v>3.8322856067034867E+20</v>
      </c>
      <c r="G109">
        <v>59</v>
      </c>
      <c r="H109">
        <v>3197408.257009496</v>
      </c>
      <c r="I109">
        <v>3.1275330505816921E-7</v>
      </c>
      <c r="J109">
        <v>274</v>
      </c>
      <c r="K109">
        <f t="shared" si="11"/>
        <v>319740825700.94958</v>
      </c>
      <c r="L109">
        <f t="shared" si="12"/>
        <v>31.974082570094961</v>
      </c>
      <c r="M109">
        <f t="shared" si="20"/>
        <v>5.6101760485234629E-4</v>
      </c>
      <c r="N109">
        <f t="shared" si="13"/>
        <v>152110.14519916757</v>
      </c>
      <c r="O109" s="2">
        <f t="shared" si="14"/>
        <v>1.463924306348688E-6</v>
      </c>
      <c r="P109" s="2">
        <f t="shared" si="15"/>
        <v>81.277374661740708</v>
      </c>
      <c r="Q109">
        <f t="shared" si="16"/>
        <v>81132.168819526385</v>
      </c>
      <c r="R109">
        <f t="shared" si="17"/>
        <v>0.20104332140971568</v>
      </c>
      <c r="S109">
        <f t="shared" si="21"/>
        <v>0.94568247900311864</v>
      </c>
      <c r="T109">
        <f t="shared" si="18"/>
        <v>-0.98192273259901441</v>
      </c>
      <c r="U109">
        <f t="shared" si="19"/>
        <v>732.33299391994365</v>
      </c>
    </row>
    <row r="110" spans="1:21" x14ac:dyDescent="0.25">
      <c r="A110" s="1">
        <v>44695.333657407406</v>
      </c>
      <c r="B110" s="7">
        <v>5307579.0010674</v>
      </c>
      <c r="C110" s="7">
        <v>2607.4748613115953</v>
      </c>
      <c r="D110" s="7">
        <v>30757183985.244987</v>
      </c>
      <c r="E110" s="7">
        <v>53075.790010674391</v>
      </c>
      <c r="F110">
        <v>2.7720199351842257E+23</v>
      </c>
      <c r="G110">
        <v>67</v>
      </c>
      <c r="H110">
        <v>5518539.6756595867</v>
      </c>
      <c r="I110">
        <v>1.8120735897046496E-7</v>
      </c>
      <c r="J110">
        <v>275</v>
      </c>
      <c r="K110">
        <f t="shared" si="11"/>
        <v>551853967565.95862</v>
      </c>
      <c r="L110">
        <f t="shared" si="12"/>
        <v>55.185396756595864</v>
      </c>
      <c r="M110">
        <f t="shared" si="20"/>
        <v>4.270349800303987E-4</v>
      </c>
      <c r="N110">
        <f t="shared" si="13"/>
        <v>92271551.955734968</v>
      </c>
      <c r="O110" s="2">
        <f t="shared" si="14"/>
        <v>1.5405191521539991E-9</v>
      </c>
      <c r="P110" s="2">
        <f t="shared" si="15"/>
        <v>51.883323940175622</v>
      </c>
      <c r="Q110">
        <f t="shared" si="16"/>
        <v>140029.37898885217</v>
      </c>
      <c r="R110">
        <f t="shared" si="17"/>
        <v>0.13290903036073454</v>
      </c>
      <c r="S110">
        <f t="shared" si="21"/>
        <v>1.0785915093638532</v>
      </c>
      <c r="T110">
        <f t="shared" si="18"/>
        <v>-0.98428394088999349</v>
      </c>
      <c r="U110">
        <f t="shared" si="19"/>
        <v>1099.36285669271</v>
      </c>
    </row>
    <row r="111" spans="1:21" x14ac:dyDescent="0.25">
      <c r="A111" s="1">
        <v>44696.333425925928</v>
      </c>
      <c r="B111" s="7">
        <v>9984404.9543222189</v>
      </c>
      <c r="C111" s="7">
        <v>4968.5326145687723</v>
      </c>
      <c r="D111" s="7">
        <v>24595421469.721119</v>
      </c>
      <c r="E111" s="7">
        <v>99844.049543221947</v>
      </c>
      <c r="F111">
        <v>3.9465739821419165E+23</v>
      </c>
      <c r="G111">
        <v>87</v>
      </c>
      <c r="H111">
        <v>7944620.6750622196</v>
      </c>
      <c r="I111">
        <v>1.2587133368606907E-7</v>
      </c>
      <c r="J111">
        <v>276</v>
      </c>
      <c r="K111">
        <f t="shared" si="11"/>
        <v>794462067506.22192</v>
      </c>
      <c r="L111">
        <f t="shared" si="12"/>
        <v>79.446206750622196</v>
      </c>
      <c r="M111">
        <f t="shared" si="20"/>
        <v>3.5590898559041949E-4</v>
      </c>
      <c r="N111">
        <f t="shared" si="13"/>
        <v>73786264.409163356</v>
      </c>
      <c r="O111" s="2">
        <f t="shared" si="14"/>
        <v>9.0181759470592182E-10</v>
      </c>
      <c r="P111" s="2">
        <f t="shared" si="15"/>
        <v>24.287739294509507</v>
      </c>
      <c r="Q111">
        <f t="shared" si="16"/>
        <v>201589.61696655597</v>
      </c>
      <c r="R111">
        <f t="shared" si="17"/>
        <v>6.4421406303465739E-2</v>
      </c>
      <c r="S111">
        <f t="shared" si="21"/>
        <v>1.143012915667319</v>
      </c>
      <c r="T111">
        <f t="shared" si="18"/>
        <v>-0.98602994990314896</v>
      </c>
      <c r="U111">
        <f t="shared" si="19"/>
        <v>1407.1155090389436</v>
      </c>
    </row>
    <row r="112" spans="1:21" x14ac:dyDescent="0.25">
      <c r="A112" s="1">
        <v>44697.333460648151</v>
      </c>
      <c r="B112" s="7">
        <v>4123691.6374176145</v>
      </c>
      <c r="C112" s="7">
        <v>1982.0312384455901</v>
      </c>
      <c r="D112" s="7">
        <v>17553678409.492409</v>
      </c>
      <c r="E112" s="7">
        <v>41236.916374175809</v>
      </c>
      <c r="F112">
        <v>5.0821086074243173E+23</v>
      </c>
      <c r="G112">
        <v>76</v>
      </c>
      <c r="H112">
        <v>11483102.835622806</v>
      </c>
      <c r="I112">
        <v>8.7084476583960098E-8</v>
      </c>
      <c r="J112">
        <v>277</v>
      </c>
      <c r="K112">
        <f t="shared" si="11"/>
        <v>1148310283562.2805</v>
      </c>
      <c r="L112">
        <f t="shared" si="12"/>
        <v>114.83102835622806</v>
      </c>
      <c r="M112">
        <f t="shared" si="20"/>
        <v>2.9603694155810233E-4</v>
      </c>
      <c r="N112">
        <f t="shared" si="13"/>
        <v>52661035.228477225</v>
      </c>
      <c r="O112" s="2">
        <f t="shared" si="14"/>
        <v>5.8250809737837916E-10</v>
      </c>
      <c r="P112" s="2">
        <f t="shared" si="15"/>
        <v>11.196549994474365</v>
      </c>
      <c r="Q112">
        <f t="shared" si="16"/>
        <v>291376.31573613739</v>
      </c>
      <c r="R112">
        <f t="shared" si="17"/>
        <v>3.0214392573792253E-2</v>
      </c>
      <c r="S112">
        <f t="shared" si="21"/>
        <v>1.1732273082411113</v>
      </c>
      <c r="T112">
        <f t="shared" si="18"/>
        <v>-0.98802356594938656</v>
      </c>
      <c r="U112">
        <f t="shared" si="19"/>
        <v>1743.8306028793086</v>
      </c>
    </row>
    <row r="113" spans="1:21" x14ac:dyDescent="0.25">
      <c r="A113" s="1">
        <v>44698.333460648151</v>
      </c>
      <c r="B113" s="7">
        <v>4723978.2923026681</v>
      </c>
      <c r="C113" s="7">
        <v>2316.7747673804697</v>
      </c>
      <c r="D113" s="7">
        <v>25374707918.810394</v>
      </c>
      <c r="E113" s="7">
        <v>47239.782923026942</v>
      </c>
      <c r="F113">
        <v>5.9380469961751079E+24</v>
      </c>
      <c r="G113">
        <v>75</v>
      </c>
      <c r="H113">
        <v>11131491.807449682</v>
      </c>
      <c r="I113">
        <v>8.9835218612006365E-8</v>
      </c>
      <c r="J113">
        <v>278</v>
      </c>
      <c r="K113">
        <f t="shared" si="11"/>
        <v>1113149180744.9683</v>
      </c>
      <c r="L113">
        <f t="shared" si="12"/>
        <v>111.31491807449682</v>
      </c>
      <c r="M113">
        <f t="shared" si="20"/>
        <v>3.0067605971682512E-4</v>
      </c>
      <c r="N113">
        <f t="shared" si="13"/>
        <v>76124123.756431177</v>
      </c>
      <c r="O113" s="2">
        <f t="shared" si="14"/>
        <v>5.0635513647921701E-11</v>
      </c>
      <c r="P113" s="2">
        <f t="shared" si="15"/>
        <v>1.4069231992027706</v>
      </c>
      <c r="Q113">
        <f t="shared" si="16"/>
        <v>282454.41305636195</v>
      </c>
      <c r="R113">
        <f t="shared" si="17"/>
        <v>3.8471742333025297E-3</v>
      </c>
      <c r="S113">
        <f t="shared" si="21"/>
        <v>1.1770744824744139</v>
      </c>
      <c r="T113">
        <f t="shared" si="18"/>
        <v>-0.98778900008108128</v>
      </c>
      <c r="U113">
        <f t="shared" si="19"/>
        <v>1723.5315129647013</v>
      </c>
    </row>
    <row r="114" spans="1:21" x14ac:dyDescent="0.25">
      <c r="A114" s="1">
        <v>44699.333645833336</v>
      </c>
      <c r="B114" s="7">
        <v>2444670.7340869308</v>
      </c>
      <c r="C114" s="7">
        <v>1186.429626731755</v>
      </c>
      <c r="D114" s="7">
        <v>12983080361.687958</v>
      </c>
      <c r="E114" s="7">
        <v>24446.707340869121</v>
      </c>
      <c r="F114">
        <v>6.0195806287023979E+24</v>
      </c>
      <c r="G114">
        <v>73</v>
      </c>
      <c r="H114">
        <v>11178340.043099642</v>
      </c>
      <c r="I114">
        <v>8.9458720717419685E-8</v>
      </c>
      <c r="J114">
        <v>279</v>
      </c>
      <c r="K114">
        <f t="shared" si="11"/>
        <v>1117834004309.9641</v>
      </c>
      <c r="L114">
        <f t="shared" si="12"/>
        <v>111.78340043099642</v>
      </c>
      <c r="M114">
        <f t="shared" si="20"/>
        <v>3.000453340209399E-4</v>
      </c>
      <c r="N114">
        <f t="shared" si="13"/>
        <v>38949241.085063875</v>
      </c>
      <c r="O114" s="2">
        <f t="shared" si="14"/>
        <v>4.9844889956332184E-11</v>
      </c>
      <c r="P114" s="2">
        <f t="shared" si="15"/>
        <v>0.70861853205519632</v>
      </c>
      <c r="Q114">
        <f t="shared" si="16"/>
        <v>283643.1567694355</v>
      </c>
      <c r="R114">
        <f t="shared" si="17"/>
        <v>1.9395385143244905E-3</v>
      </c>
      <c r="S114">
        <f t="shared" si="21"/>
        <v>1.1790140209887385</v>
      </c>
      <c r="T114">
        <f t="shared" si="18"/>
        <v>-0.98779095785605675</v>
      </c>
      <c r="U114">
        <f t="shared" si="19"/>
        <v>1730.5117319406452</v>
      </c>
    </row>
    <row r="115" spans="1:21" x14ac:dyDescent="0.25">
      <c r="A115" s="1">
        <v>44700.333796296298</v>
      </c>
      <c r="B115" s="7">
        <v>3525816.4403947592</v>
      </c>
      <c r="C115" s="7">
        <v>1806.0553771278937</v>
      </c>
      <c r="D115" s="7">
        <v>22694925731.092834</v>
      </c>
      <c r="E115" s="7">
        <v>35258.164403948002</v>
      </c>
      <c r="F115">
        <v>5.8245340329523447E+24</v>
      </c>
      <c r="G115">
        <v>71</v>
      </c>
      <c r="H115">
        <v>14277226.9509857</v>
      </c>
      <c r="I115">
        <v>7.0041612662811945E-8</v>
      </c>
      <c r="J115">
        <v>280</v>
      </c>
      <c r="K115">
        <f t="shared" si="11"/>
        <v>1427722695098.5701</v>
      </c>
      <c r="L115">
        <f t="shared" si="12"/>
        <v>142.77226950985701</v>
      </c>
      <c r="M115">
        <f t="shared" si="20"/>
        <v>2.6549332356953656E-4</v>
      </c>
      <c r="N115">
        <f t="shared" si="13"/>
        <v>68084777.193278506</v>
      </c>
      <c r="O115" s="2">
        <f t="shared" si="14"/>
        <v>4.5581899267393083E-11</v>
      </c>
      <c r="P115" s="2">
        <f t="shared" si="15"/>
        <v>1.1327532113184269</v>
      </c>
      <c r="Q115">
        <f t="shared" si="16"/>
        <v>362275.41000518022</v>
      </c>
      <c r="R115">
        <f t="shared" si="17"/>
        <v>3.0986277462924632E-3</v>
      </c>
      <c r="S115">
        <f t="shared" si="21"/>
        <v>1.1821126487350311</v>
      </c>
      <c r="T115">
        <f t="shared" si="18"/>
        <v>-0.98916336691643658</v>
      </c>
      <c r="U115">
        <f t="shared" si="19"/>
        <v>1961.9282650283562</v>
      </c>
    </row>
    <row r="116" spans="1:21" x14ac:dyDescent="0.25">
      <c r="A116" s="1">
        <v>44701.333414351851</v>
      </c>
      <c r="B116" s="7">
        <v>1290664.5302578807</v>
      </c>
      <c r="C116" s="7">
        <v>642.28565533467918</v>
      </c>
      <c r="D116" s="7">
        <v>9269569882.2965851</v>
      </c>
      <c r="E116" s="7">
        <v>12906.645302578807</v>
      </c>
      <c r="F116">
        <v>5.8216209024757005E+24</v>
      </c>
      <c r="G116">
        <v>70</v>
      </c>
      <c r="H116">
        <v>14590412.895315224</v>
      </c>
      <c r="I116">
        <v>6.8538156334224508E-8</v>
      </c>
      <c r="J116">
        <v>281</v>
      </c>
      <c r="K116">
        <f t="shared" si="11"/>
        <v>1459041289531.5225</v>
      </c>
      <c r="L116">
        <f t="shared" si="12"/>
        <v>145.90412895315225</v>
      </c>
      <c r="M116">
        <f t="shared" si="20"/>
        <v>2.6262843437844092E-4</v>
      </c>
      <c r="N116">
        <f t="shared" si="13"/>
        <v>27808709.646889757</v>
      </c>
      <c r="O116" s="2">
        <f t="shared" si="14"/>
        <v>4.5112596436287295E-11</v>
      </c>
      <c r="P116" s="2">
        <f t="shared" si="15"/>
        <v>0.45790092993561987</v>
      </c>
      <c r="Q116">
        <f t="shared" si="16"/>
        <v>370222.30100714782</v>
      </c>
      <c r="R116">
        <f t="shared" si="17"/>
        <v>1.2537368391310989E-3</v>
      </c>
      <c r="S116">
        <f t="shared" si="21"/>
        <v>1.1833663855741621</v>
      </c>
      <c r="T116">
        <f t="shared" si="18"/>
        <v>-0.98926685426985572</v>
      </c>
      <c r="U116">
        <f t="shared" si="19"/>
        <v>1985.8303212023859</v>
      </c>
    </row>
    <row r="117" spans="1:21" x14ac:dyDescent="0.25">
      <c r="A117" s="1">
        <v>44702.333402777775</v>
      </c>
      <c r="B117" s="7">
        <v>1375366.3400939107</v>
      </c>
      <c r="C117" s="7">
        <v>700.72731797175948</v>
      </c>
      <c r="D117" s="7">
        <v>11813724834.615906</v>
      </c>
      <c r="E117" s="7">
        <v>13753.663400938734</v>
      </c>
      <c r="F117">
        <v>5.7443090812988918E+24</v>
      </c>
      <c r="G117">
        <v>69</v>
      </c>
      <c r="H117">
        <v>17744132.14117856</v>
      </c>
      <c r="I117">
        <v>5.6356658755900153E-8</v>
      </c>
      <c r="J117">
        <v>282</v>
      </c>
      <c r="K117">
        <f t="shared" si="11"/>
        <v>1774413214117.856</v>
      </c>
      <c r="L117">
        <f t="shared" si="12"/>
        <v>177.44132141178559</v>
      </c>
      <c r="M117">
        <f t="shared" si="20"/>
        <v>2.3814866663186596E-4</v>
      </c>
      <c r="N117">
        <f t="shared" si="13"/>
        <v>35441174.503847718</v>
      </c>
      <c r="O117" s="2">
        <f t="shared" si="14"/>
        <v>4.1458191622588714E-11</v>
      </c>
      <c r="P117" s="2">
        <f t="shared" si="15"/>
        <v>0.53630435642719532</v>
      </c>
      <c r="Q117">
        <f t="shared" si="16"/>
        <v>450245.88939435128</v>
      </c>
      <c r="R117">
        <f t="shared" si="17"/>
        <v>1.4682485992114256E-3</v>
      </c>
      <c r="S117">
        <f t="shared" si="21"/>
        <v>1.1848346341733735</v>
      </c>
      <c r="T117">
        <f t="shared" si="18"/>
        <v>-0.99025299258584831</v>
      </c>
      <c r="U117">
        <f t="shared" si="19"/>
        <v>2193.279884562744</v>
      </c>
    </row>
    <row r="118" spans="1:21" x14ac:dyDescent="0.25">
      <c r="A118" s="1">
        <v>44703.333472222221</v>
      </c>
      <c r="B118" s="7">
        <v>6261179.7602910399</v>
      </c>
      <c r="C118" s="7">
        <v>3157.0588324880518</v>
      </c>
      <c r="D118" s="7">
        <v>39939336757.099884</v>
      </c>
      <c r="E118" s="7">
        <v>62611.797602910548</v>
      </c>
      <c r="F118">
        <v>5.8295303768592291E+24</v>
      </c>
      <c r="G118">
        <v>67</v>
      </c>
      <c r="H118">
        <v>9571459.8727115709</v>
      </c>
      <c r="I118">
        <v>1.0447727027002647E-7</v>
      </c>
      <c r="J118">
        <v>283</v>
      </c>
      <c r="K118">
        <f t="shared" si="11"/>
        <v>957145987271.1571</v>
      </c>
      <c r="L118">
        <f t="shared" si="12"/>
        <v>95.714598727115714</v>
      </c>
      <c r="M118">
        <f t="shared" si="20"/>
        <v>3.2425482283469318E-4</v>
      </c>
      <c r="N118">
        <f t="shared" si="13"/>
        <v>119818010.27129966</v>
      </c>
      <c r="O118" s="2">
        <f t="shared" si="14"/>
        <v>5.5622803531798675E-11</v>
      </c>
      <c r="P118" s="2">
        <f t="shared" si="15"/>
        <v>2.4325839803854108</v>
      </c>
      <c r="Q118">
        <f t="shared" si="16"/>
        <v>242869.61057905701</v>
      </c>
      <c r="R118">
        <f t="shared" si="17"/>
        <v>6.6425032909845473E-3</v>
      </c>
      <c r="S118">
        <f t="shared" si="21"/>
        <v>1.191477137464358</v>
      </c>
      <c r="T118">
        <f t="shared" si="18"/>
        <v>-0.98664039660836078</v>
      </c>
      <c r="U118">
        <f t="shared" si="19"/>
        <v>1621.3275164107276</v>
      </c>
    </row>
    <row r="119" spans="1:21" x14ac:dyDescent="0.25">
      <c r="A119" s="1">
        <v>44704.333368055559</v>
      </c>
      <c r="B119" s="7">
        <v>5965027.7364714146</v>
      </c>
      <c r="C119" s="7">
        <v>2941.9662599953881</v>
      </c>
      <c r="D119" s="7">
        <v>31057843192.109772</v>
      </c>
      <c r="E119" s="7">
        <v>59650.277364714071</v>
      </c>
      <c r="F119">
        <v>5.8661797955514373E+24</v>
      </c>
      <c r="G119">
        <v>70</v>
      </c>
      <c r="H119">
        <v>10840395.884213723</v>
      </c>
      <c r="I119">
        <v>9.2247553565478679E-8</v>
      </c>
      <c r="J119">
        <v>284</v>
      </c>
      <c r="K119">
        <f t="shared" si="11"/>
        <v>1084039588421.3723</v>
      </c>
      <c r="L119">
        <f t="shared" si="12"/>
        <v>108.40395884213723</v>
      </c>
      <c r="M119">
        <f t="shared" si="20"/>
        <v>3.0468632634657371E-4</v>
      </c>
      <c r="N119">
        <f t="shared" si="13"/>
        <v>93173529.576329321</v>
      </c>
      <c r="O119" s="2">
        <f t="shared" si="14"/>
        <v>5.1939479689597949E-11</v>
      </c>
      <c r="P119" s="2">
        <f t="shared" si="15"/>
        <v>1.7663753961688373</v>
      </c>
      <c r="Q119">
        <f t="shared" si="16"/>
        <v>275068.04206827155</v>
      </c>
      <c r="R119">
        <f t="shared" si="17"/>
        <v>4.8277124674537758E-3</v>
      </c>
      <c r="S119">
        <f t="shared" si="21"/>
        <v>1.1963048499318119</v>
      </c>
      <c r="T119">
        <f t="shared" si="18"/>
        <v>-0.98738588041995567</v>
      </c>
      <c r="U119">
        <f t="shared" si="19"/>
        <v>1733.8768947087142</v>
      </c>
    </row>
    <row r="120" spans="1:21" x14ac:dyDescent="0.25">
      <c r="A120" s="1">
        <v>44705.33353009259</v>
      </c>
      <c r="B120" s="7">
        <v>2440464.4023479819</v>
      </c>
      <c r="C120" s="7">
        <v>1209.1030487415555</v>
      </c>
      <c r="D120" s="7">
        <v>14311933864.364685</v>
      </c>
      <c r="E120" s="7">
        <v>24404.644023479894</v>
      </c>
      <c r="F120">
        <v>5.8675309040649194E+24</v>
      </c>
      <c r="G120">
        <v>72</v>
      </c>
      <c r="H120">
        <v>12103249.937269161</v>
      </c>
      <c r="I120">
        <v>8.2622436550759077E-8</v>
      </c>
      <c r="J120">
        <v>285</v>
      </c>
      <c r="K120">
        <f t="shared" si="11"/>
        <v>1210324993726.916</v>
      </c>
      <c r="L120">
        <f t="shared" si="12"/>
        <v>121.0324993726916</v>
      </c>
      <c r="M120">
        <f t="shared" si="20"/>
        <v>2.8835304036370737E-4</v>
      </c>
      <c r="N120">
        <f t="shared" si="13"/>
        <v>42935801.593094058</v>
      </c>
      <c r="O120" s="2">
        <f t="shared" si="14"/>
        <v>4.9143846888636166E-11</v>
      </c>
      <c r="P120" s="2">
        <f t="shared" si="15"/>
        <v>0.77016111772913431</v>
      </c>
      <c r="Q120">
        <f t="shared" si="16"/>
        <v>307112.14779118128</v>
      </c>
      <c r="R120">
        <f t="shared" si="17"/>
        <v>2.1078074717604759E-3</v>
      </c>
      <c r="S120">
        <f t="shared" si="21"/>
        <v>1.1984126574035723</v>
      </c>
      <c r="T120">
        <f t="shared" si="18"/>
        <v>-0.98803689022024188</v>
      </c>
      <c r="U120">
        <f t="shared" si="19"/>
        <v>1836.0141509164962</v>
      </c>
    </row>
    <row r="121" spans="1:21" x14ac:dyDescent="0.25">
      <c r="A121" s="1">
        <v>44706.333622685182</v>
      </c>
      <c r="B121" s="7">
        <v>2449436.2532935143</v>
      </c>
      <c r="C121" s="7">
        <v>1240.1879834455613</v>
      </c>
      <c r="D121" s="7">
        <v>14359537414.691895</v>
      </c>
      <c r="E121" s="7">
        <v>24494.362532935105</v>
      </c>
      <c r="F121">
        <v>5.8667704399947518E+24</v>
      </c>
      <c r="G121">
        <v>66</v>
      </c>
      <c r="H121">
        <v>11547585.370019769</v>
      </c>
      <c r="I121">
        <v>8.6598190700216323E-8</v>
      </c>
      <c r="J121">
        <v>286</v>
      </c>
      <c r="K121">
        <f t="shared" si="11"/>
        <v>1154758537001.9771</v>
      </c>
      <c r="L121">
        <f t="shared" si="12"/>
        <v>115.47585370019769</v>
      </c>
      <c r="M121">
        <f t="shared" si="20"/>
        <v>2.9520923883074338E-4</v>
      </c>
      <c r="N121">
        <f t="shared" si="13"/>
        <v>43078612.244075686</v>
      </c>
      <c r="O121" s="2">
        <f t="shared" si="14"/>
        <v>5.031886654678915E-11</v>
      </c>
      <c r="P121" s="2">
        <f t="shared" si="15"/>
        <v>0.79119843329364037</v>
      </c>
      <c r="Q121">
        <f t="shared" si="16"/>
        <v>293012.51838718652</v>
      </c>
      <c r="R121">
        <f t="shared" si="17"/>
        <v>2.1653209401679939E-3</v>
      </c>
      <c r="S121">
        <f t="shared" si="21"/>
        <v>1.2005779783437402</v>
      </c>
      <c r="T121">
        <f t="shared" si="18"/>
        <v>-0.98772589548494105</v>
      </c>
      <c r="U121">
        <f t="shared" si="19"/>
        <v>1797.2392745047439</v>
      </c>
    </row>
    <row r="122" spans="1:21" x14ac:dyDescent="0.25">
      <c r="A122" s="1">
        <v>44707.333634259259</v>
      </c>
      <c r="B122" s="7">
        <v>2899805.9748817682</v>
      </c>
      <c r="C122" s="7">
        <v>1503.0067283649987</v>
      </c>
      <c r="D122" s="7">
        <v>16654554667.628601</v>
      </c>
      <c r="E122" s="7">
        <v>28998.059748817235</v>
      </c>
      <c r="F122">
        <v>6.1208274311874193E+24</v>
      </c>
      <c r="G122">
        <v>66</v>
      </c>
      <c r="H122">
        <v>12302139.513639661</v>
      </c>
      <c r="I122">
        <v>8.1286673662843552E-8</v>
      </c>
      <c r="J122">
        <v>287</v>
      </c>
      <c r="K122">
        <f t="shared" si="11"/>
        <v>1230213951363.9661</v>
      </c>
      <c r="L122">
        <f t="shared" si="12"/>
        <v>123.02139513639661</v>
      </c>
      <c r="M122">
        <f t="shared" si="20"/>
        <v>2.8601263022859618E-4</v>
      </c>
      <c r="N122">
        <f t="shared" si="13"/>
        <v>49963664.002885804</v>
      </c>
      <c r="O122" s="2">
        <f t="shared" si="14"/>
        <v>4.6727772256946432E-11</v>
      </c>
      <c r="P122" s="2">
        <f t="shared" si="15"/>
        <v>0.85216211011704568</v>
      </c>
      <c r="Q122">
        <f t="shared" si="16"/>
        <v>312158.84229794645</v>
      </c>
      <c r="R122">
        <f t="shared" si="17"/>
        <v>2.331969556835962E-3</v>
      </c>
      <c r="S122">
        <f t="shared" si="21"/>
        <v>1.2029099479005763</v>
      </c>
      <c r="T122">
        <f t="shared" si="18"/>
        <v>-0.98808050279014503</v>
      </c>
      <c r="U122">
        <f t="shared" si="19"/>
        <v>1859.3941846495757</v>
      </c>
    </row>
    <row r="123" spans="1:21" x14ac:dyDescent="0.25">
      <c r="A123" s="1">
        <v>44708.33353009259</v>
      </c>
      <c r="B123" s="7">
        <v>796465.67472136021</v>
      </c>
      <c r="C123" s="7">
        <v>441.58734025334707</v>
      </c>
      <c r="D123" s="7">
        <v>6157334076.4441833</v>
      </c>
      <c r="E123" s="7">
        <v>7964.6567472144961</v>
      </c>
      <c r="F123">
        <v>4.1638838900821934E+23</v>
      </c>
      <c r="G123">
        <v>78</v>
      </c>
      <c r="H123">
        <v>13717436.307904374</v>
      </c>
      <c r="I123">
        <v>7.2899919310999232E-8</v>
      </c>
      <c r="J123">
        <v>288</v>
      </c>
      <c r="K123">
        <f t="shared" si="11"/>
        <v>1371743630790.4375</v>
      </c>
      <c r="L123">
        <f t="shared" si="12"/>
        <v>137.17436307904373</v>
      </c>
      <c r="M123">
        <f t="shared" si="20"/>
        <v>2.7085637363534444E-4</v>
      </c>
      <c r="N123">
        <f t="shared" si="13"/>
        <v>18472002.229332551</v>
      </c>
      <c r="O123" s="2">
        <f t="shared" si="14"/>
        <v>6.5048973695084907E-10</v>
      </c>
      <c r="P123" s="2">
        <f t="shared" si="15"/>
        <v>4.3857844729566207</v>
      </c>
      <c r="Q123">
        <f t="shared" si="16"/>
        <v>348071.08409262268</v>
      </c>
      <c r="R123">
        <f t="shared" si="17"/>
        <v>1.1944230694351807E-2</v>
      </c>
      <c r="S123">
        <f t="shared" si="21"/>
        <v>1.2148541785949281</v>
      </c>
      <c r="T123">
        <f t="shared" si="18"/>
        <v>-0.9885764985518809</v>
      </c>
      <c r="U123">
        <f t="shared" si="19"/>
        <v>1987.1009783409497</v>
      </c>
    </row>
    <row r="124" spans="1:21" x14ac:dyDescent="0.25">
      <c r="A124" s="1">
        <v>44709.333587962959</v>
      </c>
      <c r="B124" s="7">
        <v>1034238.3402611017</v>
      </c>
      <c r="C124" s="7">
        <v>589.5210032366158</v>
      </c>
      <c r="D124" s="7">
        <v>9405764705.5043335</v>
      </c>
      <c r="E124" s="7">
        <v>10342.383402611129</v>
      </c>
      <c r="F124">
        <v>5.2608234939268957E+22</v>
      </c>
      <c r="G124">
        <v>76</v>
      </c>
      <c r="H124">
        <v>24040494.84484395</v>
      </c>
      <c r="I124">
        <v>4.1596481538917806E-8</v>
      </c>
      <c r="J124">
        <v>289</v>
      </c>
      <c r="K124">
        <f t="shared" si="11"/>
        <v>2404049484484.395</v>
      </c>
      <c r="L124">
        <f t="shared" si="12"/>
        <v>240.40494844843951</v>
      </c>
      <c r="M124">
        <f t="shared" si="20"/>
        <v>2.0459915435908001E-4</v>
      </c>
      <c r="N124">
        <f t="shared" si="13"/>
        <v>28217294.116513003</v>
      </c>
      <c r="O124" s="2">
        <f t="shared" si="14"/>
        <v>3.8891088932230789E-9</v>
      </c>
      <c r="P124" s="2">
        <f t="shared" si="15"/>
        <v>40.055147264296025</v>
      </c>
      <c r="Q124">
        <f t="shared" si="16"/>
        <v>610012.02520227327</v>
      </c>
      <c r="R124">
        <f t="shared" si="17"/>
        <v>0.10412587033896928</v>
      </c>
      <c r="S124">
        <f t="shared" si="21"/>
        <v>1.3189800489338974</v>
      </c>
      <c r="T124">
        <f t="shared" si="18"/>
        <v>-0.99042396240254937</v>
      </c>
      <c r="U124">
        <f t="shared" si="19"/>
        <v>2919.7538321357724</v>
      </c>
    </row>
    <row r="125" spans="1:21" x14ac:dyDescent="0.25">
      <c r="A125" s="1">
        <v>44710.333414351851</v>
      </c>
      <c r="B125" s="7">
        <v>549883.09411323071</v>
      </c>
      <c r="C125" s="7">
        <v>308.47054923104588</v>
      </c>
      <c r="D125" s="7">
        <v>6268053533.7780151</v>
      </c>
      <c r="E125" s="7">
        <v>5498.8309411313385</v>
      </c>
      <c r="F125">
        <v>1.6583320946148733E+23</v>
      </c>
      <c r="G125">
        <v>78</v>
      </c>
      <c r="H125">
        <v>21454735.351214096</v>
      </c>
      <c r="I125">
        <v>4.6609756943164126E-8</v>
      </c>
      <c r="J125">
        <v>290</v>
      </c>
      <c r="K125">
        <f t="shared" si="11"/>
        <v>2145473535121.4097</v>
      </c>
      <c r="L125">
        <f t="shared" si="12"/>
        <v>214.54735351214097</v>
      </c>
      <c r="M125">
        <f t="shared" si="20"/>
        <v>2.1657780851518533E-4</v>
      </c>
      <c r="N125">
        <f t="shared" si="13"/>
        <v>18804160.601334047</v>
      </c>
      <c r="O125" s="2">
        <f t="shared" si="14"/>
        <v>1.3059978108032865E-9</v>
      </c>
      <c r="P125" s="2">
        <f t="shared" si="15"/>
        <v>8.9637402914575226</v>
      </c>
      <c r="Q125">
        <f t="shared" si="16"/>
        <v>544400.04859466816</v>
      </c>
      <c r="R125">
        <f t="shared" si="17"/>
        <v>2.4261488039619916E-2</v>
      </c>
      <c r="S125">
        <f t="shared" si="21"/>
        <v>1.3432415369735173</v>
      </c>
      <c r="T125">
        <f t="shared" si="18"/>
        <v>-0.989614378098568</v>
      </c>
      <c r="U125">
        <f t="shared" si="19"/>
        <v>2825.9717267236788</v>
      </c>
    </row>
    <row r="126" spans="1:21" s="16" customFormat="1" x14ac:dyDescent="0.25">
      <c r="A126" s="19">
        <v>44711.333506944444</v>
      </c>
      <c r="B126" s="20">
        <v>833958.30167323351</v>
      </c>
      <c r="C126" s="20">
        <v>449.59166770181037</v>
      </c>
      <c r="D126" s="20">
        <v>7187453738.5512085</v>
      </c>
      <c r="E126" s="20">
        <v>8339.5830167327076</v>
      </c>
      <c r="F126" s="13">
        <v>4.0965761538840352E+23</v>
      </c>
      <c r="G126" s="13">
        <v>80</v>
      </c>
      <c r="H126" s="13">
        <v>14080156.164542934</v>
      </c>
      <c r="I126" s="13">
        <v>7.1021939551936902E-8</v>
      </c>
      <c r="J126" s="13">
        <v>291</v>
      </c>
      <c r="K126" s="13">
        <f t="shared" si="11"/>
        <v>1408015616454.2935</v>
      </c>
      <c r="L126" s="13">
        <f t="shared" si="12"/>
        <v>140.80156164542933</v>
      </c>
      <c r="M126" s="13">
        <f t="shared" si="20"/>
        <v>2.6734483614812392E-4</v>
      </c>
      <c r="N126" s="13">
        <f t="shared" si="13"/>
        <v>21562361.215653624</v>
      </c>
      <c r="O126" s="14">
        <f t="shared" si="14"/>
        <v>6.526055567028813E-10</v>
      </c>
      <c r="P126" s="15">
        <f t="shared" si="15"/>
        <v>5.1361766119141414</v>
      </c>
      <c r="Q126" s="13">
        <f t="shared" si="16"/>
        <v>357274.86611779267</v>
      </c>
      <c r="R126" s="13">
        <f t="shared" si="17"/>
        <v>1.3973629240934208E-2</v>
      </c>
      <c r="S126" s="13">
        <f t="shared" si="21"/>
        <v>1.3572151662144516</v>
      </c>
      <c r="T126" s="13">
        <f t="shared" si="18"/>
        <v>-0.98699954342516683</v>
      </c>
      <c r="U126" s="13">
        <f>SQRT(Q126)*EXP(S126)-1</f>
        <v>2321.3746913501468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USDCETH_0.3%</vt:lpstr>
      <vt:lpstr>USDCETH_0.3% Charts</vt:lpstr>
      <vt:lpstr>USTETH</vt:lpstr>
      <vt:lpstr>USTETH_Charts</vt:lpstr>
      <vt:lpstr>ETHLUNA</vt:lpstr>
      <vt:lpstr>ETHLUNA_Charts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Alcarraz</dc:creator>
  <cp:lastModifiedBy>Daniel Alcarraz</cp:lastModifiedBy>
  <dcterms:created xsi:type="dcterms:W3CDTF">2022-06-07T05:37:55Z</dcterms:created>
  <dcterms:modified xsi:type="dcterms:W3CDTF">2022-06-07T06:29:21Z</dcterms:modified>
</cp:coreProperties>
</file>